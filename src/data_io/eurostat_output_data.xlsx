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openeconomics-my.sharepoint.com/personal/giorgio_carluccio_openeconomics_eu/Documents/GitHub/Physical-Climate-Risk/src/data_io/"/>
    </mc:Choice>
  </mc:AlternateContent>
  <xr:revisionPtr revIDLastSave="83" documentId="8_{4F02C102-EDB5-4595-B7EF-73F94EBEBBB8}" xr6:coauthVersionLast="47" xr6:coauthVersionMax="47" xr10:uidLastSave="{2994EA77-11F1-40F5-95B4-A042FE4DF373}"/>
  <bookViews>
    <workbookView xWindow="-120" yWindow="-120" windowWidth="29040" windowHeight="15720" activeTab="5" xr2:uid="{00000000-000D-0000-FFFF-FFFF00000000}"/>
  </bookViews>
  <sheets>
    <sheet name="P_index 2020" sheetId="1" r:id="rId1"/>
    <sheet name="Q_chain_2020" sheetId="9" r:id="rId2"/>
    <sheet name="2024 Adj Factor" sheetId="2" r:id="rId3"/>
    <sheet name="Curr Prices" sheetId="3" r:id="rId4"/>
    <sheet name="2024 Prices" sheetId="4" r:id="rId5"/>
    <sheet name="Country_year" sheetId="6" r:id="rId6"/>
    <sheet name="perc_loss" sheetId="8" r:id="rId7"/>
    <sheet name="Coutry_type" sheetId="5" r:id="rId8"/>
    <sheet name="Hazard exposure" sheetId="7" r:id="rId9"/>
  </sheets>
  <definedNames>
    <definedName name="_xlnm._FilterDatabase" localSheetId="5" hidden="1">Country_year!$A$1:$AT$39</definedName>
    <definedName name="_xlnm._FilterDatabase" localSheetId="7" hidden="1">Coutry_type!$A$1:$G$39</definedName>
    <definedName name="_xlnm._FilterDatabase" localSheetId="8" hidden="1">'Hazard exposure'!$A$1:$G$39</definedName>
    <definedName name="_xlnm._FilterDatabase" localSheetId="6" hidden="1">perc_loss!$A$1:$AE$39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6" l="1"/>
  <c r="E40" i="6"/>
  <c r="F40" i="6"/>
  <c r="G40" i="6"/>
  <c r="H40" i="6"/>
  <c r="I40" i="6"/>
  <c r="J40" i="6"/>
  <c r="K40" i="6"/>
  <c r="L40" i="6"/>
  <c r="M40" i="6"/>
  <c r="N40" i="6"/>
  <c r="O40" i="6"/>
  <c r="P40" i="6"/>
  <c r="Q40" i="6"/>
  <c r="R40" i="6"/>
  <c r="S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AJ40" i="6"/>
  <c r="AK40" i="6"/>
  <c r="AL40" i="6"/>
  <c r="AM40" i="6"/>
  <c r="AN40" i="6"/>
  <c r="AO40" i="6"/>
  <c r="AP40" i="6"/>
  <c r="AQ40" i="6"/>
  <c r="AR40" i="6"/>
  <c r="AS40" i="6"/>
  <c r="AT40" i="6"/>
  <c r="AU40" i="6"/>
  <c r="C40" i="6"/>
  <c r="AI3" i="8"/>
  <c r="AI4" i="8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2" i="8"/>
  <c r="AH3" i="8"/>
  <c r="AH4" i="8"/>
  <c r="AH5" i="8"/>
  <c r="AH6" i="8"/>
  <c r="AH7" i="8"/>
  <c r="AH8" i="8"/>
  <c r="AH9" i="8"/>
  <c r="AH10" i="8"/>
  <c r="AH11" i="8"/>
  <c r="AH12" i="8"/>
  <c r="AH13" i="8"/>
  <c r="AH14" i="8"/>
  <c r="AH15" i="8"/>
  <c r="AH16" i="8"/>
  <c r="AH17" i="8"/>
  <c r="AH18" i="8"/>
  <c r="AH19" i="8"/>
  <c r="AH20" i="8"/>
  <c r="AH21" i="8"/>
  <c r="AH22" i="8"/>
  <c r="AH23" i="8"/>
  <c r="AH24" i="8"/>
  <c r="AH25" i="8"/>
  <c r="AH26" i="8"/>
  <c r="AH27" i="8"/>
  <c r="AH28" i="8"/>
  <c r="AH29" i="8"/>
  <c r="AH30" i="8"/>
  <c r="AH31" i="8"/>
  <c r="AH32" i="8"/>
  <c r="AH33" i="8"/>
  <c r="AH34" i="8"/>
  <c r="AH35" i="8"/>
  <c r="AH36" i="8"/>
  <c r="AH37" i="8"/>
  <c r="AH38" i="8"/>
  <c r="AH39" i="8"/>
  <c r="AH2" i="8"/>
  <c r="AE40" i="4"/>
  <c r="AD40" i="4"/>
  <c r="AC40" i="4"/>
  <c r="AB40" i="4"/>
  <c r="AA40" i="4"/>
  <c r="Z40" i="4"/>
  <c r="Y40" i="4"/>
  <c r="X40" i="4"/>
  <c r="W40" i="4"/>
  <c r="V40" i="4"/>
  <c r="W39" i="8" s="1"/>
  <c r="U40" i="4"/>
  <c r="T40" i="4"/>
  <c r="U39" i="8" s="1"/>
  <c r="S40" i="4"/>
  <c r="R40" i="4"/>
  <c r="Q40" i="4"/>
  <c r="P40" i="4"/>
  <c r="O40" i="4"/>
  <c r="N40" i="4"/>
  <c r="M40" i="4"/>
  <c r="L40" i="4"/>
  <c r="K40" i="4"/>
  <c r="J40" i="4"/>
  <c r="I40" i="4"/>
  <c r="H40" i="4"/>
  <c r="I39" i="8" s="1"/>
  <c r="G40" i="4"/>
  <c r="F40" i="4"/>
  <c r="E40" i="4"/>
  <c r="D40" i="4"/>
  <c r="C40" i="4"/>
  <c r="B40" i="4"/>
  <c r="AE39" i="4"/>
  <c r="AD39" i="4"/>
  <c r="AC39" i="4"/>
  <c r="AB39" i="4"/>
  <c r="AC38" i="8" s="1"/>
  <c r="AA39" i="4"/>
  <c r="Z39" i="4"/>
  <c r="AA38" i="8" s="1"/>
  <c r="Y39" i="4"/>
  <c r="X39" i="4"/>
  <c r="W39" i="4"/>
  <c r="V39" i="4"/>
  <c r="U39" i="4"/>
  <c r="T39" i="4"/>
  <c r="S39" i="4"/>
  <c r="R39" i="4"/>
  <c r="Q39" i="4"/>
  <c r="P39" i="4"/>
  <c r="O39" i="4"/>
  <c r="P38" i="8" s="1"/>
  <c r="N39" i="4"/>
  <c r="O38" i="8" s="1"/>
  <c r="M39" i="4"/>
  <c r="L39" i="4"/>
  <c r="K39" i="4"/>
  <c r="J39" i="4"/>
  <c r="I39" i="4"/>
  <c r="H39" i="4"/>
  <c r="G39" i="4"/>
  <c r="F39" i="4"/>
  <c r="E39" i="4"/>
  <c r="D39" i="4"/>
  <c r="E38" i="8" s="1"/>
  <c r="C39" i="4"/>
  <c r="B39" i="4"/>
  <c r="C38" i="8" s="1"/>
  <c r="AE38" i="4"/>
  <c r="AD38" i="4"/>
  <c r="AC38" i="4"/>
  <c r="AB38" i="4"/>
  <c r="AA38" i="4"/>
  <c r="Z38" i="4"/>
  <c r="Y38" i="4"/>
  <c r="X38" i="4"/>
  <c r="W38" i="4"/>
  <c r="V38" i="4"/>
  <c r="U38" i="4"/>
  <c r="T38" i="4"/>
  <c r="U34" i="8" s="1"/>
  <c r="S38" i="4"/>
  <c r="R38" i="4"/>
  <c r="Q38" i="4"/>
  <c r="P38" i="4"/>
  <c r="O38" i="4"/>
  <c r="N38" i="4"/>
  <c r="M38" i="4"/>
  <c r="L38" i="4"/>
  <c r="K38" i="4"/>
  <c r="J38" i="4"/>
  <c r="K34" i="8" s="1"/>
  <c r="I38" i="4"/>
  <c r="J34" i="8" s="1"/>
  <c r="H38" i="4"/>
  <c r="I34" i="8" s="1"/>
  <c r="G38" i="4"/>
  <c r="F38" i="4"/>
  <c r="E38" i="4"/>
  <c r="D38" i="4"/>
  <c r="C38" i="4"/>
  <c r="B38" i="4"/>
  <c r="AE37" i="4"/>
  <c r="AD37" i="4"/>
  <c r="AC37" i="4"/>
  <c r="AB37" i="4"/>
  <c r="AA37" i="4"/>
  <c r="Z37" i="4"/>
  <c r="AA2" i="8" s="1"/>
  <c r="Y37" i="4"/>
  <c r="X37" i="4"/>
  <c r="W37" i="4"/>
  <c r="V37" i="4"/>
  <c r="U37" i="4"/>
  <c r="T37" i="4"/>
  <c r="S37" i="4"/>
  <c r="R37" i="4"/>
  <c r="Q37" i="4"/>
  <c r="P37" i="4"/>
  <c r="Q2" i="8" s="1"/>
  <c r="O37" i="4"/>
  <c r="P2" i="8" s="1"/>
  <c r="N37" i="4"/>
  <c r="O2" i="8" s="1"/>
  <c r="M37" i="4"/>
  <c r="L37" i="4"/>
  <c r="K37" i="4"/>
  <c r="J37" i="4"/>
  <c r="I37" i="4"/>
  <c r="H37" i="4"/>
  <c r="G37" i="4"/>
  <c r="F37" i="4"/>
  <c r="E37" i="4"/>
  <c r="D37" i="4"/>
  <c r="C37" i="4"/>
  <c r="B37" i="4"/>
  <c r="C2" i="8" s="1"/>
  <c r="AE36" i="4"/>
  <c r="AD36" i="4"/>
  <c r="AC36" i="4"/>
  <c r="AB36" i="4"/>
  <c r="AA36" i="4"/>
  <c r="Z36" i="4"/>
  <c r="Y36" i="4"/>
  <c r="X36" i="4"/>
  <c r="W36" i="4"/>
  <c r="V36" i="4"/>
  <c r="W27" i="8" s="1"/>
  <c r="U36" i="4"/>
  <c r="V27" i="8" s="1"/>
  <c r="T36" i="4"/>
  <c r="U27" i="8" s="1"/>
  <c r="S36" i="4"/>
  <c r="R36" i="4"/>
  <c r="Q36" i="4"/>
  <c r="P36" i="4"/>
  <c r="O36" i="4"/>
  <c r="N36" i="4"/>
  <c r="M36" i="4"/>
  <c r="L36" i="4"/>
  <c r="K36" i="4"/>
  <c r="J36" i="4"/>
  <c r="K27" i="8" s="1"/>
  <c r="I36" i="4"/>
  <c r="H36" i="4"/>
  <c r="I27" i="8" s="1"/>
  <c r="G36" i="4"/>
  <c r="F36" i="4"/>
  <c r="E36" i="4"/>
  <c r="D36" i="4"/>
  <c r="C36" i="4"/>
  <c r="B36" i="4"/>
  <c r="AE35" i="4"/>
  <c r="AD35" i="4"/>
  <c r="AC35" i="4"/>
  <c r="AB35" i="4"/>
  <c r="AC26" i="8" s="1"/>
  <c r="AA35" i="4"/>
  <c r="Z35" i="4"/>
  <c r="AA26" i="8" s="1"/>
  <c r="Y35" i="4"/>
  <c r="X35" i="4"/>
  <c r="W35" i="4"/>
  <c r="V35" i="4"/>
  <c r="U35" i="4"/>
  <c r="T35" i="4"/>
  <c r="S35" i="4"/>
  <c r="R35" i="4"/>
  <c r="Q35" i="4"/>
  <c r="P35" i="4"/>
  <c r="O35" i="4"/>
  <c r="P26" i="8" s="1"/>
  <c r="N35" i="4"/>
  <c r="O26" i="8" s="1"/>
  <c r="M35" i="4"/>
  <c r="L35" i="4"/>
  <c r="K35" i="4"/>
  <c r="J35" i="4"/>
  <c r="I35" i="4"/>
  <c r="H35" i="4"/>
  <c r="G35" i="4"/>
  <c r="F35" i="4"/>
  <c r="E35" i="4"/>
  <c r="D35" i="4"/>
  <c r="E26" i="8" s="1"/>
  <c r="C35" i="4"/>
  <c r="B35" i="4"/>
  <c r="C26" i="8" s="1"/>
  <c r="AE34" i="4"/>
  <c r="AD34" i="4"/>
  <c r="AC34" i="4"/>
  <c r="AB34" i="4"/>
  <c r="AA34" i="4"/>
  <c r="Z34" i="4"/>
  <c r="Y34" i="4"/>
  <c r="X34" i="4"/>
  <c r="W34" i="4"/>
  <c r="V34" i="4"/>
  <c r="U34" i="4"/>
  <c r="V4" i="8" s="1"/>
  <c r="T34" i="4"/>
  <c r="U4" i="8" s="1"/>
  <c r="S34" i="4"/>
  <c r="R34" i="4"/>
  <c r="Q34" i="4"/>
  <c r="P34" i="4"/>
  <c r="O34" i="4"/>
  <c r="N34" i="4"/>
  <c r="M34" i="4"/>
  <c r="L34" i="4"/>
  <c r="K34" i="4"/>
  <c r="J34" i="4"/>
  <c r="K4" i="8" s="1"/>
  <c r="I34" i="4"/>
  <c r="H34" i="4"/>
  <c r="I4" i="8" s="1"/>
  <c r="G34" i="4"/>
  <c r="F34" i="4"/>
  <c r="E34" i="4"/>
  <c r="D34" i="4"/>
  <c r="C34" i="4"/>
  <c r="B34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AE32" i="4"/>
  <c r="AD32" i="4"/>
  <c r="AC32" i="4"/>
  <c r="AB32" i="4"/>
  <c r="AA32" i="4"/>
  <c r="Z32" i="4"/>
  <c r="Y32" i="4"/>
  <c r="X32" i="4"/>
  <c r="W32" i="4"/>
  <c r="V32" i="4"/>
  <c r="U32" i="4"/>
  <c r="V37" i="8" s="1"/>
  <c r="T32" i="4"/>
  <c r="U37" i="8" s="1"/>
  <c r="S32" i="4"/>
  <c r="R32" i="4"/>
  <c r="Q32" i="4"/>
  <c r="P32" i="4"/>
  <c r="O32" i="4"/>
  <c r="N32" i="4"/>
  <c r="M32" i="4"/>
  <c r="L32" i="4"/>
  <c r="K32" i="4"/>
  <c r="J32" i="4"/>
  <c r="K37" i="8" s="1"/>
  <c r="I32" i="4"/>
  <c r="J37" i="8" s="1"/>
  <c r="H32" i="4"/>
  <c r="I37" i="8" s="1"/>
  <c r="G32" i="4"/>
  <c r="F32" i="4"/>
  <c r="E32" i="4"/>
  <c r="D32" i="4"/>
  <c r="C32" i="4"/>
  <c r="B32" i="4"/>
  <c r="AE31" i="4"/>
  <c r="AD31" i="4"/>
  <c r="AC31" i="4"/>
  <c r="AB31" i="4"/>
  <c r="AA31" i="4"/>
  <c r="AB28" i="8" s="1"/>
  <c r="Z31" i="4"/>
  <c r="AA28" i="8" s="1"/>
  <c r="Y31" i="4"/>
  <c r="X31" i="4"/>
  <c r="W31" i="4"/>
  <c r="V31" i="4"/>
  <c r="U31" i="4"/>
  <c r="T31" i="4"/>
  <c r="S31" i="4"/>
  <c r="R31" i="4"/>
  <c r="Q31" i="4"/>
  <c r="P31" i="4"/>
  <c r="O31" i="4"/>
  <c r="N31" i="4"/>
  <c r="O28" i="8" s="1"/>
  <c r="M31" i="4"/>
  <c r="L31" i="4"/>
  <c r="K31" i="4"/>
  <c r="J31" i="4"/>
  <c r="I31" i="4"/>
  <c r="H31" i="4"/>
  <c r="G31" i="4"/>
  <c r="F31" i="4"/>
  <c r="E31" i="4"/>
  <c r="D31" i="4"/>
  <c r="C31" i="4"/>
  <c r="D28" i="8" s="1"/>
  <c r="B31" i="4"/>
  <c r="C28" i="8" s="1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K21" i="8" s="1"/>
  <c r="I30" i="4"/>
  <c r="J21" i="8" s="1"/>
  <c r="H30" i="4"/>
  <c r="I21" i="8" s="1"/>
  <c r="G30" i="4"/>
  <c r="F30" i="4"/>
  <c r="E30" i="4"/>
  <c r="D30" i="4"/>
  <c r="C30" i="4"/>
  <c r="B30" i="4"/>
  <c r="AE29" i="4"/>
  <c r="AD29" i="4"/>
  <c r="AC29" i="4"/>
  <c r="AB29" i="4"/>
  <c r="AA29" i="4"/>
  <c r="Z29" i="4"/>
  <c r="AA17" i="8" s="1"/>
  <c r="Y29" i="4"/>
  <c r="X29" i="4"/>
  <c r="W29" i="4"/>
  <c r="V29" i="4"/>
  <c r="U29" i="4"/>
  <c r="T29" i="4"/>
  <c r="S29" i="4"/>
  <c r="R29" i="4"/>
  <c r="Q29" i="4"/>
  <c r="P29" i="4"/>
  <c r="Q17" i="8" s="1"/>
  <c r="O29" i="4"/>
  <c r="P17" i="8" s="1"/>
  <c r="N29" i="4"/>
  <c r="O17" i="8" s="1"/>
  <c r="M29" i="4"/>
  <c r="L29" i="4"/>
  <c r="K29" i="4"/>
  <c r="J29" i="4"/>
  <c r="I29" i="4"/>
  <c r="H29" i="4"/>
  <c r="G29" i="4"/>
  <c r="F29" i="4"/>
  <c r="E29" i="4"/>
  <c r="D29" i="4"/>
  <c r="C29" i="4"/>
  <c r="B29" i="4"/>
  <c r="AE28" i="4"/>
  <c r="AD28" i="4"/>
  <c r="AC28" i="4"/>
  <c r="AB28" i="4"/>
  <c r="AA28" i="4"/>
  <c r="Z28" i="4"/>
  <c r="Y28" i="4"/>
  <c r="X28" i="4"/>
  <c r="W28" i="4"/>
  <c r="V28" i="4"/>
  <c r="U28" i="4"/>
  <c r="V36" i="8" s="1"/>
  <c r="T28" i="4"/>
  <c r="U36" i="8" s="1"/>
  <c r="S28" i="4"/>
  <c r="R28" i="4"/>
  <c r="Q28" i="4"/>
  <c r="P28" i="4"/>
  <c r="O28" i="4"/>
  <c r="N28" i="4"/>
  <c r="M28" i="4"/>
  <c r="L28" i="4"/>
  <c r="K28" i="4"/>
  <c r="J28" i="4"/>
  <c r="I28" i="4"/>
  <c r="J36" i="8" s="1"/>
  <c r="H28" i="4"/>
  <c r="I36" i="8" s="1"/>
  <c r="G28" i="4"/>
  <c r="F28" i="4"/>
  <c r="E28" i="4"/>
  <c r="D28" i="4"/>
  <c r="C28" i="4"/>
  <c r="B28" i="4"/>
  <c r="AE27" i="4"/>
  <c r="AD27" i="4"/>
  <c r="AC27" i="4"/>
  <c r="AB27" i="4"/>
  <c r="AC12" i="8" s="1"/>
  <c r="AA27" i="4"/>
  <c r="AB12" i="8" s="1"/>
  <c r="Z27" i="4"/>
  <c r="AA12" i="8" s="1"/>
  <c r="Y27" i="4"/>
  <c r="X27" i="4"/>
  <c r="W27" i="4"/>
  <c r="V27" i="4"/>
  <c r="U27" i="4"/>
  <c r="T27" i="4"/>
  <c r="S27" i="4"/>
  <c r="R27" i="4"/>
  <c r="Q27" i="4"/>
  <c r="P27" i="4"/>
  <c r="Q12" i="8" s="1"/>
  <c r="O27" i="4"/>
  <c r="P12" i="8" s="1"/>
  <c r="N27" i="4"/>
  <c r="O12" i="8" s="1"/>
  <c r="M27" i="4"/>
  <c r="L27" i="4"/>
  <c r="K27" i="4"/>
  <c r="J27" i="4"/>
  <c r="I27" i="4"/>
  <c r="H27" i="4"/>
  <c r="G27" i="4"/>
  <c r="F27" i="4"/>
  <c r="E27" i="4"/>
  <c r="D27" i="4"/>
  <c r="C27" i="4"/>
  <c r="D12" i="8" s="1"/>
  <c r="B27" i="4"/>
  <c r="C12" i="8" s="1"/>
  <c r="AE26" i="4"/>
  <c r="AD26" i="4"/>
  <c r="AC26" i="4"/>
  <c r="AB26" i="4"/>
  <c r="AA26" i="4"/>
  <c r="Z26" i="4"/>
  <c r="Y26" i="4"/>
  <c r="X26" i="4"/>
  <c r="W26" i="4"/>
  <c r="V26" i="4"/>
  <c r="W32" i="8" s="1"/>
  <c r="U26" i="4"/>
  <c r="V32" i="8" s="1"/>
  <c r="T26" i="4"/>
  <c r="U32" i="8" s="1"/>
  <c r="S26" i="4"/>
  <c r="R26" i="4"/>
  <c r="Q26" i="4"/>
  <c r="P26" i="4"/>
  <c r="O26" i="4"/>
  <c r="N26" i="4"/>
  <c r="M26" i="4"/>
  <c r="L26" i="4"/>
  <c r="K26" i="4"/>
  <c r="J26" i="4"/>
  <c r="I26" i="4"/>
  <c r="J32" i="8" s="1"/>
  <c r="H26" i="4"/>
  <c r="I32" i="8" s="1"/>
  <c r="G26" i="4"/>
  <c r="F26" i="4"/>
  <c r="E26" i="4"/>
  <c r="D26" i="4"/>
  <c r="C26" i="4"/>
  <c r="B26" i="4"/>
  <c r="AE25" i="4"/>
  <c r="AD25" i="4"/>
  <c r="AC25" i="4"/>
  <c r="AB25" i="4"/>
  <c r="AC33" i="8" s="1"/>
  <c r="AA25" i="4"/>
  <c r="AB33" i="8" s="1"/>
  <c r="Z25" i="4"/>
  <c r="AA33" i="8" s="1"/>
  <c r="Y25" i="4"/>
  <c r="X25" i="4"/>
  <c r="W25" i="4"/>
  <c r="V25" i="4"/>
  <c r="U25" i="4"/>
  <c r="T25" i="4"/>
  <c r="S25" i="4"/>
  <c r="R25" i="4"/>
  <c r="Q25" i="4"/>
  <c r="P25" i="4"/>
  <c r="O25" i="4"/>
  <c r="P33" i="8" s="1"/>
  <c r="N25" i="4"/>
  <c r="O33" i="8" s="1"/>
  <c r="M25" i="4"/>
  <c r="L25" i="4"/>
  <c r="K25" i="4"/>
  <c r="J25" i="4"/>
  <c r="I25" i="4"/>
  <c r="H25" i="4"/>
  <c r="G25" i="4"/>
  <c r="F25" i="4"/>
  <c r="E25" i="4"/>
  <c r="D25" i="4"/>
  <c r="E33" i="8" s="1"/>
  <c r="C25" i="4"/>
  <c r="D33" i="8" s="1"/>
  <c r="B25" i="4"/>
  <c r="C33" i="8" s="1"/>
  <c r="AE24" i="4"/>
  <c r="AD24" i="4"/>
  <c r="AC24" i="4"/>
  <c r="AB24" i="4"/>
  <c r="AA24" i="4"/>
  <c r="Z24" i="4"/>
  <c r="Y24" i="4"/>
  <c r="X24" i="4"/>
  <c r="W24" i="4"/>
  <c r="V24" i="4"/>
  <c r="U24" i="4"/>
  <c r="T24" i="4"/>
  <c r="U31" i="8" s="1"/>
  <c r="S24" i="4"/>
  <c r="R24" i="4"/>
  <c r="Q24" i="4"/>
  <c r="P24" i="4"/>
  <c r="O24" i="4"/>
  <c r="N24" i="4"/>
  <c r="M24" i="4"/>
  <c r="L24" i="4"/>
  <c r="K24" i="4"/>
  <c r="J24" i="4"/>
  <c r="K31" i="8" s="1"/>
  <c r="I24" i="4"/>
  <c r="J31" i="8" s="1"/>
  <c r="H24" i="4"/>
  <c r="I31" i="8" s="1"/>
  <c r="G24" i="4"/>
  <c r="F24" i="4"/>
  <c r="E24" i="4"/>
  <c r="D24" i="4"/>
  <c r="C24" i="4"/>
  <c r="B24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Q30" i="8" s="1"/>
  <c r="O23" i="4"/>
  <c r="P30" i="8" s="1"/>
  <c r="N23" i="4"/>
  <c r="O30" i="8" s="1"/>
  <c r="M23" i="4"/>
  <c r="L23" i="4"/>
  <c r="K23" i="4"/>
  <c r="J23" i="4"/>
  <c r="I23" i="4"/>
  <c r="H23" i="4"/>
  <c r="G23" i="4"/>
  <c r="F23" i="4"/>
  <c r="E23" i="4"/>
  <c r="D23" i="4"/>
  <c r="C23" i="4"/>
  <c r="B23" i="4"/>
  <c r="AE22" i="4"/>
  <c r="AD22" i="4"/>
  <c r="AC22" i="4"/>
  <c r="AB22" i="4"/>
  <c r="AA22" i="4"/>
  <c r="Z22" i="4"/>
  <c r="Y22" i="4"/>
  <c r="X22" i="4"/>
  <c r="W22" i="4"/>
  <c r="V22" i="4"/>
  <c r="W29" i="8" s="1"/>
  <c r="U22" i="4"/>
  <c r="V29" i="8" s="1"/>
  <c r="T22" i="4"/>
  <c r="U29" i="8" s="1"/>
  <c r="S22" i="4"/>
  <c r="R22" i="4"/>
  <c r="Q22" i="4"/>
  <c r="P22" i="4"/>
  <c r="O22" i="4"/>
  <c r="N22" i="4"/>
  <c r="M22" i="4"/>
  <c r="L22" i="4"/>
  <c r="K22" i="4"/>
  <c r="J22" i="4"/>
  <c r="K29" i="8" s="1"/>
  <c r="I22" i="4"/>
  <c r="J29" i="8" s="1"/>
  <c r="H22" i="4"/>
  <c r="I29" i="8" s="1"/>
  <c r="G22" i="4"/>
  <c r="F22" i="4"/>
  <c r="E22" i="4"/>
  <c r="D22" i="4"/>
  <c r="C22" i="4"/>
  <c r="B22" i="4"/>
  <c r="AE21" i="4"/>
  <c r="AD21" i="4"/>
  <c r="AC21" i="4"/>
  <c r="AB21" i="4"/>
  <c r="AC3" i="8" s="1"/>
  <c r="AA21" i="4"/>
  <c r="AB3" i="8" s="1"/>
  <c r="Z21" i="4"/>
  <c r="AA3" i="8" s="1"/>
  <c r="Y21" i="4"/>
  <c r="X21" i="4"/>
  <c r="W21" i="4"/>
  <c r="V21" i="4"/>
  <c r="U21" i="4"/>
  <c r="T21" i="4"/>
  <c r="S21" i="4"/>
  <c r="R21" i="4"/>
  <c r="Q21" i="4"/>
  <c r="P21" i="4"/>
  <c r="O21" i="4"/>
  <c r="N21" i="4"/>
  <c r="O3" i="8" s="1"/>
  <c r="M21" i="4"/>
  <c r="L21" i="4"/>
  <c r="K21" i="4"/>
  <c r="J21" i="4"/>
  <c r="I21" i="4"/>
  <c r="H21" i="4"/>
  <c r="G21" i="4"/>
  <c r="F21" i="4"/>
  <c r="E21" i="4"/>
  <c r="D21" i="4"/>
  <c r="C21" i="4"/>
  <c r="D3" i="8" s="1"/>
  <c r="B21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K25" i="8" s="1"/>
  <c r="I20" i="4"/>
  <c r="J25" i="8" s="1"/>
  <c r="H20" i="4"/>
  <c r="I25" i="8" s="1"/>
  <c r="G20" i="4"/>
  <c r="F20" i="4"/>
  <c r="E20" i="4"/>
  <c r="D20" i="4"/>
  <c r="C20" i="4"/>
  <c r="B20" i="4"/>
  <c r="AE19" i="4"/>
  <c r="AD19" i="4"/>
  <c r="AC19" i="4"/>
  <c r="AB19" i="4"/>
  <c r="AA19" i="4"/>
  <c r="AB24" i="8" s="1"/>
  <c r="Z19" i="4"/>
  <c r="AA24" i="8" s="1"/>
  <c r="Y19" i="4"/>
  <c r="X19" i="4"/>
  <c r="W19" i="4"/>
  <c r="V19" i="4"/>
  <c r="U19" i="4"/>
  <c r="T19" i="4"/>
  <c r="S19" i="4"/>
  <c r="R19" i="4"/>
  <c r="Q19" i="4"/>
  <c r="P19" i="4"/>
  <c r="Q24" i="8" s="1"/>
  <c r="O19" i="4"/>
  <c r="P24" i="8" s="1"/>
  <c r="N19" i="4"/>
  <c r="O24" i="8" s="1"/>
  <c r="M19" i="4"/>
  <c r="L19" i="4"/>
  <c r="K19" i="4"/>
  <c r="J19" i="4"/>
  <c r="I19" i="4"/>
  <c r="H19" i="4"/>
  <c r="G19" i="4"/>
  <c r="F19" i="4"/>
  <c r="E19" i="4"/>
  <c r="D19" i="4"/>
  <c r="E24" i="8" s="1"/>
  <c r="C19" i="4"/>
  <c r="D24" i="8" s="1"/>
  <c r="B19" i="4"/>
  <c r="C24" i="8" s="1"/>
  <c r="AE18" i="4"/>
  <c r="AD18" i="4"/>
  <c r="AC18" i="4"/>
  <c r="AB18" i="4"/>
  <c r="AA18" i="4"/>
  <c r="Z18" i="4"/>
  <c r="Y18" i="4"/>
  <c r="Z16" i="8" s="1"/>
  <c r="X18" i="4"/>
  <c r="W18" i="4"/>
  <c r="V18" i="4"/>
  <c r="U18" i="4"/>
  <c r="V16" i="8" s="1"/>
  <c r="T18" i="4"/>
  <c r="U16" i="8" s="1"/>
  <c r="S18" i="4"/>
  <c r="R18" i="4"/>
  <c r="Q18" i="4"/>
  <c r="P18" i="4"/>
  <c r="O18" i="4"/>
  <c r="N18" i="4"/>
  <c r="M18" i="4"/>
  <c r="N16" i="8" s="1"/>
  <c r="L18" i="4"/>
  <c r="K18" i="4"/>
  <c r="J18" i="4"/>
  <c r="K16" i="8" s="1"/>
  <c r="I18" i="4"/>
  <c r="J16" i="8" s="1"/>
  <c r="H18" i="4"/>
  <c r="I16" i="8" s="1"/>
  <c r="G18" i="4"/>
  <c r="F18" i="4"/>
  <c r="E18" i="4"/>
  <c r="D18" i="4"/>
  <c r="C18" i="4"/>
  <c r="B18" i="4"/>
  <c r="AE17" i="4"/>
  <c r="AD17" i="4"/>
  <c r="AC17" i="4"/>
  <c r="AB17" i="4"/>
  <c r="AC23" i="8" s="1"/>
  <c r="AA17" i="4"/>
  <c r="AB23" i="8" s="1"/>
  <c r="Z17" i="4"/>
  <c r="AA23" i="8" s="1"/>
  <c r="Y17" i="4"/>
  <c r="X17" i="4"/>
  <c r="W17" i="4"/>
  <c r="V17" i="4"/>
  <c r="U17" i="4"/>
  <c r="T17" i="4"/>
  <c r="S17" i="4"/>
  <c r="T23" i="8" s="1"/>
  <c r="R17" i="4"/>
  <c r="Q17" i="4"/>
  <c r="P17" i="4"/>
  <c r="O17" i="4"/>
  <c r="P23" i="8" s="1"/>
  <c r="N17" i="4"/>
  <c r="O23" i="8" s="1"/>
  <c r="M17" i="4"/>
  <c r="L17" i="4"/>
  <c r="K17" i="4"/>
  <c r="J17" i="4"/>
  <c r="I17" i="4"/>
  <c r="H17" i="4"/>
  <c r="G17" i="4"/>
  <c r="F17" i="4"/>
  <c r="E17" i="4"/>
  <c r="D17" i="4"/>
  <c r="C17" i="4"/>
  <c r="B17" i="4"/>
  <c r="AE16" i="4"/>
  <c r="AD16" i="4"/>
  <c r="AC16" i="4"/>
  <c r="AB16" i="4"/>
  <c r="AA16" i="4"/>
  <c r="Z16" i="4"/>
  <c r="Y16" i="4"/>
  <c r="Z22" i="8" s="1"/>
  <c r="X16" i="4"/>
  <c r="W16" i="4"/>
  <c r="V16" i="4"/>
  <c r="W22" i="8" s="1"/>
  <c r="U16" i="4"/>
  <c r="V22" i="8" s="1"/>
  <c r="T16" i="4"/>
  <c r="U22" i="8" s="1"/>
  <c r="S16" i="4"/>
  <c r="R16" i="4"/>
  <c r="Q16" i="4"/>
  <c r="P16" i="4"/>
  <c r="O16" i="4"/>
  <c r="N16" i="4"/>
  <c r="M16" i="4"/>
  <c r="N22" i="8" s="1"/>
  <c r="L16" i="4"/>
  <c r="K16" i="4"/>
  <c r="J16" i="4"/>
  <c r="I16" i="4"/>
  <c r="H16" i="4"/>
  <c r="I22" i="8" s="1"/>
  <c r="G16" i="4"/>
  <c r="F16" i="4"/>
  <c r="E16" i="4"/>
  <c r="D16" i="4"/>
  <c r="C16" i="4"/>
  <c r="B16" i="4"/>
  <c r="AE15" i="4"/>
  <c r="AF20" i="8" s="1"/>
  <c r="AD15" i="4"/>
  <c r="AC15" i="4"/>
  <c r="AB15" i="4"/>
  <c r="AC20" i="8" s="1"/>
  <c r="AA15" i="4"/>
  <c r="AB20" i="8" s="1"/>
  <c r="Z15" i="4"/>
  <c r="AA20" i="8" s="1"/>
  <c r="Y15" i="4"/>
  <c r="X15" i="4"/>
  <c r="W15" i="4"/>
  <c r="V15" i="4"/>
  <c r="U15" i="4"/>
  <c r="T15" i="4"/>
  <c r="S15" i="4"/>
  <c r="T20" i="8" s="1"/>
  <c r="R15" i="4"/>
  <c r="Q15" i="4"/>
  <c r="P15" i="4"/>
  <c r="O15" i="4"/>
  <c r="P20" i="8" s="1"/>
  <c r="N15" i="4"/>
  <c r="O20" i="8" s="1"/>
  <c r="M15" i="4"/>
  <c r="L15" i="4"/>
  <c r="K15" i="4"/>
  <c r="J15" i="4"/>
  <c r="I15" i="4"/>
  <c r="H15" i="4"/>
  <c r="G15" i="4"/>
  <c r="H20" i="8" s="1"/>
  <c r="F15" i="4"/>
  <c r="E15" i="4"/>
  <c r="D15" i="4"/>
  <c r="E20" i="8" s="1"/>
  <c r="C15" i="4"/>
  <c r="D20" i="8" s="1"/>
  <c r="B15" i="4"/>
  <c r="C20" i="8" s="1"/>
  <c r="AE14" i="4"/>
  <c r="AD14" i="4"/>
  <c r="AC14" i="4"/>
  <c r="AB14" i="4"/>
  <c r="AA14" i="4"/>
  <c r="Z14" i="4"/>
  <c r="Y14" i="4"/>
  <c r="X14" i="4"/>
  <c r="W14" i="4"/>
  <c r="V14" i="4"/>
  <c r="W8" i="8" s="1"/>
  <c r="U14" i="4"/>
  <c r="V8" i="8" s="1"/>
  <c r="T14" i="4"/>
  <c r="U8" i="8" s="1"/>
  <c r="S14" i="4"/>
  <c r="R14" i="4"/>
  <c r="Q14" i="4"/>
  <c r="P14" i="4"/>
  <c r="O14" i="4"/>
  <c r="N14" i="4"/>
  <c r="M14" i="4"/>
  <c r="N8" i="8" s="1"/>
  <c r="L14" i="4"/>
  <c r="K14" i="4"/>
  <c r="J14" i="4"/>
  <c r="K8" i="8" s="1"/>
  <c r="I14" i="4"/>
  <c r="J8" i="8" s="1"/>
  <c r="H14" i="4"/>
  <c r="I8" i="8" s="1"/>
  <c r="G14" i="4"/>
  <c r="F14" i="4"/>
  <c r="E14" i="4"/>
  <c r="D14" i="4"/>
  <c r="C14" i="4"/>
  <c r="B14" i="4"/>
  <c r="AE13" i="4"/>
  <c r="AD13" i="4"/>
  <c r="AC13" i="4"/>
  <c r="AB13" i="4"/>
  <c r="AC19" i="8" s="1"/>
  <c r="AA13" i="4"/>
  <c r="AB19" i="8" s="1"/>
  <c r="Z13" i="4"/>
  <c r="AA19" i="8" s="1"/>
  <c r="Y13" i="4"/>
  <c r="X13" i="4"/>
  <c r="W13" i="4"/>
  <c r="V13" i="4"/>
  <c r="U13" i="4"/>
  <c r="T13" i="4"/>
  <c r="S13" i="4"/>
  <c r="R13" i="4"/>
  <c r="Q13" i="4"/>
  <c r="P13" i="4"/>
  <c r="O13" i="4"/>
  <c r="P19" i="8" s="1"/>
  <c r="N13" i="4"/>
  <c r="O19" i="8" s="1"/>
  <c r="M13" i="4"/>
  <c r="L13" i="4"/>
  <c r="K13" i="4"/>
  <c r="J13" i="4"/>
  <c r="I13" i="4"/>
  <c r="H13" i="4"/>
  <c r="G13" i="4"/>
  <c r="F13" i="4"/>
  <c r="E13" i="4"/>
  <c r="D13" i="4"/>
  <c r="C13" i="4"/>
  <c r="D19" i="8" s="1"/>
  <c r="B13" i="4"/>
  <c r="C19" i="8" s="1"/>
  <c r="AE12" i="4"/>
  <c r="AD12" i="4"/>
  <c r="AC12" i="4"/>
  <c r="AB12" i="4"/>
  <c r="AA12" i="4"/>
  <c r="Z12" i="4"/>
  <c r="Y12" i="4"/>
  <c r="Z7" i="8" s="1"/>
  <c r="X12" i="4"/>
  <c r="W12" i="4"/>
  <c r="V12" i="4"/>
  <c r="U12" i="4"/>
  <c r="T12" i="4"/>
  <c r="U7" i="8" s="1"/>
  <c r="S12" i="4"/>
  <c r="R12" i="4"/>
  <c r="Q12" i="4"/>
  <c r="P12" i="4"/>
  <c r="O12" i="4"/>
  <c r="N12" i="4"/>
  <c r="M12" i="4"/>
  <c r="L12" i="4"/>
  <c r="K12" i="4"/>
  <c r="J12" i="4"/>
  <c r="I12" i="4"/>
  <c r="J7" i="8" s="1"/>
  <c r="H12" i="4"/>
  <c r="I7" i="8" s="1"/>
  <c r="G12" i="4"/>
  <c r="F12" i="4"/>
  <c r="E12" i="4"/>
  <c r="D12" i="4"/>
  <c r="C12" i="4"/>
  <c r="B12" i="4"/>
  <c r="AE11" i="4"/>
  <c r="AF13" i="8" s="1"/>
  <c r="AD11" i="4"/>
  <c r="AC11" i="4"/>
  <c r="AB11" i="4"/>
  <c r="AC13" i="8" s="1"/>
  <c r="AA11" i="4"/>
  <c r="AB13" i="8" s="1"/>
  <c r="Z11" i="4"/>
  <c r="AA13" i="8" s="1"/>
  <c r="Y11" i="4"/>
  <c r="X11" i="4"/>
  <c r="W11" i="4"/>
  <c r="V11" i="4"/>
  <c r="U11" i="4"/>
  <c r="T11" i="4"/>
  <c r="S11" i="4"/>
  <c r="T13" i="8" s="1"/>
  <c r="R11" i="4"/>
  <c r="Q11" i="4"/>
  <c r="P11" i="4"/>
  <c r="Q13" i="8" s="1"/>
  <c r="O11" i="4"/>
  <c r="P13" i="8" s="1"/>
  <c r="N11" i="4"/>
  <c r="O13" i="8" s="1"/>
  <c r="M11" i="4"/>
  <c r="L11" i="4"/>
  <c r="K11" i="4"/>
  <c r="J11" i="4"/>
  <c r="I11" i="4"/>
  <c r="H11" i="4"/>
  <c r="G11" i="4"/>
  <c r="H13" i="8" s="1"/>
  <c r="F11" i="4"/>
  <c r="E11" i="4"/>
  <c r="D11" i="4"/>
  <c r="E13" i="8" s="1"/>
  <c r="C11" i="4"/>
  <c r="D13" i="8" s="1"/>
  <c r="B11" i="4"/>
  <c r="C13" i="8" s="1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N35" i="8" s="1"/>
  <c r="L10" i="4"/>
  <c r="K10" i="4"/>
  <c r="J10" i="4"/>
  <c r="K35" i="8" s="1"/>
  <c r="I10" i="4"/>
  <c r="J35" i="8" s="1"/>
  <c r="H10" i="4"/>
  <c r="I35" i="8" s="1"/>
  <c r="G10" i="4"/>
  <c r="F10" i="4"/>
  <c r="E10" i="4"/>
  <c r="D10" i="4"/>
  <c r="C10" i="4"/>
  <c r="B10" i="4"/>
  <c r="AE9" i="4"/>
  <c r="AD9" i="4"/>
  <c r="AC9" i="4"/>
  <c r="AB9" i="4"/>
  <c r="AC15" i="8" s="1"/>
  <c r="AA9" i="4"/>
  <c r="AB15" i="8" s="1"/>
  <c r="Z9" i="4"/>
  <c r="AA15" i="8" s="1"/>
  <c r="Y9" i="4"/>
  <c r="X9" i="4"/>
  <c r="W9" i="4"/>
  <c r="V9" i="4"/>
  <c r="U9" i="4"/>
  <c r="T9" i="4"/>
  <c r="S9" i="4"/>
  <c r="R9" i="4"/>
  <c r="Q9" i="4"/>
  <c r="P9" i="4"/>
  <c r="Q15" i="8" s="1"/>
  <c r="O9" i="4"/>
  <c r="P15" i="8" s="1"/>
  <c r="N9" i="4"/>
  <c r="O15" i="8" s="1"/>
  <c r="M9" i="4"/>
  <c r="L9" i="4"/>
  <c r="K9" i="4"/>
  <c r="J9" i="4"/>
  <c r="I9" i="4"/>
  <c r="H9" i="4"/>
  <c r="G9" i="4"/>
  <c r="H15" i="8" s="1"/>
  <c r="F9" i="4"/>
  <c r="E9" i="4"/>
  <c r="D9" i="4"/>
  <c r="C9" i="4"/>
  <c r="B9" i="4"/>
  <c r="C15" i="8" s="1"/>
  <c r="AE8" i="4"/>
  <c r="AD8" i="4"/>
  <c r="AC8" i="4"/>
  <c r="AB8" i="4"/>
  <c r="AA8" i="4"/>
  <c r="Z8" i="4"/>
  <c r="Y8" i="4"/>
  <c r="Z18" i="8" s="1"/>
  <c r="X8" i="4"/>
  <c r="W8" i="4"/>
  <c r="V8" i="4"/>
  <c r="W18" i="8" s="1"/>
  <c r="U8" i="4"/>
  <c r="V18" i="8" s="1"/>
  <c r="T8" i="4"/>
  <c r="U18" i="8" s="1"/>
  <c r="S8" i="4"/>
  <c r="R8" i="4"/>
  <c r="Q8" i="4"/>
  <c r="P8" i="4"/>
  <c r="O8" i="4"/>
  <c r="N8" i="4"/>
  <c r="M8" i="4"/>
  <c r="N18" i="8" s="1"/>
  <c r="L8" i="4"/>
  <c r="K8" i="4"/>
  <c r="J8" i="4"/>
  <c r="I8" i="4"/>
  <c r="J18" i="8" s="1"/>
  <c r="H8" i="4"/>
  <c r="I18" i="8" s="1"/>
  <c r="G8" i="4"/>
  <c r="F8" i="4"/>
  <c r="E8" i="4"/>
  <c r="D8" i="4"/>
  <c r="C8" i="4"/>
  <c r="B8" i="4"/>
  <c r="AE7" i="4"/>
  <c r="AF11" i="8" s="1"/>
  <c r="AD7" i="4"/>
  <c r="AC7" i="4"/>
  <c r="AB7" i="4"/>
  <c r="AA7" i="4"/>
  <c r="AB11" i="8" s="1"/>
  <c r="Z7" i="4"/>
  <c r="AA11" i="8" s="1"/>
  <c r="Y7" i="4"/>
  <c r="X7" i="4"/>
  <c r="W7" i="4"/>
  <c r="V7" i="4"/>
  <c r="U7" i="4"/>
  <c r="T7" i="4"/>
  <c r="S7" i="4"/>
  <c r="R7" i="4"/>
  <c r="Q7" i="4"/>
  <c r="P7" i="4"/>
  <c r="O7" i="4"/>
  <c r="P11" i="8" s="1"/>
  <c r="N7" i="4"/>
  <c r="M7" i="4"/>
  <c r="L7" i="4"/>
  <c r="M11" i="8" s="1"/>
  <c r="K7" i="4"/>
  <c r="J7" i="4"/>
  <c r="I7" i="4"/>
  <c r="H7" i="4"/>
  <c r="G7" i="4"/>
  <c r="H11" i="8" s="1"/>
  <c r="F7" i="4"/>
  <c r="E7" i="4"/>
  <c r="D7" i="4"/>
  <c r="E11" i="8" s="1"/>
  <c r="C7" i="4"/>
  <c r="D11" i="8" s="1"/>
  <c r="B7" i="4"/>
  <c r="C11" i="8" s="1"/>
  <c r="AE6" i="4"/>
  <c r="AD6" i="4"/>
  <c r="AC6" i="4"/>
  <c r="AB6" i="4"/>
  <c r="AA6" i="4"/>
  <c r="Z6" i="4"/>
  <c r="Y6" i="4"/>
  <c r="Z14" i="8" s="1"/>
  <c r="X6" i="4"/>
  <c r="W6" i="4"/>
  <c r="V6" i="4"/>
  <c r="U6" i="4"/>
  <c r="V14" i="8" s="1"/>
  <c r="T6" i="4"/>
  <c r="U14" i="8" s="1"/>
  <c r="S6" i="4"/>
  <c r="R6" i="4"/>
  <c r="Q6" i="4"/>
  <c r="P6" i="4"/>
  <c r="O6" i="4"/>
  <c r="N6" i="4"/>
  <c r="M6" i="4"/>
  <c r="N14" i="8" s="1"/>
  <c r="L6" i="4"/>
  <c r="K6" i="4"/>
  <c r="J6" i="4"/>
  <c r="K14" i="8" s="1"/>
  <c r="I6" i="4"/>
  <c r="J14" i="8" s="1"/>
  <c r="H6" i="4"/>
  <c r="I14" i="8" s="1"/>
  <c r="G6" i="4"/>
  <c r="F6" i="4"/>
  <c r="E6" i="4"/>
  <c r="D6" i="4"/>
  <c r="C6" i="4"/>
  <c r="B6" i="4"/>
  <c r="AE5" i="4"/>
  <c r="AD5" i="4"/>
  <c r="AC5" i="4"/>
  <c r="AB5" i="4"/>
  <c r="AA5" i="4"/>
  <c r="AB10" i="8" s="1"/>
  <c r="Z5" i="4"/>
  <c r="AA10" i="8" s="1"/>
  <c r="Y5" i="4"/>
  <c r="X5" i="4"/>
  <c r="W5" i="4"/>
  <c r="V5" i="4"/>
  <c r="U5" i="4"/>
  <c r="T5" i="4"/>
  <c r="S5" i="4"/>
  <c r="T10" i="8" s="1"/>
  <c r="R5" i="4"/>
  <c r="Q5" i="4"/>
  <c r="P5" i="4"/>
  <c r="Q10" i="8" s="1"/>
  <c r="O5" i="4"/>
  <c r="P10" i="8" s="1"/>
  <c r="N5" i="4"/>
  <c r="O10" i="8" s="1"/>
  <c r="M5" i="4"/>
  <c r="L5" i="4"/>
  <c r="K5" i="4"/>
  <c r="J5" i="4"/>
  <c r="I5" i="4"/>
  <c r="H5" i="4"/>
  <c r="G5" i="4"/>
  <c r="F5" i="4"/>
  <c r="E5" i="4"/>
  <c r="D5" i="4"/>
  <c r="E10" i="8" s="1"/>
  <c r="C5" i="4"/>
  <c r="D10" i="8" s="1"/>
  <c r="B5" i="4"/>
  <c r="C10" i="8" s="1"/>
  <c r="AE4" i="4"/>
  <c r="AD4" i="4"/>
  <c r="AE9" i="8" s="1"/>
  <c r="AC4" i="4"/>
  <c r="AB4" i="4"/>
  <c r="AA4" i="4"/>
  <c r="Z4" i="4"/>
  <c r="Y4" i="4"/>
  <c r="Z9" i="8" s="1"/>
  <c r="X4" i="4"/>
  <c r="W4" i="4"/>
  <c r="V4" i="4"/>
  <c r="W9" i="8" s="1"/>
  <c r="U4" i="4"/>
  <c r="V9" i="8" s="1"/>
  <c r="T4" i="4"/>
  <c r="U9" i="8" s="1"/>
  <c r="S4" i="4"/>
  <c r="R4" i="4"/>
  <c r="Q4" i="4"/>
  <c r="P4" i="4"/>
  <c r="O4" i="4"/>
  <c r="N4" i="4"/>
  <c r="M4" i="4"/>
  <c r="N9" i="8" s="1"/>
  <c r="L4" i="4"/>
  <c r="K4" i="4"/>
  <c r="J4" i="4"/>
  <c r="K9" i="8" s="1"/>
  <c r="I4" i="4"/>
  <c r="H4" i="4"/>
  <c r="G4" i="4"/>
  <c r="F4" i="4"/>
  <c r="G9" i="8" s="1"/>
  <c r="E4" i="4"/>
  <c r="D4" i="4"/>
  <c r="C4" i="4"/>
  <c r="B4" i="4"/>
  <c r="AE3" i="4"/>
  <c r="AF6" i="8" s="1"/>
  <c r="AD3" i="4"/>
  <c r="AC3" i="4"/>
  <c r="AB3" i="4"/>
  <c r="AC6" i="8" s="1"/>
  <c r="AA3" i="4"/>
  <c r="AB6" i="8" s="1"/>
  <c r="Z3" i="4"/>
  <c r="AA6" i="8" s="1"/>
  <c r="Y3" i="4"/>
  <c r="X3" i="4"/>
  <c r="Y6" i="8" s="1"/>
  <c r="W3" i="4"/>
  <c r="V3" i="4"/>
  <c r="U3" i="4"/>
  <c r="T3" i="4"/>
  <c r="S3" i="4"/>
  <c r="T6" i="8" s="1"/>
  <c r="R3" i="4"/>
  <c r="Q3" i="4"/>
  <c r="P3" i="4"/>
  <c r="O3" i="4"/>
  <c r="N3" i="4"/>
  <c r="O6" i="8" s="1"/>
  <c r="M3" i="4"/>
  <c r="L3" i="4"/>
  <c r="K3" i="4"/>
  <c r="J3" i="4"/>
  <c r="I3" i="4"/>
  <c r="H3" i="4"/>
  <c r="G3" i="4"/>
  <c r="F3" i="4"/>
  <c r="E3" i="4"/>
  <c r="D3" i="4"/>
  <c r="E6" i="8" s="1"/>
  <c r="C3" i="4"/>
  <c r="D6" i="8" s="1"/>
  <c r="B3" i="4"/>
  <c r="C6" i="8" s="1"/>
  <c r="AE2" i="4"/>
  <c r="AD2" i="4"/>
  <c r="AE5" i="8" s="1"/>
  <c r="AC2" i="4"/>
  <c r="AB2" i="4"/>
  <c r="AA2" i="4"/>
  <c r="Z2" i="4"/>
  <c r="Y2" i="4"/>
  <c r="Z5" i="8" s="1"/>
  <c r="X2" i="4"/>
  <c r="W2" i="4"/>
  <c r="X5" i="8" s="1"/>
  <c r="V2" i="4"/>
  <c r="W5" i="8" s="1"/>
  <c r="U2" i="4"/>
  <c r="V5" i="8" s="1"/>
  <c r="T2" i="4"/>
  <c r="U5" i="8" s="1"/>
  <c r="S2" i="4"/>
  <c r="R2" i="4"/>
  <c r="S5" i="8" s="1"/>
  <c r="Q2" i="4"/>
  <c r="P2" i="4"/>
  <c r="O2" i="4"/>
  <c r="N2" i="4"/>
  <c r="M2" i="4"/>
  <c r="L2" i="4"/>
  <c r="K2" i="4"/>
  <c r="J2" i="4"/>
  <c r="I2" i="4"/>
  <c r="J5" i="8" s="1"/>
  <c r="H2" i="4"/>
  <c r="I5" i="8" s="1"/>
  <c r="G2" i="4"/>
  <c r="F2" i="4"/>
  <c r="G5" i="8" s="1"/>
  <c r="E2" i="4"/>
  <c r="D2" i="4"/>
  <c r="C2" i="4"/>
  <c r="Y5" i="8"/>
  <c r="L5" i="8"/>
  <c r="K5" i="8"/>
  <c r="B2" i="4"/>
  <c r="B12" i="2"/>
  <c r="B13" i="2"/>
  <c r="B14" i="2"/>
  <c r="B15" i="2"/>
  <c r="B16" i="2"/>
  <c r="B17" i="2"/>
  <c r="B18" i="2"/>
  <c r="B19" i="2"/>
  <c r="AF35" i="8" s="1"/>
  <c r="B20" i="2"/>
  <c r="B21" i="2"/>
  <c r="AF7" i="8" s="1"/>
  <c r="B22" i="2"/>
  <c r="B23" i="2"/>
  <c r="AF8" i="8" s="1"/>
  <c r="B24" i="2"/>
  <c r="B25" i="2"/>
  <c r="B26" i="2"/>
  <c r="B27" i="2"/>
  <c r="B28" i="2"/>
  <c r="B29" i="2"/>
  <c r="B30" i="2"/>
  <c r="B31" i="2"/>
  <c r="AF29" i="8" s="1"/>
  <c r="B32" i="2"/>
  <c r="AF30" i="8" s="1"/>
  <c r="B33" i="2"/>
  <c r="AF31" i="8" s="1"/>
  <c r="B34" i="2"/>
  <c r="AF33" i="8" s="1"/>
  <c r="B35" i="2"/>
  <c r="AF32" i="8" s="1"/>
  <c r="B36" i="2"/>
  <c r="B37" i="2"/>
  <c r="B38" i="2"/>
  <c r="B39" i="2"/>
  <c r="B40" i="2"/>
  <c r="B41" i="2"/>
  <c r="B42" i="2"/>
  <c r="B43" i="2"/>
  <c r="AF4" i="8" s="1"/>
  <c r="B44" i="2"/>
  <c r="AF26" i="8" s="1"/>
  <c r="B45" i="2"/>
  <c r="AF27" i="8" s="1"/>
  <c r="B46" i="2"/>
  <c r="AF2" i="8" s="1"/>
  <c r="B47" i="2"/>
  <c r="AF34" i="8" s="1"/>
  <c r="B48" i="2"/>
  <c r="AF38" i="8" s="1"/>
  <c r="B49" i="2"/>
  <c r="AF39" i="8" s="1"/>
  <c r="B11" i="2"/>
  <c r="V39" i="8"/>
  <c r="P39" i="8"/>
  <c r="O39" i="8"/>
  <c r="M39" i="8"/>
  <c r="L39" i="8"/>
  <c r="K39" i="8"/>
  <c r="J39" i="8"/>
  <c r="C39" i="8"/>
  <c r="AE38" i="8"/>
  <c r="AD38" i="8"/>
  <c r="AB38" i="8"/>
  <c r="U38" i="8"/>
  <c r="T38" i="8"/>
  <c r="R38" i="8"/>
  <c r="Q38" i="8"/>
  <c r="H38" i="8"/>
  <c r="G38" i="8"/>
  <c r="F38" i="8"/>
  <c r="D38" i="8"/>
  <c r="Z34" i="8"/>
  <c r="X34" i="8"/>
  <c r="W34" i="8"/>
  <c r="V34" i="8"/>
  <c r="P34" i="8"/>
  <c r="N34" i="8"/>
  <c r="D34" i="8"/>
  <c r="C34" i="8"/>
  <c r="AE2" i="8"/>
  <c r="AD2" i="8"/>
  <c r="AC2" i="8"/>
  <c r="AB2" i="8"/>
  <c r="U2" i="8"/>
  <c r="S2" i="8"/>
  <c r="R2" i="8"/>
  <c r="I2" i="8"/>
  <c r="H2" i="8"/>
  <c r="F2" i="8"/>
  <c r="E2" i="8"/>
  <c r="D2" i="8"/>
  <c r="Z27" i="8"/>
  <c r="Y27" i="8"/>
  <c r="X27" i="8"/>
  <c r="L27" i="8"/>
  <c r="J27" i="8"/>
  <c r="D27" i="8"/>
  <c r="AB26" i="8"/>
  <c r="V26" i="8"/>
  <c r="U26" i="8"/>
  <c r="S26" i="8"/>
  <c r="R26" i="8"/>
  <c r="Q26" i="8"/>
  <c r="I26" i="8"/>
  <c r="H26" i="8"/>
  <c r="G26" i="8"/>
  <c r="D26" i="8"/>
  <c r="AA4" i="8"/>
  <c r="Z4" i="8"/>
  <c r="X4" i="8"/>
  <c r="W4" i="8"/>
  <c r="N4" i="8"/>
  <c r="M4" i="8"/>
  <c r="L4" i="8"/>
  <c r="J4" i="8"/>
  <c r="AA37" i="8"/>
  <c r="Y37" i="8"/>
  <c r="X37" i="8"/>
  <c r="W37" i="8"/>
  <c r="O37" i="8"/>
  <c r="N37" i="8"/>
  <c r="L37" i="8"/>
  <c r="AF28" i="8"/>
  <c r="AE28" i="8"/>
  <c r="AD28" i="8"/>
  <c r="AC28" i="8"/>
  <c r="R28" i="8"/>
  <c r="Q28" i="8"/>
  <c r="P28" i="8"/>
  <c r="J28" i="8"/>
  <c r="E28" i="8"/>
  <c r="AB21" i="8"/>
  <c r="AA21" i="8"/>
  <c r="Z21" i="8"/>
  <c r="Y21" i="8"/>
  <c r="X21" i="8"/>
  <c r="W21" i="8"/>
  <c r="V21" i="8"/>
  <c r="U21" i="8"/>
  <c r="O21" i="8"/>
  <c r="N21" i="8"/>
  <c r="M21" i="8"/>
  <c r="L21" i="8"/>
  <c r="C21" i="8"/>
  <c r="AF17" i="8"/>
  <c r="AD17" i="8"/>
  <c r="AC17" i="8"/>
  <c r="AB17" i="8"/>
  <c r="T17" i="8"/>
  <c r="S17" i="8"/>
  <c r="R17" i="8"/>
  <c r="H17" i="8"/>
  <c r="F17" i="8"/>
  <c r="E17" i="8"/>
  <c r="D17" i="8"/>
  <c r="C17" i="8"/>
  <c r="AB36" i="8"/>
  <c r="P36" i="8"/>
  <c r="O36" i="8"/>
  <c r="L36" i="8"/>
  <c r="K36" i="8"/>
  <c r="AF12" i="8"/>
  <c r="AE12" i="8"/>
  <c r="AD12" i="8"/>
  <c r="V12" i="8"/>
  <c r="U12" i="8"/>
  <c r="T12" i="8"/>
  <c r="S12" i="8"/>
  <c r="R12" i="8"/>
  <c r="H12" i="8"/>
  <c r="G12" i="8"/>
  <c r="F12" i="8"/>
  <c r="E12" i="8"/>
  <c r="AA32" i="8"/>
  <c r="P32" i="8"/>
  <c r="O32" i="8"/>
  <c r="M32" i="8"/>
  <c r="L32" i="8"/>
  <c r="K32" i="8"/>
  <c r="C32" i="8"/>
  <c r="AE33" i="8"/>
  <c r="AD33" i="8"/>
  <c r="T33" i="8"/>
  <c r="S33" i="8"/>
  <c r="R33" i="8"/>
  <c r="Q33" i="8"/>
  <c r="J33" i="8"/>
  <c r="I33" i="8"/>
  <c r="F33" i="8"/>
  <c r="Z31" i="8"/>
  <c r="Y31" i="8"/>
  <c r="W31" i="8"/>
  <c r="V31" i="8"/>
  <c r="P31" i="8"/>
  <c r="O31" i="8"/>
  <c r="M31" i="8"/>
  <c r="L31" i="8"/>
  <c r="AE30" i="8"/>
  <c r="AD30" i="8"/>
  <c r="AC30" i="8"/>
  <c r="AB30" i="8"/>
  <c r="AA30" i="8"/>
  <c r="U30" i="8"/>
  <c r="T30" i="8"/>
  <c r="S30" i="8"/>
  <c r="R30" i="8"/>
  <c r="J30" i="8"/>
  <c r="I30" i="8"/>
  <c r="E30" i="8"/>
  <c r="D30" i="8"/>
  <c r="C30" i="8"/>
  <c r="AA29" i="8"/>
  <c r="Z29" i="8"/>
  <c r="Y29" i="8"/>
  <c r="X29" i="8"/>
  <c r="M29" i="8"/>
  <c r="L29" i="8"/>
  <c r="D29" i="8"/>
  <c r="C29" i="8"/>
  <c r="AF3" i="8"/>
  <c r="AE3" i="8"/>
  <c r="AD3" i="8"/>
  <c r="T3" i="8"/>
  <c r="S3" i="8"/>
  <c r="R3" i="8"/>
  <c r="Q3" i="8"/>
  <c r="P3" i="8"/>
  <c r="J3" i="8"/>
  <c r="I3" i="8"/>
  <c r="F3" i="8"/>
  <c r="AF25" i="8"/>
  <c r="Z25" i="8"/>
  <c r="Y25" i="8"/>
  <c r="X25" i="8"/>
  <c r="W25" i="8"/>
  <c r="V25" i="8"/>
  <c r="U25" i="8"/>
  <c r="O25" i="8"/>
  <c r="N25" i="8"/>
  <c r="M25" i="8"/>
  <c r="L25" i="8"/>
  <c r="D25" i="8"/>
  <c r="C25" i="8"/>
  <c r="AF24" i="8"/>
  <c r="AE24" i="8"/>
  <c r="AD24" i="8"/>
  <c r="AC24" i="8"/>
  <c r="U24" i="8"/>
  <c r="R24" i="8"/>
  <c r="F24" i="8"/>
  <c r="Y16" i="8"/>
  <c r="X16" i="8"/>
  <c r="W16" i="8"/>
  <c r="M16" i="8"/>
  <c r="L16" i="8"/>
  <c r="D16" i="8"/>
  <c r="C16" i="8"/>
  <c r="AF23" i="8"/>
  <c r="AE23" i="8"/>
  <c r="U23" i="8"/>
  <c r="S23" i="8"/>
  <c r="R23" i="8"/>
  <c r="Q23" i="8"/>
  <c r="H23" i="8"/>
  <c r="D23" i="8"/>
  <c r="C23" i="8"/>
  <c r="AB22" i="8"/>
  <c r="AA22" i="8"/>
  <c r="Y22" i="8"/>
  <c r="X22" i="8"/>
  <c r="M22" i="8"/>
  <c r="K22" i="8"/>
  <c r="J22" i="8"/>
  <c r="C22" i="8"/>
  <c r="AE20" i="8"/>
  <c r="AD20" i="8"/>
  <c r="V20" i="8"/>
  <c r="U20" i="8"/>
  <c r="R20" i="8"/>
  <c r="Q20" i="8"/>
  <c r="I20" i="8"/>
  <c r="G20" i="8"/>
  <c r="AB8" i="8"/>
  <c r="AA8" i="8"/>
  <c r="Z8" i="8"/>
  <c r="Y8" i="8"/>
  <c r="O8" i="8"/>
  <c r="M8" i="8"/>
  <c r="L8" i="8"/>
  <c r="AE19" i="8"/>
  <c r="AD19" i="8"/>
  <c r="V19" i="8"/>
  <c r="U19" i="8"/>
  <c r="R19" i="8"/>
  <c r="Q19" i="8"/>
  <c r="H19" i="8"/>
  <c r="G19" i="8"/>
  <c r="E19" i="8"/>
  <c r="AA7" i="8"/>
  <c r="Y7" i="8"/>
  <c r="X7" i="8"/>
  <c r="W7" i="8"/>
  <c r="P7" i="8"/>
  <c r="O7" i="8"/>
  <c r="L7" i="8"/>
  <c r="K7" i="8"/>
  <c r="C7" i="8"/>
  <c r="S13" i="8"/>
  <c r="R13" i="8"/>
  <c r="I13" i="8"/>
  <c r="G13" i="8"/>
  <c r="F13" i="8"/>
  <c r="Z35" i="8"/>
  <c r="Y35" i="8"/>
  <c r="X35" i="8"/>
  <c r="W35" i="8"/>
  <c r="V35" i="8"/>
  <c r="U35" i="8"/>
  <c r="P35" i="8"/>
  <c r="O35" i="8"/>
  <c r="L35" i="8"/>
  <c r="AE15" i="8"/>
  <c r="AD15" i="8"/>
  <c r="V15" i="8"/>
  <c r="U15" i="8"/>
  <c r="T15" i="8"/>
  <c r="S15" i="8"/>
  <c r="R15" i="8"/>
  <c r="G15" i="8"/>
  <c r="F15" i="8"/>
  <c r="E15" i="8"/>
  <c r="D15" i="8"/>
  <c r="AF18" i="8"/>
  <c r="AA18" i="8"/>
  <c r="X18" i="8"/>
  <c r="P18" i="8"/>
  <c r="O18" i="8"/>
  <c r="M18" i="8"/>
  <c r="L18" i="8"/>
  <c r="K18" i="8"/>
  <c r="C18" i="8"/>
  <c r="AE11" i="8"/>
  <c r="AD11" i="8"/>
  <c r="AC11" i="8"/>
  <c r="V11" i="8"/>
  <c r="U11" i="8"/>
  <c r="R11" i="8"/>
  <c r="I11" i="8"/>
  <c r="G11" i="8"/>
  <c r="F11" i="8"/>
  <c r="Y14" i="8"/>
  <c r="X14" i="8"/>
  <c r="W14" i="8"/>
  <c r="P14" i="8"/>
  <c r="O14" i="8"/>
  <c r="M14" i="8"/>
  <c r="L14" i="8"/>
  <c r="AF10" i="8"/>
  <c r="AE10" i="8"/>
  <c r="AD10" i="8"/>
  <c r="AC10" i="8"/>
  <c r="J10" i="8"/>
  <c r="I10" i="8"/>
  <c r="H10" i="8"/>
  <c r="G10" i="8"/>
  <c r="F10" i="8"/>
  <c r="AF9" i="8"/>
  <c r="Y9" i="8"/>
  <c r="X9" i="8"/>
  <c r="P9" i="8"/>
  <c r="J9" i="8"/>
  <c r="I9" i="8"/>
  <c r="AE6" i="8"/>
  <c r="AD6" i="8"/>
  <c r="U6" i="8"/>
  <c r="S6" i="8"/>
  <c r="R6" i="8"/>
  <c r="Q6" i="8"/>
  <c r="P6" i="8"/>
  <c r="J6" i="8"/>
  <c r="I6" i="8"/>
  <c r="G6" i="8"/>
  <c r="T5" i="8"/>
  <c r="O5" i="8"/>
  <c r="H5" i="8"/>
  <c r="C5" i="8"/>
  <c r="AF5" i="8"/>
  <c r="Z39" i="8"/>
  <c r="N39" i="8"/>
  <c r="T2" i="8"/>
  <c r="N27" i="8"/>
  <c r="T26" i="8"/>
  <c r="Z37" i="8"/>
  <c r="T28" i="8"/>
  <c r="H28" i="8"/>
  <c r="Z36" i="8"/>
  <c r="Y36" i="8"/>
  <c r="N36" i="8"/>
  <c r="M36" i="8"/>
  <c r="Z32" i="8"/>
  <c r="Y32" i="8"/>
  <c r="X32" i="8"/>
  <c r="N32" i="8"/>
  <c r="H33" i="8"/>
  <c r="G33" i="8"/>
  <c r="X31" i="8"/>
  <c r="N31" i="8"/>
  <c r="H30" i="8"/>
  <c r="G30" i="8"/>
  <c r="F30" i="8"/>
  <c r="N29" i="8"/>
  <c r="H3" i="8"/>
  <c r="G3" i="8"/>
  <c r="E3" i="8"/>
  <c r="C3" i="8"/>
  <c r="H24" i="8"/>
  <c r="G24" i="8"/>
  <c r="G23" i="8"/>
  <c r="F23" i="8"/>
  <c r="E23" i="8"/>
  <c r="S20" i="8"/>
  <c r="F20" i="8"/>
  <c r="T19" i="8"/>
  <c r="S19" i="8"/>
  <c r="N7" i="8"/>
  <c r="M7" i="8"/>
  <c r="AE13" i="8"/>
  <c r="AD13" i="8"/>
  <c r="M35" i="8"/>
  <c r="Y18" i="8"/>
  <c r="T11" i="8"/>
  <c r="Q11" i="8"/>
  <c r="O11" i="8"/>
  <c r="S10" i="8"/>
  <c r="M9" i="8"/>
  <c r="L9" i="8"/>
  <c r="H6" i="8"/>
  <c r="F6" i="8"/>
  <c r="M5" i="8"/>
  <c r="AC35" i="8"/>
  <c r="AB35" i="8"/>
  <c r="F26" i="8"/>
  <c r="T24" i="8"/>
  <c r="S24" i="8"/>
  <c r="AB16" i="8"/>
  <c r="AA16" i="8"/>
  <c r="Y15" i="8"/>
  <c r="X15" i="8"/>
  <c r="W15" i="8"/>
  <c r="W13" i="8"/>
  <c r="V13" i="8"/>
  <c r="U13" i="8"/>
  <c r="X11" i="8"/>
  <c r="Z10" i="8"/>
  <c r="M2" i="8"/>
  <c r="L2" i="8"/>
  <c r="G39" i="7"/>
  <c r="F39" i="7"/>
  <c r="E39" i="7"/>
  <c r="D39" i="7"/>
  <c r="C39" i="7"/>
  <c r="G38" i="7"/>
  <c r="F38" i="7"/>
  <c r="E38" i="7"/>
  <c r="D38" i="7"/>
  <c r="C38" i="7"/>
  <c r="G37" i="7"/>
  <c r="F37" i="7"/>
  <c r="E37" i="7"/>
  <c r="D37" i="7"/>
  <c r="C37" i="7"/>
  <c r="G36" i="7"/>
  <c r="F36" i="7"/>
  <c r="E36" i="7"/>
  <c r="D36" i="7"/>
  <c r="C36" i="7"/>
  <c r="G35" i="7"/>
  <c r="F35" i="7"/>
  <c r="E35" i="7"/>
  <c r="D35" i="7"/>
  <c r="C35" i="7"/>
  <c r="G34" i="7"/>
  <c r="F34" i="7"/>
  <c r="E34" i="7"/>
  <c r="D34" i="7"/>
  <c r="C34" i="7"/>
  <c r="G33" i="7"/>
  <c r="F33" i="7"/>
  <c r="E33" i="7"/>
  <c r="D33" i="7"/>
  <c r="C33" i="7"/>
  <c r="G32" i="7"/>
  <c r="F32" i="7"/>
  <c r="E32" i="7"/>
  <c r="D32" i="7"/>
  <c r="C32" i="7"/>
  <c r="G31" i="7"/>
  <c r="F31" i="7"/>
  <c r="E31" i="7"/>
  <c r="D31" i="7"/>
  <c r="C31" i="7"/>
  <c r="G30" i="7"/>
  <c r="F30" i="7"/>
  <c r="E30" i="7"/>
  <c r="D30" i="7"/>
  <c r="C30" i="7"/>
  <c r="G29" i="7"/>
  <c r="F29" i="7"/>
  <c r="E29" i="7"/>
  <c r="D29" i="7"/>
  <c r="C29" i="7"/>
  <c r="G28" i="7"/>
  <c r="F28" i="7"/>
  <c r="E28" i="7"/>
  <c r="D28" i="7"/>
  <c r="C28" i="7"/>
  <c r="G27" i="7"/>
  <c r="F27" i="7"/>
  <c r="E27" i="7"/>
  <c r="D27" i="7"/>
  <c r="C27" i="7"/>
  <c r="G26" i="7"/>
  <c r="F26" i="7"/>
  <c r="E26" i="7"/>
  <c r="D26" i="7"/>
  <c r="C26" i="7"/>
  <c r="G25" i="7"/>
  <c r="F25" i="7"/>
  <c r="E25" i="7"/>
  <c r="D25" i="7"/>
  <c r="C25" i="7"/>
  <c r="G24" i="7"/>
  <c r="F24" i="7"/>
  <c r="E24" i="7"/>
  <c r="D24" i="7"/>
  <c r="C24" i="7"/>
  <c r="G23" i="7"/>
  <c r="F23" i="7"/>
  <c r="E23" i="7"/>
  <c r="D23" i="7"/>
  <c r="C23" i="7"/>
  <c r="G22" i="7"/>
  <c r="F22" i="7"/>
  <c r="E22" i="7"/>
  <c r="D22" i="7"/>
  <c r="C22" i="7"/>
  <c r="G21" i="7"/>
  <c r="F21" i="7"/>
  <c r="E21" i="7"/>
  <c r="D21" i="7"/>
  <c r="C21" i="7"/>
  <c r="G20" i="7"/>
  <c r="F20" i="7"/>
  <c r="E20" i="7"/>
  <c r="D20" i="7"/>
  <c r="C20" i="7"/>
  <c r="G19" i="7"/>
  <c r="F19" i="7"/>
  <c r="E19" i="7"/>
  <c r="D19" i="7"/>
  <c r="C19" i="7"/>
  <c r="G18" i="7"/>
  <c r="F18" i="7"/>
  <c r="E18" i="7"/>
  <c r="D18" i="7"/>
  <c r="C18" i="7"/>
  <c r="G17" i="7"/>
  <c r="F17" i="7"/>
  <c r="E17" i="7"/>
  <c r="D17" i="7"/>
  <c r="C17" i="7"/>
  <c r="G16" i="7"/>
  <c r="F16" i="7"/>
  <c r="E16" i="7"/>
  <c r="D16" i="7"/>
  <c r="C16" i="7"/>
  <c r="G15" i="7"/>
  <c r="F15" i="7"/>
  <c r="E15" i="7"/>
  <c r="D15" i="7"/>
  <c r="C15" i="7"/>
  <c r="G14" i="7"/>
  <c r="F14" i="7"/>
  <c r="E14" i="7"/>
  <c r="D14" i="7"/>
  <c r="C14" i="7"/>
  <c r="G13" i="7"/>
  <c r="F13" i="7"/>
  <c r="E13" i="7"/>
  <c r="D13" i="7"/>
  <c r="C13" i="7"/>
  <c r="G12" i="7"/>
  <c r="F12" i="7"/>
  <c r="E12" i="7"/>
  <c r="D12" i="7"/>
  <c r="C12" i="7"/>
  <c r="G11" i="7"/>
  <c r="F11" i="7"/>
  <c r="E11" i="7"/>
  <c r="D11" i="7"/>
  <c r="C11" i="7"/>
  <c r="G10" i="7"/>
  <c r="F10" i="7"/>
  <c r="E10" i="7"/>
  <c r="D10" i="7"/>
  <c r="C10" i="7"/>
  <c r="G9" i="7"/>
  <c r="F9" i="7"/>
  <c r="E9" i="7"/>
  <c r="D9" i="7"/>
  <c r="C9" i="7"/>
  <c r="G8" i="7"/>
  <c r="F8" i="7"/>
  <c r="E8" i="7"/>
  <c r="D8" i="7"/>
  <c r="C8" i="7"/>
  <c r="G7" i="7"/>
  <c r="F7" i="7"/>
  <c r="E7" i="7"/>
  <c r="D7" i="7"/>
  <c r="C7" i="7"/>
  <c r="G6" i="7"/>
  <c r="F6" i="7"/>
  <c r="E6" i="7"/>
  <c r="D6" i="7"/>
  <c r="C6" i="7"/>
  <c r="G5" i="7"/>
  <c r="F5" i="7"/>
  <c r="E5" i="7"/>
  <c r="D5" i="7"/>
  <c r="C5" i="7"/>
  <c r="G4" i="7"/>
  <c r="F4" i="7"/>
  <c r="E4" i="7"/>
  <c r="D4" i="7"/>
  <c r="C4" i="7"/>
  <c r="G3" i="7"/>
  <c r="F3" i="7"/>
  <c r="E3" i="7"/>
  <c r="D3" i="7"/>
  <c r="C3" i="7"/>
  <c r="G2" i="7"/>
  <c r="F2" i="7"/>
  <c r="E2" i="7"/>
  <c r="D2" i="7"/>
  <c r="C2" i="7"/>
  <c r="A2" i="7"/>
  <c r="A2" i="5"/>
  <c r="K6" i="8"/>
  <c r="L6" i="8"/>
  <c r="M6" i="8"/>
  <c r="N6" i="8"/>
  <c r="V6" i="8"/>
  <c r="W6" i="8"/>
  <c r="X6" i="8"/>
  <c r="Z6" i="8"/>
  <c r="C9" i="8"/>
  <c r="D9" i="8"/>
  <c r="E9" i="8"/>
  <c r="F9" i="8"/>
  <c r="H9" i="8"/>
  <c r="O9" i="8"/>
  <c r="Q9" i="8"/>
  <c r="R9" i="8"/>
  <c r="S9" i="8"/>
  <c r="T9" i="8"/>
  <c r="AA9" i="8"/>
  <c r="AB9" i="8"/>
  <c r="AC9" i="8"/>
  <c r="AD9" i="8"/>
  <c r="K10" i="8"/>
  <c r="L10" i="8"/>
  <c r="M10" i="8"/>
  <c r="N10" i="8"/>
  <c r="R10" i="8"/>
  <c r="U10" i="8"/>
  <c r="V10" i="8"/>
  <c r="W10" i="8"/>
  <c r="X10" i="8"/>
  <c r="Y10" i="8"/>
  <c r="C14" i="8"/>
  <c r="D14" i="8"/>
  <c r="E14" i="8"/>
  <c r="F14" i="8"/>
  <c r="G14" i="8"/>
  <c r="H14" i="8"/>
  <c r="Q14" i="8"/>
  <c r="R14" i="8"/>
  <c r="S14" i="8"/>
  <c r="T14" i="8"/>
  <c r="AA14" i="8"/>
  <c r="AB14" i="8"/>
  <c r="AC14" i="8"/>
  <c r="AD14" i="8"/>
  <c r="AE14" i="8"/>
  <c r="AF14" i="8"/>
  <c r="J11" i="8"/>
  <c r="K11" i="8"/>
  <c r="L11" i="8"/>
  <c r="N11" i="8"/>
  <c r="S11" i="8"/>
  <c r="W11" i="8"/>
  <c r="Y11" i="8"/>
  <c r="Z11" i="8"/>
  <c r="D18" i="8"/>
  <c r="E18" i="8"/>
  <c r="F18" i="8"/>
  <c r="G18" i="8"/>
  <c r="H18" i="8"/>
  <c r="Q18" i="8"/>
  <c r="R18" i="8"/>
  <c r="S18" i="8"/>
  <c r="T18" i="8"/>
  <c r="AB18" i="8"/>
  <c r="AC18" i="8"/>
  <c r="AD18" i="8"/>
  <c r="AE18" i="8"/>
  <c r="I15" i="8"/>
  <c r="J15" i="8"/>
  <c r="K15" i="8"/>
  <c r="L15" i="8"/>
  <c r="M15" i="8"/>
  <c r="N15" i="8"/>
  <c r="Z15" i="8"/>
  <c r="C35" i="8"/>
  <c r="D35" i="8"/>
  <c r="E35" i="8"/>
  <c r="F35" i="8"/>
  <c r="G35" i="8"/>
  <c r="H35" i="8"/>
  <c r="Q35" i="8"/>
  <c r="R35" i="8"/>
  <c r="S35" i="8"/>
  <c r="T35" i="8"/>
  <c r="AA35" i="8"/>
  <c r="AD35" i="8"/>
  <c r="AE35" i="8"/>
  <c r="J13" i="8"/>
  <c r="K13" i="8"/>
  <c r="L13" i="8"/>
  <c r="M13" i="8"/>
  <c r="N13" i="8"/>
  <c r="X13" i="8"/>
  <c r="Y13" i="8"/>
  <c r="Z13" i="8"/>
  <c r="D7" i="8"/>
  <c r="E7" i="8"/>
  <c r="F7" i="8"/>
  <c r="G7" i="8"/>
  <c r="H7" i="8"/>
  <c r="Q7" i="8"/>
  <c r="R7" i="8"/>
  <c r="S7" i="8"/>
  <c r="T7" i="8"/>
  <c r="V7" i="8"/>
  <c r="AB7" i="8"/>
  <c r="AC7" i="8"/>
  <c r="AD7" i="8"/>
  <c r="AE7" i="8"/>
  <c r="F19" i="8"/>
  <c r="I19" i="8"/>
  <c r="J19" i="8"/>
  <c r="K19" i="8"/>
  <c r="L19" i="8"/>
  <c r="M19" i="8"/>
  <c r="N19" i="8"/>
  <c r="W19" i="8"/>
  <c r="X19" i="8"/>
  <c r="Y19" i="8"/>
  <c r="Z19" i="8"/>
  <c r="C8" i="8"/>
  <c r="D8" i="8"/>
  <c r="E8" i="8"/>
  <c r="F8" i="8"/>
  <c r="G8" i="8"/>
  <c r="H8" i="8"/>
  <c r="P8" i="8"/>
  <c r="Q8" i="8"/>
  <c r="R8" i="8"/>
  <c r="S8" i="8"/>
  <c r="T8" i="8"/>
  <c r="X8" i="8"/>
  <c r="AC8" i="8"/>
  <c r="AD8" i="8"/>
  <c r="AE8" i="8"/>
  <c r="J20" i="8"/>
  <c r="K20" i="8"/>
  <c r="L20" i="8"/>
  <c r="M20" i="8"/>
  <c r="N20" i="8"/>
  <c r="W20" i="8"/>
  <c r="X20" i="8"/>
  <c r="Y20" i="8"/>
  <c r="Z20" i="8"/>
  <c r="D22" i="8"/>
  <c r="E22" i="8"/>
  <c r="F22" i="8"/>
  <c r="G22" i="8"/>
  <c r="H22" i="8"/>
  <c r="L22" i="8"/>
  <c r="O22" i="8"/>
  <c r="P22" i="8"/>
  <c r="Q22" i="8"/>
  <c r="R22" i="8"/>
  <c r="S22" i="8"/>
  <c r="T22" i="8"/>
  <c r="AC22" i="8"/>
  <c r="AD22" i="8"/>
  <c r="AE22" i="8"/>
  <c r="AF22" i="8"/>
  <c r="I23" i="8"/>
  <c r="J23" i="8"/>
  <c r="K23" i="8"/>
  <c r="L23" i="8"/>
  <c r="M23" i="8"/>
  <c r="N23" i="8"/>
  <c r="V23" i="8"/>
  <c r="W23" i="8"/>
  <c r="X23" i="8"/>
  <c r="Y23" i="8"/>
  <c r="Z23" i="8"/>
  <c r="AD23" i="8"/>
  <c r="E16" i="8"/>
  <c r="F16" i="8"/>
  <c r="G16" i="8"/>
  <c r="H16" i="8"/>
  <c r="O16" i="8"/>
  <c r="P16" i="8"/>
  <c r="Q16" i="8"/>
  <c r="R16" i="8"/>
  <c r="S16" i="8"/>
  <c r="T16" i="8"/>
  <c r="AC16" i="8"/>
  <c r="AD16" i="8"/>
  <c r="AE16" i="8"/>
  <c r="AF16" i="8"/>
  <c r="I24" i="8"/>
  <c r="J24" i="8"/>
  <c r="K24" i="8"/>
  <c r="L24" i="8"/>
  <c r="M24" i="8"/>
  <c r="N24" i="8"/>
  <c r="V24" i="8"/>
  <c r="W24" i="8"/>
  <c r="X24" i="8"/>
  <c r="Y24" i="8"/>
  <c r="Z24" i="8"/>
  <c r="E25" i="8"/>
  <c r="F25" i="8"/>
  <c r="G25" i="8"/>
  <c r="H25" i="8"/>
  <c r="P25" i="8"/>
  <c r="Q25" i="8"/>
  <c r="R25" i="8"/>
  <c r="S25" i="8"/>
  <c r="T25" i="8"/>
  <c r="AA25" i="8"/>
  <c r="AB25" i="8"/>
  <c r="AC25" i="8"/>
  <c r="AD25" i="8"/>
  <c r="AE25" i="8"/>
  <c r="K3" i="8"/>
  <c r="L3" i="8"/>
  <c r="M3" i="8"/>
  <c r="N3" i="8"/>
  <c r="U3" i="8"/>
  <c r="V3" i="8"/>
  <c r="W3" i="8"/>
  <c r="X3" i="8"/>
  <c r="Y3" i="8"/>
  <c r="Z3" i="8"/>
  <c r="E29" i="8"/>
  <c r="F29" i="8"/>
  <c r="G29" i="8"/>
  <c r="H29" i="8"/>
  <c r="O29" i="8"/>
  <c r="P29" i="8"/>
  <c r="Q29" i="8"/>
  <c r="R29" i="8"/>
  <c r="S29" i="8"/>
  <c r="T29" i="8"/>
  <c r="AB29" i="8"/>
  <c r="AC29" i="8"/>
  <c r="AD29" i="8"/>
  <c r="AE29" i="8"/>
  <c r="K30" i="8"/>
  <c r="L30" i="8"/>
  <c r="M30" i="8"/>
  <c r="N30" i="8"/>
  <c r="V30" i="8"/>
  <c r="W30" i="8"/>
  <c r="X30" i="8"/>
  <c r="Y30" i="8"/>
  <c r="Z30" i="8"/>
  <c r="C31" i="8"/>
  <c r="D31" i="8"/>
  <c r="E31" i="8"/>
  <c r="F31" i="8"/>
  <c r="G31" i="8"/>
  <c r="H31" i="8"/>
  <c r="Q31" i="8"/>
  <c r="R31" i="8"/>
  <c r="S31" i="8"/>
  <c r="T31" i="8"/>
  <c r="AA31" i="8"/>
  <c r="AB31" i="8"/>
  <c r="AC31" i="8"/>
  <c r="AD31" i="8"/>
  <c r="AE31" i="8"/>
  <c r="K33" i="8"/>
  <c r="L33" i="8"/>
  <c r="M33" i="8"/>
  <c r="N33" i="8"/>
  <c r="U33" i="8"/>
  <c r="V33" i="8"/>
  <c r="W33" i="8"/>
  <c r="X33" i="8"/>
  <c r="Y33" i="8"/>
  <c r="Z33" i="8"/>
  <c r="D32" i="8"/>
  <c r="E32" i="8"/>
  <c r="F32" i="8"/>
  <c r="G32" i="8"/>
  <c r="H32" i="8"/>
  <c r="Q32" i="8"/>
  <c r="R32" i="8"/>
  <c r="S32" i="8"/>
  <c r="T32" i="8"/>
  <c r="AB32" i="8"/>
  <c r="AC32" i="8"/>
  <c r="AD32" i="8"/>
  <c r="AE32" i="8"/>
  <c r="I12" i="8"/>
  <c r="J12" i="8"/>
  <c r="K12" i="8"/>
  <c r="L12" i="8"/>
  <c r="M12" i="8"/>
  <c r="N12" i="8"/>
  <c r="W12" i="8"/>
  <c r="X12" i="8"/>
  <c r="Y12" i="8"/>
  <c r="Z12" i="8"/>
  <c r="C36" i="8"/>
  <c r="D36" i="8"/>
  <c r="E36" i="8"/>
  <c r="F36" i="8"/>
  <c r="G36" i="8"/>
  <c r="H36" i="8"/>
  <c r="Q36" i="8"/>
  <c r="R36" i="8"/>
  <c r="S36" i="8"/>
  <c r="T36" i="8"/>
  <c r="W36" i="8"/>
  <c r="X36" i="8"/>
  <c r="AA36" i="8"/>
  <c r="AC36" i="8"/>
  <c r="AD36" i="8"/>
  <c r="AE36" i="8"/>
  <c r="AF36" i="8"/>
  <c r="G17" i="8"/>
  <c r="I17" i="8"/>
  <c r="J17" i="8"/>
  <c r="K17" i="8"/>
  <c r="L17" i="8"/>
  <c r="M17" i="8"/>
  <c r="N17" i="8"/>
  <c r="U17" i="8"/>
  <c r="V17" i="8"/>
  <c r="W17" i="8"/>
  <c r="X17" i="8"/>
  <c r="Y17" i="8"/>
  <c r="Z17" i="8"/>
  <c r="AE17" i="8"/>
  <c r="D21" i="8"/>
  <c r="E21" i="8"/>
  <c r="F21" i="8"/>
  <c r="G21" i="8"/>
  <c r="H21" i="8"/>
  <c r="P21" i="8"/>
  <c r="Q21" i="8"/>
  <c r="R21" i="8"/>
  <c r="S21" i="8"/>
  <c r="T21" i="8"/>
  <c r="AC21" i="8"/>
  <c r="AD21" i="8"/>
  <c r="AE21" i="8"/>
  <c r="AF21" i="8"/>
  <c r="F28" i="8"/>
  <c r="G28" i="8"/>
  <c r="I28" i="8"/>
  <c r="K28" i="8"/>
  <c r="L28" i="8"/>
  <c r="M28" i="8"/>
  <c r="N28" i="8"/>
  <c r="S28" i="8"/>
  <c r="U28" i="8"/>
  <c r="V28" i="8"/>
  <c r="W28" i="8"/>
  <c r="X28" i="8"/>
  <c r="Y28" i="8"/>
  <c r="Z28" i="8"/>
  <c r="C37" i="8"/>
  <c r="D37" i="8"/>
  <c r="E37" i="8"/>
  <c r="F37" i="8"/>
  <c r="G37" i="8"/>
  <c r="H37" i="8"/>
  <c r="M37" i="8"/>
  <c r="P37" i="8"/>
  <c r="Q37" i="8"/>
  <c r="R37" i="8"/>
  <c r="S37" i="8"/>
  <c r="T37" i="8"/>
  <c r="AB37" i="8"/>
  <c r="AC37" i="8"/>
  <c r="AD37" i="8"/>
  <c r="AE37" i="8"/>
  <c r="AF37" i="8"/>
  <c r="C4" i="8"/>
  <c r="D4" i="8"/>
  <c r="E4" i="8"/>
  <c r="F4" i="8"/>
  <c r="G4" i="8"/>
  <c r="H4" i="8"/>
  <c r="O4" i="8"/>
  <c r="P4" i="8"/>
  <c r="Q4" i="8"/>
  <c r="R4" i="8"/>
  <c r="S4" i="8"/>
  <c r="T4" i="8"/>
  <c r="Y4" i="8"/>
  <c r="AB4" i="8"/>
  <c r="AC4" i="8"/>
  <c r="AD4" i="8"/>
  <c r="AE4" i="8"/>
  <c r="J26" i="8"/>
  <c r="K26" i="8"/>
  <c r="L26" i="8"/>
  <c r="M26" i="8"/>
  <c r="N26" i="8"/>
  <c r="W26" i="8"/>
  <c r="X26" i="8"/>
  <c r="Y26" i="8"/>
  <c r="Z26" i="8"/>
  <c r="AD26" i="8"/>
  <c r="AE26" i="8"/>
  <c r="C27" i="8"/>
  <c r="E27" i="8"/>
  <c r="F27" i="8"/>
  <c r="G27" i="8"/>
  <c r="H27" i="8"/>
  <c r="M27" i="8"/>
  <c r="O27" i="8"/>
  <c r="P27" i="8"/>
  <c r="Q27" i="8"/>
  <c r="R27" i="8"/>
  <c r="S27" i="8"/>
  <c r="T27" i="8"/>
  <c r="AA27" i="8"/>
  <c r="AB27" i="8"/>
  <c r="AC27" i="8"/>
  <c r="AD27" i="8"/>
  <c r="AE27" i="8"/>
  <c r="G2" i="8"/>
  <c r="J2" i="8"/>
  <c r="K2" i="8"/>
  <c r="N2" i="8"/>
  <c r="V2" i="8"/>
  <c r="W2" i="8"/>
  <c r="X2" i="8"/>
  <c r="Y2" i="8"/>
  <c r="Z2" i="8"/>
  <c r="E34" i="8"/>
  <c r="F34" i="8"/>
  <c r="G34" i="8"/>
  <c r="H34" i="8"/>
  <c r="L34" i="8"/>
  <c r="M34" i="8"/>
  <c r="O34" i="8"/>
  <c r="Q34" i="8"/>
  <c r="R34" i="8"/>
  <c r="S34" i="8"/>
  <c r="T34" i="8"/>
  <c r="Y34" i="8"/>
  <c r="AA34" i="8"/>
  <c r="AB34" i="8"/>
  <c r="AC34" i="8"/>
  <c r="AD34" i="8"/>
  <c r="AE34" i="8"/>
  <c r="I38" i="8"/>
  <c r="J38" i="8"/>
  <c r="K38" i="8"/>
  <c r="L38" i="8"/>
  <c r="M38" i="8"/>
  <c r="N38" i="8"/>
  <c r="S38" i="8"/>
  <c r="V38" i="8"/>
  <c r="W38" i="8"/>
  <c r="X38" i="8"/>
  <c r="Y38" i="8"/>
  <c r="Z38" i="8"/>
  <c r="D39" i="8"/>
  <c r="E39" i="8"/>
  <c r="F39" i="8"/>
  <c r="G39" i="8"/>
  <c r="H39" i="8"/>
  <c r="Q39" i="8"/>
  <c r="R39" i="8"/>
  <c r="S39" i="8"/>
  <c r="T39" i="8"/>
  <c r="X39" i="8"/>
  <c r="Y39" i="8"/>
  <c r="AA39" i="8"/>
  <c r="AB39" i="8"/>
  <c r="AC39" i="8"/>
  <c r="AD39" i="8"/>
  <c r="AE39" i="8"/>
  <c r="D5" i="8"/>
  <c r="E5" i="8"/>
  <c r="F5" i="8"/>
  <c r="N5" i="8"/>
  <c r="P5" i="8"/>
  <c r="Q5" i="8"/>
  <c r="R5" i="8"/>
  <c r="AA5" i="8"/>
  <c r="AB5" i="8"/>
  <c r="AC5" i="8"/>
  <c r="AD5" i="8"/>
  <c r="AF15" i="8" l="1"/>
  <c r="AF19" i="8"/>
  <c r="AG5" i="8"/>
  <c r="AG32" i="8"/>
  <c r="AG12" i="8"/>
  <c r="AG28" i="8"/>
  <c r="AG2" i="8"/>
  <c r="AG38" i="8"/>
  <c r="AG17" i="8"/>
  <c r="AG22" i="8"/>
  <c r="AG26" i="8"/>
  <c r="AG16" i="8"/>
  <c r="AG35" i="8"/>
  <c r="AG6" i="8"/>
  <c r="AG13" i="8"/>
  <c r="AG19" i="8"/>
  <c r="AG33" i="8"/>
  <c r="AG25" i="8"/>
  <c r="AG7" i="8"/>
  <c r="AG9" i="8"/>
  <c r="AG4" i="8"/>
  <c r="AG24" i="8"/>
  <c r="AG3" i="8"/>
  <c r="AG30" i="8"/>
  <c r="AG11" i="8"/>
  <c r="AG20" i="8"/>
  <c r="AG23" i="8"/>
  <c r="AG31" i="8"/>
  <c r="AG39" i="8"/>
  <c r="AG34" i="8"/>
  <c r="AG27" i="8"/>
  <c r="AG10" i="8"/>
  <c r="AG15" i="8"/>
  <c r="AG29" i="8"/>
  <c r="AG8" i="8"/>
  <c r="AG37" i="8"/>
  <c r="AG21" i="8"/>
  <c r="AG36" i="8"/>
  <c r="AG18" i="8"/>
  <c r="AG14" i="8"/>
</calcChain>
</file>

<file path=xl/sharedStrings.xml><?xml version="1.0" encoding="utf-8"?>
<sst xmlns="http://schemas.openxmlformats.org/spreadsheetml/2006/main" count="1967" uniqueCount="130">
  <si>
    <t>Data extracted on 30/01/2026 17:26:20 from [ESTAT]</t>
  </si>
  <si>
    <t xml:space="preserve">Dataset: </t>
  </si>
  <si>
    <t xml:space="preserve">Last updated: </t>
  </si>
  <si>
    <t>Time frequency</t>
  </si>
  <si>
    <t>Unit of measure</t>
  </si>
  <si>
    <t>Statistical classification of economic activities in the European Community (NACE Rev. 2)</t>
  </si>
  <si>
    <t>National accounts indicator (ESA 2010)</t>
  </si>
  <si>
    <t>TIME</t>
  </si>
  <si>
    <t>:</t>
  </si>
  <si>
    <t>Belgium</t>
  </si>
  <si>
    <t>b</t>
  </si>
  <si>
    <t>p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</si>
  <si>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</si>
  <si>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</si>
  <si>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</si>
  <si>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</si>
  <si>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</si>
  <si>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</si>
  <si>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</si>
  <si>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</si>
  <si>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</si>
  <si>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</si>
  <si>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</si>
  <si>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</si>
  <si>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</si>
  <si>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</si>
  <si>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</si>
  <si>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</si>
  <si>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</si>
  <si>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</si>
  <si>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</si>
  <si>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</si>
  <si>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</si>
  <si>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</si>
  <si>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</si>
  <si>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</si>
  <si>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</si>
  <si>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</si>
  <si>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</si>
  <si>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Liechtenstein</t>
  </si>
  <si>
    <t>Norway</t>
  </si>
  <si>
    <t>Switzerland</t>
  </si>
  <si>
    <t>United Kingdom</t>
  </si>
  <si>
    <t>Bosnia and Herzegovina</t>
  </si>
  <si>
    <t>Montenegro</t>
  </si>
  <si>
    <t>North Macedonia</t>
  </si>
  <si>
    <t>Albania</t>
  </si>
  <si>
    <t>Serbia</t>
  </si>
  <si>
    <t>Türkiye</t>
  </si>
  <si>
    <t>Kosovo*</t>
  </si>
  <si>
    <t>Special value</t>
  </si>
  <si>
    <t>Observation flags:</t>
  </si>
  <si>
    <t>Data extracted on 30/01/2026 16:56:35 from [ESTAT]</t>
  </si>
  <si>
    <t>e</t>
  </si>
  <si>
    <t>ISO2</t>
  </si>
  <si>
    <t>Name</t>
  </si>
  <si>
    <t>geotechnical</t>
  </si>
  <si>
    <t>meteorological</t>
  </si>
  <si>
    <t>hydrological</t>
  </si>
  <si>
    <t>Climatological (other)</t>
  </si>
  <si>
    <t>climatological (heatwaves)</t>
  </si>
  <si>
    <t>AT</t>
  </si>
  <si>
    <t>BA</t>
  </si>
  <si>
    <t>BE</t>
  </si>
  <si>
    <t>BG</t>
  </si>
  <si>
    <t>CH</t>
  </si>
  <si>
    <t xml:space="preserve">Switzerland 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</si>
  <si>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</si>
  <si>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</si>
  <si>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</si>
  <si>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</si>
  <si>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</si>
  <si>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</si>
  <si>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</si>
  <si>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</si>
  <si>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</si>
  <si>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</si>
  <si>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</si>
  <si>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</si>
  <si>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IS</t>
  </si>
  <si>
    <t>IT</t>
  </si>
  <si>
    <t>LI</t>
  </si>
  <si>
    <t>LT</t>
  </si>
  <si>
    <t>LU</t>
  </si>
  <si>
    <t>LV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</si>
  <si>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</si>
  <si>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</si>
  <si>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</si>
  <si>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</si>
  <si>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</si>
  <si>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</si>
  <si>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</si>
  <si>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</si>
  <si>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</si>
  <si>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</si>
  <si>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</si>
  <si>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</si>
  <si>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TR</t>
  </si>
  <si>
    <t>XK</t>
  </si>
  <si>
    <t>AL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</si>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</sst>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.##########"/>
    <numFmt numFmtId="165" formatCode="#,##0.0"/>
    <numFmt numFmtId="166" formatCode="#,##0.000"/>
    <numFmt numFmtId="167" formatCode="_-* #,##0.00\ _€_-;\-* #,##0.00\ _€_-;_-* &quot;-&quot;??\ _€_-;_-@_-"/>
    <numFmt numFmtId="168" formatCode="_-* #,##0_-;\-* #,##0_-;_-* &quot;-&quot;??_-;_-@_-"/>
    <numFmt numFmtId="169" formatCode="0.0%"/>
  </numFmts>
  <fonts count="8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  <fill>
      <patternFill patternType="none">
        <fgColor rgb="FFFFFFFF"/>
      </patternFill>
    </fill>
  </fills>
  <borders count="2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auto="1"/>
      </bottom>
      <diagonal/>
    </border>
  </borders>
  <cellStyleXfs count="8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5" borderId="0"/>
    <xf numFmtId="0" fontId="1" fillId="5" borderId="0"/>
    <xf numFmtId="43" fontId="1" fillId="5" borderId="0" applyFont="0" applyFill="0" applyBorder="0" applyAlignment="0" applyProtection="0"/>
    <xf numFmtId="9" fontId="1" fillId="5" borderId="0" applyFont="0" applyFill="0" applyBorder="0" applyAlignment="0" applyProtection="0"/>
    <xf numFmtId="0" fontId="5" fillId="5" borderId="0"/>
  </cellStyleXfs>
  <cellXfs count="9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3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left" vertical="center"/>
    </xf>
    <xf numFmtId="3" fontId="3" fillId="0" borderId="0" xfId="0" applyNumberFormat="1" applyFont="1" applyAlignment="1">
      <alignment horizontal="right" vertical="center" shrinkToFit="1"/>
    </xf>
    <xf numFmtId="3" fontId="3" fillId="4" borderId="0" xfId="0" applyNumberFormat="1" applyFont="1" applyFill="1" applyAlignment="1">
      <alignment horizontal="right" vertical="center" shrinkToFit="1"/>
    </xf>
    <xf numFmtId="164" fontId="3" fillId="0" borderId="0" xfId="0" applyNumberFormat="1" applyFont="1" applyAlignment="1">
      <alignment horizontal="right" vertical="center" shrinkToFit="1"/>
    </xf>
    <xf numFmtId="164" fontId="3" fillId="4" borderId="0" xfId="0" applyNumberFormat="1" applyFont="1" applyFill="1" applyAlignment="1">
      <alignment horizontal="right" vertical="center" shrinkToFit="1"/>
    </xf>
    <xf numFmtId="166" fontId="3" fillId="0" borderId="0" xfId="0" applyNumberFormat="1" applyFont="1" applyAlignment="1">
      <alignment horizontal="right" vertical="center" shrinkToFit="1"/>
    </xf>
    <xf numFmtId="166" fontId="3" fillId="4" borderId="0" xfId="0" applyNumberFormat="1" applyFont="1" applyFill="1" applyAlignment="1">
      <alignment horizontal="right" vertical="center" shrinkToFit="1"/>
    </xf>
    <xf numFmtId="0" fontId="4" fillId="2" borderId="3" xfId="0" applyFont="1" applyFill="1" applyBorder="1" applyAlignment="1">
      <alignment horizontal="center" vertical="center"/>
    </xf>
    <xf numFmtId="43" fontId="0" fillId="0" borderId="0" xfId="1" applyFont="1"/>
    <xf numFmtId="43" fontId="3" fillId="0" borderId="0" xfId="1" applyFont="1" applyAlignment="1">
      <alignment horizontal="right" vertical="center" shrinkToFit="1"/>
    </xf>
    <xf numFmtId="0" fontId="3" fillId="5" borderId="0" xfId="3" applyFont="1" applyAlignment="1">
      <alignment horizontal="left" vertical="center"/>
    </xf>
    <xf numFmtId="0" fontId="5" fillId="5" borderId="0" xfId="3"/>
    <xf numFmtId="0" fontId="2" fillId="5" borderId="0" xfId="3" applyFont="1" applyAlignment="1">
      <alignment horizontal="left" vertical="center"/>
    </xf>
    <xf numFmtId="0" fontId="4" fillId="2" borderId="3" xfId="3" applyFont="1" applyFill="1" applyBorder="1" applyAlignment="1">
      <alignment horizontal="right" vertical="center"/>
    </xf>
    <xf numFmtId="0" fontId="4" fillId="2" borderId="3" xfId="3" applyFont="1" applyFill="1" applyBorder="1" applyAlignment="1">
      <alignment horizontal="center" vertical="center"/>
    </xf>
    <xf numFmtId="0" fontId="2" fillId="3" borderId="3" xfId="3" applyFont="1" applyFill="1" applyBorder="1" applyAlignment="1">
      <alignment horizontal="left" vertical="center"/>
    </xf>
    <xf numFmtId="164" fontId="3" fillId="4" borderId="0" xfId="3" applyNumberFormat="1" applyFont="1" applyFill="1" applyAlignment="1">
      <alignment horizontal="right" vertical="center" shrinkToFit="1"/>
    </xf>
    <xf numFmtId="165" fontId="3" fillId="4" borderId="0" xfId="3" applyNumberFormat="1" applyFont="1" applyFill="1" applyAlignment="1">
      <alignment horizontal="right" vertical="center" shrinkToFit="1"/>
    </xf>
    <xf numFmtId="165" fontId="3" fillId="5" borderId="0" xfId="3" applyNumberFormat="1" applyFont="1" applyAlignment="1">
      <alignment horizontal="right" vertical="center" shrinkToFit="1"/>
    </xf>
    <xf numFmtId="164" fontId="3" fillId="5" borderId="0" xfId="3" applyNumberFormat="1" applyFont="1" applyAlignment="1">
      <alignment horizontal="right" vertical="center" shrinkToFit="1"/>
    </xf>
    <xf numFmtId="3" fontId="3" fillId="5" borderId="0" xfId="3" applyNumberFormat="1" applyFont="1" applyAlignment="1">
      <alignment horizontal="right" vertical="center" shrinkToFit="1"/>
    </xf>
    <xf numFmtId="3" fontId="3" fillId="4" borderId="0" xfId="3" applyNumberFormat="1" applyFont="1" applyFill="1" applyAlignment="1">
      <alignment horizontal="right" vertical="center" shrinkToFit="1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" xfId="0" applyFont="1" applyBorder="1"/>
    <xf numFmtId="0" fontId="7" fillId="0" borderId="16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0" xfId="0" applyFont="1" applyBorder="1"/>
    <xf numFmtId="0" fontId="7" fillId="0" borderId="21" xfId="0" applyFont="1" applyBorder="1"/>
    <xf numFmtId="0" fontId="7" fillId="0" borderId="22" xfId="0" applyFont="1" applyBorder="1"/>
    <xf numFmtId="168" fontId="0" fillId="0" borderId="17" xfId="1" applyNumberFormat="1" applyFont="1" applyBorder="1"/>
    <xf numFmtId="168" fontId="0" fillId="0" borderId="11" xfId="1" applyNumberFormat="1" applyFont="1" applyBorder="1"/>
    <xf numFmtId="168" fontId="0" fillId="0" borderId="12" xfId="1" applyNumberFormat="1" applyFont="1" applyBorder="1"/>
    <xf numFmtId="168" fontId="0" fillId="0" borderId="18" xfId="1" applyNumberFormat="1" applyFont="1" applyBorder="1"/>
    <xf numFmtId="168" fontId="0" fillId="0" borderId="5" xfId="1" applyNumberFormat="1" applyFont="1" applyBorder="1"/>
    <xf numFmtId="168" fontId="0" fillId="0" borderId="6" xfId="1" applyNumberFormat="1" applyFont="1" applyBorder="1"/>
    <xf numFmtId="168" fontId="0" fillId="0" borderId="19" xfId="1" applyNumberFormat="1" applyFont="1" applyBorder="1"/>
    <xf numFmtId="168" fontId="0" fillId="0" borderId="8" xfId="1" applyNumberFormat="1" applyFont="1" applyBorder="1"/>
    <xf numFmtId="168" fontId="0" fillId="0" borderId="9" xfId="1" applyNumberFormat="1" applyFont="1" applyBorder="1"/>
    <xf numFmtId="0" fontId="6" fillId="5" borderId="13" xfId="4" applyFont="1" applyBorder="1"/>
    <xf numFmtId="0" fontId="6" fillId="5" borderId="15" xfId="4" applyFont="1" applyBorder="1"/>
    <xf numFmtId="0" fontId="6" fillId="5" borderId="16" xfId="4" applyFont="1" applyBorder="1"/>
    <xf numFmtId="0" fontId="6" fillId="5" borderId="14" xfId="4" applyFont="1" applyBorder="1"/>
    <xf numFmtId="0" fontId="1" fillId="5" borderId="0" xfId="4"/>
    <xf numFmtId="0" fontId="6" fillId="5" borderId="10" xfId="4" applyFont="1" applyBorder="1"/>
    <xf numFmtId="0" fontId="6" fillId="5" borderId="12" xfId="4" applyFont="1" applyBorder="1"/>
    <xf numFmtId="43" fontId="0" fillId="5" borderId="17" xfId="5" applyFont="1" applyBorder="1"/>
    <xf numFmtId="43" fontId="0" fillId="5" borderId="11" xfId="5" applyFont="1" applyBorder="1"/>
    <xf numFmtId="43" fontId="0" fillId="5" borderId="12" xfId="5" applyFont="1" applyBorder="1"/>
    <xf numFmtId="43" fontId="0" fillId="5" borderId="0" xfId="5" applyFont="1"/>
    <xf numFmtId="167" fontId="1" fillId="5" borderId="0" xfId="4" applyNumberFormat="1"/>
    <xf numFmtId="43" fontId="1" fillId="5" borderId="0" xfId="4" applyNumberFormat="1"/>
    <xf numFmtId="0" fontId="6" fillId="5" borderId="4" xfId="4" applyFont="1" applyBorder="1"/>
    <xf numFmtId="0" fontId="6" fillId="5" borderId="6" xfId="4" applyFont="1" applyBorder="1"/>
    <xf numFmtId="43" fontId="0" fillId="5" borderId="18" xfId="5" applyFont="1" applyBorder="1"/>
    <xf numFmtId="43" fontId="0" fillId="5" borderId="5" xfId="5" applyFont="1" applyBorder="1"/>
    <xf numFmtId="43" fontId="0" fillId="5" borderId="6" xfId="5" applyFont="1" applyBorder="1"/>
    <xf numFmtId="0" fontId="6" fillId="5" borderId="7" xfId="4" applyFont="1" applyBorder="1"/>
    <xf numFmtId="0" fontId="6" fillId="5" borderId="9" xfId="4" applyFont="1" applyBorder="1"/>
    <xf numFmtId="43" fontId="0" fillId="5" borderId="19" xfId="5" applyFont="1" applyBorder="1"/>
    <xf numFmtId="43" fontId="0" fillId="5" borderId="8" xfId="5" applyFont="1" applyBorder="1"/>
    <xf numFmtId="43" fontId="0" fillId="5" borderId="9" xfId="5" applyFont="1" applyBorder="1"/>
    <xf numFmtId="9" fontId="6" fillId="5" borderId="13" xfId="6" applyFont="1" applyBorder="1"/>
    <xf numFmtId="9" fontId="6" fillId="5" borderId="15" xfId="6" applyFont="1" applyBorder="1"/>
    <xf numFmtId="9" fontId="6" fillId="5" borderId="10" xfId="6" applyFont="1" applyBorder="1"/>
    <xf numFmtId="9" fontId="6" fillId="5" borderId="12" xfId="6" applyFont="1" applyBorder="1"/>
    <xf numFmtId="9" fontId="6" fillId="5" borderId="4" xfId="6" applyFont="1" applyBorder="1"/>
    <xf numFmtId="9" fontId="6" fillId="5" borderId="6" xfId="6" applyFont="1" applyBorder="1"/>
    <xf numFmtId="9" fontId="6" fillId="5" borderId="7" xfId="6" applyFont="1" applyBorder="1"/>
    <xf numFmtId="9" fontId="6" fillId="5" borderId="9" xfId="6" applyFont="1" applyBorder="1"/>
    <xf numFmtId="169" fontId="0" fillId="5" borderId="11" xfId="2" applyNumberFormat="1" applyFont="1" applyFill="1" applyBorder="1"/>
    <xf numFmtId="169" fontId="0" fillId="5" borderId="12" xfId="2" applyNumberFormat="1" applyFont="1" applyFill="1" applyBorder="1"/>
    <xf numFmtId="169" fontId="0" fillId="5" borderId="5" xfId="2" applyNumberFormat="1" applyFont="1" applyFill="1" applyBorder="1"/>
    <xf numFmtId="169" fontId="0" fillId="5" borderId="6" xfId="2" applyNumberFormat="1" applyFont="1" applyFill="1" applyBorder="1"/>
    <xf numFmtId="169" fontId="0" fillId="5" borderId="8" xfId="2" applyNumberFormat="1" applyFont="1" applyFill="1" applyBorder="1"/>
    <xf numFmtId="169" fontId="0" fillId="5" borderId="9" xfId="2" applyNumberFormat="1" applyFont="1" applyFill="1" applyBorder="1"/>
    <xf numFmtId="169" fontId="1" fillId="5" borderId="0" xfId="4" applyNumberFormat="1"/>
    <xf numFmtId="0" fontId="3" fillId="5" borderId="0" xfId="7" applyFont="1" applyAlignment="1">
      <alignment horizontal="left" vertical="center"/>
    </xf>
    <xf numFmtId="0" fontId="5" fillId="5" borderId="0" xfId="7"/>
    <xf numFmtId="0" fontId="2" fillId="5" borderId="0" xfId="7" applyFont="1" applyAlignment="1">
      <alignment horizontal="left" vertical="center"/>
    </xf>
    <xf numFmtId="0" fontId="4" fillId="2" borderId="3" xfId="7" applyFont="1" applyFill="1" applyBorder="1" applyAlignment="1">
      <alignment horizontal="right" vertical="center"/>
    </xf>
    <xf numFmtId="0" fontId="2" fillId="3" borderId="3" xfId="7" applyFont="1" applyFill="1" applyBorder="1" applyAlignment="1">
      <alignment horizontal="left" vertical="center"/>
    </xf>
    <xf numFmtId="3" fontId="3" fillId="4" borderId="0" xfId="7" applyNumberFormat="1" applyFont="1" applyFill="1" applyAlignment="1">
      <alignment horizontal="right" vertical="center" shrinkToFit="1"/>
    </xf>
    <xf numFmtId="164" fontId="3" fillId="4" borderId="0" xfId="7" applyNumberFormat="1" applyFont="1" applyFill="1" applyAlignment="1">
      <alignment horizontal="right" vertical="center" shrinkToFit="1"/>
    </xf>
    <xf numFmtId="165" fontId="3" fillId="4" borderId="0" xfId="7" applyNumberFormat="1" applyFont="1" applyFill="1" applyAlignment="1">
      <alignment horizontal="right" vertical="center" shrinkToFit="1"/>
    </xf>
    <xf numFmtId="3" fontId="3" fillId="5" borderId="0" xfId="7" applyNumberFormat="1" applyFont="1" applyAlignment="1">
      <alignment horizontal="right" vertical="center" shrinkToFit="1"/>
    </xf>
    <xf numFmtId="164" fontId="3" fillId="5" borderId="0" xfId="7" applyNumberFormat="1" applyFont="1" applyAlignment="1">
      <alignment horizontal="right" vertical="center" shrinkToFit="1"/>
    </xf>
    <xf numFmtId="165" fontId="3" fillId="5" borderId="0" xfId="7" applyNumberFormat="1" applyFont="1" applyAlignment="1">
      <alignment horizontal="right" vertical="center" shrinkToFit="1"/>
    </xf>
    <xf numFmtId="0" fontId="4" fillId="2" borderId="3" xfId="7" applyFont="1" applyFill="1" applyBorder="1" applyAlignment="1">
      <alignment horizontal="left" vertical="center"/>
    </xf>
    <xf numFmtId="0" fontId="4" fillId="2" borderId="3" xfId="7" applyFont="1" applyFill="1" applyBorder="1" applyAlignment="1">
      <alignment vertical="center"/>
    </xf>
  </cellXfs>
  <cellStyles count="8">
    <cellStyle name="Migliaia" xfId="1" builtinId="3"/>
    <cellStyle name="Migliaia 2" xfId="5" xr:uid="{1DA2D478-3127-4ED5-90B2-C1A0D9AE4A91}"/>
    <cellStyle name="Normale" xfId="0" builtinId="0"/>
    <cellStyle name="Normale 2" xfId="3" xr:uid="{7DC57F58-DC23-4F3F-A1A5-482BB8368437}"/>
    <cellStyle name="Normale 3" xfId="4" xr:uid="{BA5D6FE3-9C05-42B6-9F3E-C15ABB8D146B}"/>
    <cellStyle name="Normale 4" xfId="7" xr:uid="{F5FD4D3D-F4FE-4AB1-958F-50F1E5BDBB62}"/>
    <cellStyle name="Percentuale" xfId="2" builtinId="5"/>
    <cellStyle name="Percentuale 2" xfId="6" xr:uid="{2637A65E-2DD4-4ADF-A9EE-92EB8B120E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2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50800" cap="rnd">
                <a:solidFill>
                  <a:schemeClr val="accent2">
                    <a:lumMod val="75000"/>
                  </a:schemeClr>
                </a:solidFill>
                <a:prstDash val="dash"/>
              </a:ln>
              <a:effectLst/>
            </c:spPr>
            <c:trendlineType val="linear"/>
            <c:forward val="5"/>
            <c:dispRSqr val="1"/>
            <c:dispEq val="1"/>
            <c:trendlineLbl>
              <c:layout>
                <c:manualLayout>
                  <c:x val="-0.21973585131066936"/>
                  <c:y val="-0.370403908499827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tkinson Hyperlegible Next" pitchFamily="2" charset="0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cat>
            <c:numRef>
              <c:f>Country_year!$C$1:$AU$1</c:f>
              <c:numCache>
                <c:formatCode>General</c:formatCode>
                <c:ptCount val="45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</c:numCache>
            </c:numRef>
          </c:cat>
          <c:val>
            <c:numRef>
              <c:f>Country_year!$C$40:$AU$40</c:f>
              <c:numCache>
                <c:formatCode>_(* #,##0.00_);_(* \(#,##0.00\);_(* "-"??_);_(@_)</c:formatCode>
                <c:ptCount val="45"/>
                <c:pt idx="0">
                  <c:v>66027.781000000003</c:v>
                </c:pt>
                <c:pt idx="1">
                  <c:v>10364.66</c:v>
                </c:pt>
                <c:pt idx="2">
                  <c:v>13040.698</c:v>
                </c:pt>
                <c:pt idx="3">
                  <c:v>21601.787</c:v>
                </c:pt>
                <c:pt idx="4">
                  <c:v>9186.2429999999986</c:v>
                </c:pt>
                <c:pt idx="5">
                  <c:v>4292.4620000000004</c:v>
                </c:pt>
                <c:pt idx="6">
                  <c:v>8158.7759999999998</c:v>
                </c:pt>
                <c:pt idx="7">
                  <c:v>17840.870999999999</c:v>
                </c:pt>
                <c:pt idx="8">
                  <c:v>3166.4519999999998</c:v>
                </c:pt>
                <c:pt idx="9">
                  <c:v>5650.2270000000008</c:v>
                </c:pt>
                <c:pt idx="10">
                  <c:v>36916.791000000005</c:v>
                </c:pt>
                <c:pt idx="11">
                  <c:v>3707.4850000000001</c:v>
                </c:pt>
                <c:pt idx="12">
                  <c:v>11473.739000000001</c:v>
                </c:pt>
                <c:pt idx="13">
                  <c:v>7883.7219999999998</c:v>
                </c:pt>
                <c:pt idx="14">
                  <c:v>22120.489000000001</c:v>
                </c:pt>
                <c:pt idx="15">
                  <c:v>11605.661000000002</c:v>
                </c:pt>
                <c:pt idx="16">
                  <c:v>4360.5790000000006</c:v>
                </c:pt>
                <c:pt idx="17">
                  <c:v>27368.414000000001</c:v>
                </c:pt>
                <c:pt idx="18">
                  <c:v>8724.4740000000002</c:v>
                </c:pt>
                <c:pt idx="19">
                  <c:v>76572.697</c:v>
                </c:pt>
                <c:pt idx="20">
                  <c:v>26842.808000000005</c:v>
                </c:pt>
                <c:pt idx="21">
                  <c:v>6405.68</c:v>
                </c:pt>
                <c:pt idx="22">
                  <c:v>40785.851999999984</c:v>
                </c:pt>
                <c:pt idx="23">
                  <c:v>31755.049000000003</c:v>
                </c:pt>
                <c:pt idx="24">
                  <c:v>6101.7030000000013</c:v>
                </c:pt>
                <c:pt idx="25">
                  <c:v>28608.912</c:v>
                </c:pt>
                <c:pt idx="26">
                  <c:v>7914.9330000000009</c:v>
                </c:pt>
                <c:pt idx="27">
                  <c:v>14778.154999999999</c:v>
                </c:pt>
                <c:pt idx="28">
                  <c:v>6590.3530000000001</c:v>
                </c:pt>
                <c:pt idx="29">
                  <c:v>24984.155000000002</c:v>
                </c:pt>
                <c:pt idx="30">
                  <c:v>30533.760000000002</c:v>
                </c:pt>
                <c:pt idx="31">
                  <c:v>11967.195999999998</c:v>
                </c:pt>
                <c:pt idx="32">
                  <c:v>28264.548999999995</c:v>
                </c:pt>
                <c:pt idx="33">
                  <c:v>25309.819</c:v>
                </c:pt>
                <c:pt idx="34">
                  <c:v>19357.388999999999</c:v>
                </c:pt>
                <c:pt idx="35">
                  <c:v>15481.643999999998</c:v>
                </c:pt>
                <c:pt idx="36">
                  <c:v>19872.687999999998</c:v>
                </c:pt>
                <c:pt idx="37">
                  <c:v>37156.141000000011</c:v>
                </c:pt>
                <c:pt idx="38">
                  <c:v>27074.097000000002</c:v>
                </c:pt>
                <c:pt idx="39">
                  <c:v>29921.454999999991</c:v>
                </c:pt>
                <c:pt idx="40">
                  <c:v>19040.102000000003</c:v>
                </c:pt>
                <c:pt idx="41">
                  <c:v>67747.921999999977</c:v>
                </c:pt>
                <c:pt idx="42">
                  <c:v>59297.434999999983</c:v>
                </c:pt>
                <c:pt idx="43">
                  <c:v>135233.08800000002</c:v>
                </c:pt>
                <c:pt idx="44">
                  <c:v>42579.203999999998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E75-4F41-AF64-7F7D82E9A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1179088"/>
        <c:axId val="1781179568"/>
      </c:lineChart>
      <c:catAx>
        <c:axId val="1781179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tkinson Hyperlegible Next" pitchFamily="2" charset="0"/>
                <a:ea typeface="+mn-ea"/>
                <a:cs typeface="+mn-cs"/>
              </a:defRPr>
            </a:pPr>
            <a:endParaRPr lang="it-IT"/>
          </a:p>
        </c:txPr>
        <c:crossAx val="1781179568"/>
        <c:crosses val="autoZero"/>
        <c:auto val="1"/>
        <c:lblAlgn val="ctr"/>
        <c:lblOffset val="100"/>
        <c:noMultiLvlLbl val="0"/>
      </c:catAx>
      <c:valAx>
        <c:axId val="178117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tkinson Hyperlegible Next" pitchFamily="2" charset="0"/>
                <a:ea typeface="+mn-ea"/>
                <a:cs typeface="+mn-cs"/>
              </a:defRPr>
            </a:pPr>
            <a:endParaRPr lang="it-IT"/>
          </a:p>
        </c:txPr>
        <c:crossAx val="1781179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tkinson Hyperlegible Next" pitchFamily="2" charset="0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172638</xdr:colOff>
      <xdr:row>45</xdr:row>
      <xdr:rowOff>86915</xdr:rowOff>
    </xdr:from>
    <xdr:to>
      <xdr:col>43</xdr:col>
      <xdr:colOff>488155</xdr:colOff>
      <xdr:row>94</xdr:row>
      <xdr:rowOff>142875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42C4C33-AA11-78D5-9BF7-3B481CCE10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penEconomics 2526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00B3"/>
      </a:accent1>
      <a:accent2>
        <a:srgbClr val="B9FF69"/>
      </a:accent2>
      <a:accent3>
        <a:srgbClr val="30007D"/>
      </a:accent3>
      <a:accent4>
        <a:srgbClr val="A280D9"/>
      </a:accent4>
      <a:accent5>
        <a:srgbClr val="82B34A"/>
      </a:accent5>
      <a:accent6>
        <a:srgbClr val="DCFFB4"/>
      </a:accent6>
      <a:hlink>
        <a:srgbClr val="FFC000"/>
      </a:hlink>
      <a:folHlink>
        <a:srgbClr val="C0000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5"/>
  <sheetViews>
    <sheetView workbookViewId="0">
      <pane xSplit="1" ySplit="10" topLeftCell="I11" activePane="bottomRight" state="frozen"/>
      <selection pane="topRight"/>
      <selection pane="bottomLeft"/>
      <selection pane="bottomRight" activeCell="A11" sqref="A11"/>
    </sheetView>
  </sheetViews>
  <sheetFormatPr defaultRowHeight="11.45" customHeight="1" x14ac:dyDescent="0.25"/>
  <cols>
    <col min="1" max="1" width="29.85546875" customWidth="1"/>
    <col min="2" max="31" width="10" customWidth="1"/>
  </cols>
  <sheetData>
    <row r="1" spans="1:31" ht="11.45" customHeight="1" x14ac:dyDescent="0.25">
      <c r="A1" s="2" t="s">
        <v>0</v>
      </c>
    </row>
    <row r="2" spans="1:31" ht="11.45" customHeight="1" x14ac:dyDescent="0.25">
      <c r="A2" s="2" t="s">
        <v>1</v>
      </c>
    </row>
    <row r="3" spans="1:31" ht="11.45" customHeight="1" x14ac:dyDescent="0.25">
      <c r="A3" s="2" t="s">
        <v>2</v>
      </c>
    </row>
    <row r="5" spans="1:31" ht="11.45" customHeight="1" x14ac:dyDescent="0.25">
      <c r="A5" s="1" t="s">
        <v>3</v>
      </c>
    </row>
    <row r="6" spans="1:31" ht="11.45" customHeight="1" x14ac:dyDescent="0.25">
      <c r="A6" s="1" t="s">
        <v>4</v>
      </c>
    </row>
    <row r="7" spans="1:31" ht="11.45" customHeight="1" x14ac:dyDescent="0.25">
      <c r="A7" s="1" t="s">
        <v>5</v>
      </c>
    </row>
    <row r="8" spans="1:31" ht="11.45" customHeight="1" x14ac:dyDescent="0.25">
      <c r="A8" s="1" t="s">
        <v>6</v>
      </c>
    </row>
    <row r="9" spans="1:31" ht="11.45" customHeight="1" x14ac:dyDescent="0.25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spans="1:31" ht="11.45" customHeight="1" x14ac:dyDescent="0.25">
      <c r="A10" s="3" t="s">
        <v>7</v>
      </c>
      <c r="B10" s="11">
        <v>1995</v>
      </c>
      <c r="C10" s="11">
        <v>1996</v>
      </c>
      <c r="D10" s="11">
        <v>1997</v>
      </c>
      <c r="E10" s="11">
        <v>1998</v>
      </c>
      <c r="F10" s="11">
        <v>1999</v>
      </c>
      <c r="G10" s="11">
        <v>2000</v>
      </c>
      <c r="H10" s="11">
        <v>2001</v>
      </c>
      <c r="I10" s="11">
        <v>2002</v>
      </c>
      <c r="J10" s="11">
        <v>2003</v>
      </c>
      <c r="K10" s="11">
        <v>2004</v>
      </c>
      <c r="L10" s="11">
        <v>2005</v>
      </c>
      <c r="M10" s="11">
        <v>2006</v>
      </c>
      <c r="N10" s="11">
        <v>2007</v>
      </c>
      <c r="O10" s="11">
        <v>2008</v>
      </c>
      <c r="P10" s="11">
        <v>2009</v>
      </c>
      <c r="Q10" s="11">
        <v>2010</v>
      </c>
      <c r="R10" s="11">
        <v>2011</v>
      </c>
      <c r="S10" s="11">
        <v>2012</v>
      </c>
      <c r="T10" s="11">
        <v>2013</v>
      </c>
      <c r="U10" s="11">
        <v>2014</v>
      </c>
      <c r="V10" s="11">
        <v>2015</v>
      </c>
      <c r="W10" s="11">
        <v>2016</v>
      </c>
      <c r="X10" s="11">
        <v>2017</v>
      </c>
      <c r="Y10" s="11">
        <v>2018</v>
      </c>
      <c r="Z10" s="11">
        <v>2019</v>
      </c>
      <c r="AA10" s="11">
        <v>2020</v>
      </c>
      <c r="AB10" s="11">
        <v>2021</v>
      </c>
      <c r="AC10" s="11">
        <v>2022</v>
      </c>
      <c r="AD10" s="11">
        <v>2023</v>
      </c>
      <c r="AE10" s="11">
        <v>2024</v>
      </c>
    </row>
    <row r="11" spans="1:31" ht="11.45" customHeight="1" x14ac:dyDescent="0.25">
      <c r="A11" s="4" t="s">
        <v>9</v>
      </c>
      <c r="B11" s="7">
        <v>66.896000000000001</v>
      </c>
      <c r="C11" s="7">
        <v>67.739000000000004</v>
      </c>
      <c r="D11" s="7">
        <v>71.433000000000007</v>
      </c>
      <c r="E11" s="9">
        <v>74.33</v>
      </c>
      <c r="F11" s="7">
        <v>77.533000000000001</v>
      </c>
      <c r="G11" s="7">
        <v>79.117000000000004</v>
      </c>
      <c r="H11" s="7">
        <v>81.436000000000007</v>
      </c>
      <c r="I11" s="7">
        <v>80.462000000000003</v>
      </c>
      <c r="J11" s="7">
        <v>80.807000000000002</v>
      </c>
      <c r="K11" s="7">
        <v>83.596999999999994</v>
      </c>
      <c r="L11" s="7">
        <v>85.311999999999998</v>
      </c>
      <c r="M11" s="7">
        <v>88.525000000000006</v>
      </c>
      <c r="N11" s="9">
        <v>91.84</v>
      </c>
      <c r="O11" s="7">
        <v>92.899000000000001</v>
      </c>
      <c r="P11" s="7">
        <v>87.683999999999997</v>
      </c>
      <c r="Q11" s="7">
        <v>92.100999999999999</v>
      </c>
      <c r="R11" s="7">
        <v>95.504000000000005</v>
      </c>
      <c r="S11" s="9">
        <v>94.4</v>
      </c>
      <c r="T11" s="7">
        <v>93.933999999999997</v>
      </c>
      <c r="U11" s="7">
        <v>95.412000000000006</v>
      </c>
      <c r="V11" s="7">
        <v>96.968999999999994</v>
      </c>
      <c r="W11" s="7">
        <v>98.995999999999995</v>
      </c>
      <c r="X11" s="7">
        <v>101.306</v>
      </c>
      <c r="Y11" s="7">
        <v>103.529</v>
      </c>
      <c r="Z11" s="7">
        <v>106.03100000000001</v>
      </c>
      <c r="AA11" s="9">
        <v>100</v>
      </c>
      <c r="AB11" s="7">
        <v>110.251</v>
      </c>
      <c r="AC11" s="7">
        <v>112.675</v>
      </c>
      <c r="AD11" s="7">
        <v>110.59099999999999</v>
      </c>
      <c r="AE11" s="7">
        <v>110.983</v>
      </c>
    </row>
    <row r="12" spans="1:31" ht="11.45" customHeight="1" x14ac:dyDescent="0.25">
      <c r="A12" s="4" t="s">
        <v>12</v>
      </c>
      <c r="B12" s="6" t="s">
        <v>8</v>
      </c>
      <c r="C12" s="6" t="s">
        <v>8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6" t="s">
        <v>8</v>
      </c>
      <c r="K12" s="6" t="s">
        <v>8</v>
      </c>
      <c r="L12" s="6" t="s">
        <v>8</v>
      </c>
      <c r="M12" s="6" t="s">
        <v>8</v>
      </c>
      <c r="N12" s="6" t="s">
        <v>8</v>
      </c>
      <c r="O12" s="6" t="s">
        <v>8</v>
      </c>
      <c r="P12" s="6" t="s">
        <v>8</v>
      </c>
      <c r="Q12" s="6" t="s">
        <v>8</v>
      </c>
      <c r="R12" s="6" t="s">
        <v>8</v>
      </c>
      <c r="S12" s="6" t="s">
        <v>8</v>
      </c>
      <c r="T12" s="6" t="s">
        <v>8</v>
      </c>
      <c r="U12" s="6" t="s">
        <v>8</v>
      </c>
      <c r="V12" s="6" t="s">
        <v>8</v>
      </c>
      <c r="W12" s="6" t="s">
        <v>8</v>
      </c>
      <c r="X12" s="6" t="s">
        <v>8</v>
      </c>
      <c r="Y12" s="6" t="s">
        <v>8</v>
      </c>
      <c r="Z12" s="6" t="s">
        <v>8</v>
      </c>
      <c r="AA12" s="6" t="s">
        <v>8</v>
      </c>
      <c r="AB12" s="6" t="s">
        <v>8</v>
      </c>
      <c r="AC12" s="6" t="s">
        <v>8</v>
      </c>
      <c r="AD12" s="6" t="s">
        <v>8</v>
      </c>
      <c r="AE12" s="6" t="s">
        <v>8</v>
      </c>
    </row>
    <row r="13" spans="1:31" ht="11.45" customHeight="1" x14ac:dyDescent="0.25">
      <c r="A13" s="4" t="s">
        <v>13</v>
      </c>
      <c r="B13" s="9">
        <v>48.71</v>
      </c>
      <c r="C13" s="7">
        <v>50.954000000000001</v>
      </c>
      <c r="D13" s="9">
        <v>52.86</v>
      </c>
      <c r="E13" s="7">
        <v>53.777999999999999</v>
      </c>
      <c r="F13" s="7">
        <v>54.045000000000002</v>
      </c>
      <c r="G13" s="9">
        <v>56.69</v>
      </c>
      <c r="H13" s="7">
        <v>60.204000000000001</v>
      </c>
      <c r="I13" s="7">
        <v>61.871000000000002</v>
      </c>
      <c r="J13" s="7">
        <v>66.039000000000001</v>
      </c>
      <c r="K13" s="9">
        <v>69.89</v>
      </c>
      <c r="L13" s="7">
        <v>73.180999999999997</v>
      </c>
      <c r="M13" s="7">
        <v>80.168999999999997</v>
      </c>
      <c r="N13" s="7">
        <v>86.314999999999998</v>
      </c>
      <c r="O13" s="7">
        <v>87.897999999999996</v>
      </c>
      <c r="P13" s="9">
        <v>80.790000000000006</v>
      </c>
      <c r="Q13" s="7">
        <v>84.566999999999993</v>
      </c>
      <c r="R13" s="7">
        <v>86.852000000000004</v>
      </c>
      <c r="S13" s="7">
        <v>84.811000000000007</v>
      </c>
      <c r="T13" s="7">
        <v>84.697999999999993</v>
      </c>
      <c r="U13" s="7">
        <v>87.816999999999993</v>
      </c>
      <c r="V13" s="9">
        <v>92.25</v>
      </c>
      <c r="W13" s="7">
        <v>94.650999999999996</v>
      </c>
      <c r="X13" s="7">
        <v>100.336</v>
      </c>
      <c r="Y13" s="7">
        <v>104.411</v>
      </c>
      <c r="Z13" s="9">
        <v>106.14</v>
      </c>
      <c r="AA13" s="9">
        <v>100</v>
      </c>
      <c r="AB13" s="7">
        <v>106.78400000000001</v>
      </c>
      <c r="AC13" s="9">
        <v>111.34</v>
      </c>
      <c r="AD13" s="7">
        <v>111.651</v>
      </c>
      <c r="AE13" s="7">
        <v>112.931</v>
      </c>
    </row>
    <row r="14" spans="1:31" ht="11.45" customHeight="1" x14ac:dyDescent="0.25">
      <c r="A14" s="4" t="s">
        <v>14</v>
      </c>
      <c r="B14" s="8">
        <v>62.826999999999998</v>
      </c>
      <c r="C14" s="10">
        <v>64.66</v>
      </c>
      <c r="D14" s="8">
        <v>66.671000000000006</v>
      </c>
      <c r="E14" s="8">
        <v>68.594999999999999</v>
      </c>
      <c r="F14" s="10">
        <v>71.430000000000007</v>
      </c>
      <c r="G14" s="8">
        <v>74.941999999999993</v>
      </c>
      <c r="H14" s="8">
        <v>76.778000000000006</v>
      </c>
      <c r="I14" s="8">
        <v>77.667000000000002</v>
      </c>
      <c r="J14" s="8">
        <v>77.837000000000003</v>
      </c>
      <c r="K14" s="8">
        <v>79.626000000000005</v>
      </c>
      <c r="L14" s="8">
        <v>83.867000000000004</v>
      </c>
      <c r="M14" s="10">
        <v>88.36</v>
      </c>
      <c r="N14" s="8">
        <v>90.965999999999994</v>
      </c>
      <c r="O14" s="8">
        <v>91.745000000000005</v>
      </c>
      <c r="P14" s="8">
        <v>85.822999999999993</v>
      </c>
      <c r="Q14" s="8">
        <v>85.879000000000005</v>
      </c>
      <c r="R14" s="8">
        <v>88.057000000000002</v>
      </c>
      <c r="S14" s="8">
        <v>88.745000000000005</v>
      </c>
      <c r="T14" s="8">
        <v>88.873999999999995</v>
      </c>
      <c r="U14" s="8">
        <v>90.736000000000004</v>
      </c>
      <c r="V14" s="8">
        <v>92.977000000000004</v>
      </c>
      <c r="W14" s="8">
        <v>96.328999999999994</v>
      </c>
      <c r="X14" s="8">
        <v>98.864999999999995</v>
      </c>
      <c r="Y14" s="8">
        <v>100.68600000000001</v>
      </c>
      <c r="Z14" s="10">
        <v>102.23</v>
      </c>
      <c r="AA14" s="10">
        <v>100</v>
      </c>
      <c r="AB14" s="8">
        <v>106.342</v>
      </c>
      <c r="AC14" s="8">
        <v>109.268</v>
      </c>
      <c r="AD14" s="8">
        <v>109.443</v>
      </c>
      <c r="AE14" s="8">
        <v>112.259</v>
      </c>
    </row>
    <row r="15" spans="1:31" ht="11.45" customHeight="1" x14ac:dyDescent="0.25">
      <c r="A15" s="4" t="s">
        <v>15</v>
      </c>
      <c r="B15" s="9">
        <v>65.459999999999994</v>
      </c>
      <c r="C15" s="9">
        <v>66.45</v>
      </c>
      <c r="D15" s="9">
        <v>67.959999999999994</v>
      </c>
      <c r="E15" s="9">
        <v>70.38</v>
      </c>
      <c r="F15" s="9">
        <v>73.02</v>
      </c>
      <c r="G15" s="9">
        <v>75.98</v>
      </c>
      <c r="H15" s="9">
        <v>77.55</v>
      </c>
      <c r="I15" s="9">
        <v>76.849999999999994</v>
      </c>
      <c r="J15" s="9">
        <v>77.58</v>
      </c>
      <c r="K15" s="9">
        <v>79.14</v>
      </c>
      <c r="L15" s="9">
        <v>80.81</v>
      </c>
      <c r="M15" s="9">
        <v>84.45</v>
      </c>
      <c r="N15" s="9">
        <v>88.15</v>
      </c>
      <c r="O15" s="9">
        <v>89.75</v>
      </c>
      <c r="P15" s="9">
        <v>83.8</v>
      </c>
      <c r="Q15" s="9">
        <v>88.5</v>
      </c>
      <c r="R15" s="9">
        <v>92.35</v>
      </c>
      <c r="S15" s="9">
        <v>91.85</v>
      </c>
      <c r="T15" s="9">
        <v>91.74</v>
      </c>
      <c r="U15" s="9">
        <v>93.74</v>
      </c>
      <c r="V15" s="9">
        <v>95.67</v>
      </c>
      <c r="W15" s="9">
        <v>97.82</v>
      </c>
      <c r="X15" s="9">
        <v>100.57</v>
      </c>
      <c r="Y15" s="9">
        <v>102.41</v>
      </c>
      <c r="Z15" s="9">
        <v>103.55</v>
      </c>
      <c r="AA15" s="9">
        <v>100</v>
      </c>
      <c r="AB15" s="9">
        <v>103.59</v>
      </c>
      <c r="AC15" s="9">
        <v>107.01</v>
      </c>
      <c r="AD15" s="9">
        <v>107.22</v>
      </c>
      <c r="AE15" s="9">
        <v>106.29</v>
      </c>
    </row>
    <row r="16" spans="1:31" ht="11.45" customHeight="1" x14ac:dyDescent="0.25">
      <c r="A16" s="4" t="s">
        <v>16</v>
      </c>
      <c r="B16" s="8">
        <v>30.712</v>
      </c>
      <c r="C16" s="8">
        <v>32.225999999999999</v>
      </c>
      <c r="D16" s="8">
        <v>36.899000000000001</v>
      </c>
      <c r="E16" s="10">
        <v>39.69</v>
      </c>
      <c r="F16" s="8">
        <v>39.201999999999998</v>
      </c>
      <c r="G16" s="8">
        <v>43.603999999999999</v>
      </c>
      <c r="H16" s="8">
        <v>47.524000000000001</v>
      </c>
      <c r="I16" s="8">
        <v>51.308</v>
      </c>
      <c r="J16" s="8">
        <v>55.057000000000002</v>
      </c>
      <c r="K16" s="8">
        <v>60.198</v>
      </c>
      <c r="L16" s="8">
        <v>66.704999999999998</v>
      </c>
      <c r="M16" s="8">
        <v>73.275999999999996</v>
      </c>
      <c r="N16" s="8">
        <v>78.912999999999997</v>
      </c>
      <c r="O16" s="8">
        <v>76.069000000000003</v>
      </c>
      <c r="P16" s="8">
        <v>62.098999999999997</v>
      </c>
      <c r="Q16" s="8">
        <v>66.781000000000006</v>
      </c>
      <c r="R16" s="8">
        <v>74.123000000000005</v>
      </c>
      <c r="S16" s="8">
        <v>76.983999999999995</v>
      </c>
      <c r="T16" s="8">
        <v>79.337000000000003</v>
      </c>
      <c r="U16" s="10">
        <v>81.53</v>
      </c>
      <c r="V16" s="8">
        <v>83.048000000000002</v>
      </c>
      <c r="W16" s="8">
        <v>86.188999999999993</v>
      </c>
      <c r="X16" s="8">
        <v>92.067999999999998</v>
      </c>
      <c r="Y16" s="8">
        <v>96.376000000000005</v>
      </c>
      <c r="Z16" s="8">
        <v>100.902</v>
      </c>
      <c r="AA16" s="10">
        <v>100</v>
      </c>
      <c r="AB16" s="10">
        <v>109.52</v>
      </c>
      <c r="AC16" s="8">
        <v>112.623</v>
      </c>
      <c r="AD16" s="8">
        <v>108.932</v>
      </c>
      <c r="AE16" s="8">
        <v>107.85299999999999</v>
      </c>
    </row>
    <row r="17" spans="1:31" ht="11.45" customHeight="1" x14ac:dyDescent="0.25">
      <c r="A17" s="4" t="s">
        <v>17</v>
      </c>
      <c r="B17" s="5" t="s">
        <v>8</v>
      </c>
      <c r="C17" s="5" t="s">
        <v>8</v>
      </c>
      <c r="D17" s="5" t="s">
        <v>8</v>
      </c>
      <c r="E17" s="5" t="s">
        <v>8</v>
      </c>
      <c r="F17" s="5" t="s">
        <v>8</v>
      </c>
      <c r="G17" s="5" t="s">
        <v>8</v>
      </c>
      <c r="H17" s="5" t="s">
        <v>8</v>
      </c>
      <c r="I17" s="5" t="s">
        <v>8</v>
      </c>
      <c r="J17" s="5" t="s">
        <v>8</v>
      </c>
      <c r="K17" s="5" t="s">
        <v>8</v>
      </c>
      <c r="L17" s="5" t="s">
        <v>8</v>
      </c>
      <c r="M17" s="5" t="s">
        <v>8</v>
      </c>
      <c r="N17" s="5" t="s">
        <v>8</v>
      </c>
      <c r="O17" s="5" t="s">
        <v>8</v>
      </c>
      <c r="P17" s="5" t="s">
        <v>8</v>
      </c>
      <c r="Q17" s="5" t="s">
        <v>8</v>
      </c>
      <c r="R17" s="5" t="s">
        <v>8</v>
      </c>
      <c r="S17" s="5" t="s">
        <v>8</v>
      </c>
      <c r="T17" s="5" t="s">
        <v>8</v>
      </c>
      <c r="U17" s="5" t="s">
        <v>8</v>
      </c>
      <c r="V17" s="5" t="s">
        <v>8</v>
      </c>
      <c r="W17" s="5" t="s">
        <v>8</v>
      </c>
      <c r="X17" s="5" t="s">
        <v>8</v>
      </c>
      <c r="Y17" s="5" t="s">
        <v>8</v>
      </c>
      <c r="Z17" s="5" t="s">
        <v>8</v>
      </c>
      <c r="AA17" s="5" t="s">
        <v>8</v>
      </c>
      <c r="AB17" s="5" t="s">
        <v>8</v>
      </c>
      <c r="AC17" s="5" t="s">
        <v>8</v>
      </c>
      <c r="AD17" s="5" t="s">
        <v>8</v>
      </c>
      <c r="AE17" s="5" t="s">
        <v>8</v>
      </c>
    </row>
    <row r="18" spans="1:31" ht="11.45" customHeight="1" x14ac:dyDescent="0.25">
      <c r="A18" s="4" t="s">
        <v>18</v>
      </c>
      <c r="B18" s="8">
        <v>95.569000000000003</v>
      </c>
      <c r="C18" s="8">
        <v>96.935000000000002</v>
      </c>
      <c r="D18" s="10">
        <v>98.92</v>
      </c>
      <c r="E18" s="8">
        <v>102.858</v>
      </c>
      <c r="F18" s="10">
        <v>105.22</v>
      </c>
      <c r="G18" s="8">
        <v>109.855</v>
      </c>
      <c r="H18" s="8">
        <v>114.315</v>
      </c>
      <c r="I18" s="8">
        <v>119.446</v>
      </c>
      <c r="J18" s="8">
        <v>123.48399999999999</v>
      </c>
      <c r="K18" s="8">
        <v>129.87700000000001</v>
      </c>
      <c r="L18" s="8">
        <v>128.971</v>
      </c>
      <c r="M18" s="8">
        <v>137.14099999999999</v>
      </c>
      <c r="N18" s="8">
        <v>141.209</v>
      </c>
      <c r="O18" s="8">
        <v>137.316</v>
      </c>
      <c r="P18" s="8">
        <v>132.37700000000001</v>
      </c>
      <c r="Q18" s="8">
        <v>123.20099999999999</v>
      </c>
      <c r="R18" s="8">
        <v>110.55200000000001</v>
      </c>
      <c r="S18" s="8">
        <v>103.485</v>
      </c>
      <c r="T18" s="10">
        <v>103.45</v>
      </c>
      <c r="U18" s="8">
        <v>103.803</v>
      </c>
      <c r="V18" s="8">
        <v>106.33799999999999</v>
      </c>
      <c r="W18" s="8">
        <v>105.11799999999999</v>
      </c>
      <c r="X18" s="8">
        <v>107.60899999999999</v>
      </c>
      <c r="Y18" s="8">
        <v>110.02200000000001</v>
      </c>
      <c r="Z18" s="8">
        <v>112.694</v>
      </c>
      <c r="AA18" s="10">
        <v>100</v>
      </c>
      <c r="AB18" s="8">
        <v>109.65900000000001</v>
      </c>
      <c r="AC18" s="8">
        <v>120.667</v>
      </c>
      <c r="AD18" s="8">
        <v>124.65600000000001</v>
      </c>
      <c r="AE18" s="8">
        <v>126.678</v>
      </c>
    </row>
    <row r="19" spans="1:31" ht="11.45" customHeight="1" x14ac:dyDescent="0.25">
      <c r="A19" s="4" t="s">
        <v>19</v>
      </c>
      <c r="B19" s="5" t="s">
        <v>8</v>
      </c>
      <c r="C19" s="5" t="s">
        <v>8</v>
      </c>
      <c r="D19" s="5" t="s">
        <v>8</v>
      </c>
      <c r="E19" s="5" t="s">
        <v>8</v>
      </c>
      <c r="F19" s="5" t="s">
        <v>8</v>
      </c>
      <c r="G19" s="5" t="s">
        <v>8</v>
      </c>
      <c r="H19" s="5" t="s">
        <v>8</v>
      </c>
      <c r="I19" s="5" t="s">
        <v>8</v>
      </c>
      <c r="J19" s="5" t="s">
        <v>8</v>
      </c>
      <c r="K19" s="5" t="s">
        <v>8</v>
      </c>
      <c r="L19" s="5" t="s">
        <v>8</v>
      </c>
      <c r="M19" s="5" t="s">
        <v>8</v>
      </c>
      <c r="N19" s="5" t="s">
        <v>8</v>
      </c>
      <c r="O19" s="5" t="s">
        <v>8</v>
      </c>
      <c r="P19" s="5" t="s">
        <v>8</v>
      </c>
      <c r="Q19" s="5" t="s">
        <v>8</v>
      </c>
      <c r="R19" s="5" t="s">
        <v>8</v>
      </c>
      <c r="S19" s="5" t="s">
        <v>8</v>
      </c>
      <c r="T19" s="5" t="s">
        <v>8</v>
      </c>
      <c r="U19" s="5" t="s">
        <v>8</v>
      </c>
      <c r="V19" s="5" t="s">
        <v>8</v>
      </c>
      <c r="W19" s="5" t="s">
        <v>8</v>
      </c>
      <c r="X19" s="5" t="s">
        <v>8</v>
      </c>
      <c r="Y19" s="5" t="s">
        <v>8</v>
      </c>
      <c r="Z19" s="5" t="s">
        <v>8</v>
      </c>
      <c r="AA19" s="5" t="s">
        <v>8</v>
      </c>
      <c r="AB19" s="5" t="s">
        <v>8</v>
      </c>
      <c r="AC19" s="5" t="s">
        <v>8</v>
      </c>
      <c r="AD19" s="5" t="s">
        <v>8</v>
      </c>
      <c r="AE19" s="5" t="s">
        <v>8</v>
      </c>
    </row>
    <row r="20" spans="1:31" ht="11.45" customHeight="1" x14ac:dyDescent="0.25">
      <c r="A20" s="4" t="s">
        <v>20</v>
      </c>
      <c r="B20" s="8">
        <v>68.492000000000004</v>
      </c>
      <c r="C20" s="8">
        <v>69.507000000000005</v>
      </c>
      <c r="D20" s="8">
        <v>71.722999999999999</v>
      </c>
      <c r="E20" s="8">
        <v>74.852999999999994</v>
      </c>
      <c r="F20" s="8">
        <v>78.341999999999999</v>
      </c>
      <c r="G20" s="8">
        <v>82.816000000000003</v>
      </c>
      <c r="H20" s="8">
        <v>85.010999999999996</v>
      </c>
      <c r="I20" s="8">
        <v>85.718999999999994</v>
      </c>
      <c r="J20" s="8">
        <v>86.045000000000002</v>
      </c>
      <c r="K20" s="8">
        <v>88.665999999999997</v>
      </c>
      <c r="L20" s="8">
        <v>90.768000000000001</v>
      </c>
      <c r="M20" s="8">
        <v>93.722999999999999</v>
      </c>
      <c r="N20" s="8">
        <v>96.578000000000003</v>
      </c>
      <c r="O20" s="8">
        <v>96.811000000000007</v>
      </c>
      <c r="P20" s="8">
        <v>92.114000000000004</v>
      </c>
      <c r="Q20" s="8">
        <v>94.590999999999994</v>
      </c>
      <c r="R20" s="8">
        <v>96.653000000000006</v>
      </c>
      <c r="S20" s="8">
        <v>96.472999999999999</v>
      </c>
      <c r="T20" s="8">
        <v>96.897000000000006</v>
      </c>
      <c r="U20" s="8">
        <v>98.111999999999995</v>
      </c>
      <c r="V20" s="8">
        <v>99.543999999999997</v>
      </c>
      <c r="W20" s="8">
        <v>100.762</v>
      </c>
      <c r="X20" s="8">
        <v>104.00700000000001</v>
      </c>
      <c r="Y20" s="8">
        <v>106.111</v>
      </c>
      <c r="Z20" s="8">
        <v>108.383</v>
      </c>
      <c r="AA20" s="10">
        <v>100</v>
      </c>
      <c r="AB20" s="10">
        <v>107.67</v>
      </c>
      <c r="AC20" s="8">
        <v>112.73399999999999</v>
      </c>
      <c r="AD20" s="8">
        <v>114.947</v>
      </c>
      <c r="AE20" s="8">
        <v>116.303</v>
      </c>
    </row>
    <row r="21" spans="1:31" ht="11.45" customHeight="1" x14ac:dyDescent="0.25">
      <c r="A21" s="4" t="s">
        <v>21</v>
      </c>
      <c r="B21" s="5" t="s">
        <v>8</v>
      </c>
      <c r="C21" s="5" t="s">
        <v>8</v>
      </c>
      <c r="D21" s="5" t="s">
        <v>8</v>
      </c>
      <c r="E21" s="5" t="s">
        <v>8</v>
      </c>
      <c r="F21" s="5" t="s">
        <v>8</v>
      </c>
      <c r="G21" s="5" t="s">
        <v>8</v>
      </c>
      <c r="H21" s="5" t="s">
        <v>8</v>
      </c>
      <c r="I21" s="5" t="s">
        <v>8</v>
      </c>
      <c r="J21" s="5" t="s">
        <v>8</v>
      </c>
      <c r="K21" s="5" t="s">
        <v>8</v>
      </c>
      <c r="L21" s="5" t="s">
        <v>8</v>
      </c>
      <c r="M21" s="5" t="s">
        <v>8</v>
      </c>
      <c r="N21" s="5" t="s">
        <v>8</v>
      </c>
      <c r="O21" s="5" t="s">
        <v>8</v>
      </c>
      <c r="P21" s="5" t="s">
        <v>8</v>
      </c>
      <c r="Q21" s="5" t="s">
        <v>8</v>
      </c>
      <c r="R21" s="5" t="s">
        <v>8</v>
      </c>
      <c r="S21" s="5" t="s">
        <v>8</v>
      </c>
      <c r="T21" s="5" t="s">
        <v>8</v>
      </c>
      <c r="U21" s="5" t="s">
        <v>8</v>
      </c>
      <c r="V21" s="5" t="s">
        <v>8</v>
      </c>
      <c r="W21" s="5" t="s">
        <v>8</v>
      </c>
      <c r="X21" s="5" t="s">
        <v>8</v>
      </c>
      <c r="Y21" s="5" t="s">
        <v>8</v>
      </c>
      <c r="Z21" s="5" t="s">
        <v>8</v>
      </c>
      <c r="AA21" s="5" t="s">
        <v>8</v>
      </c>
      <c r="AB21" s="5" t="s">
        <v>8</v>
      </c>
      <c r="AC21" s="5" t="s">
        <v>8</v>
      </c>
      <c r="AD21" s="5" t="s">
        <v>8</v>
      </c>
      <c r="AE21" s="5" t="s">
        <v>8</v>
      </c>
    </row>
    <row r="22" spans="1:31" ht="11.45" customHeight="1" x14ac:dyDescent="0.25">
      <c r="A22" s="4" t="s">
        <v>22</v>
      </c>
      <c r="B22" s="6" t="s">
        <v>8</v>
      </c>
      <c r="C22" s="6" t="s">
        <v>8</v>
      </c>
      <c r="D22" s="6" t="s">
        <v>8</v>
      </c>
      <c r="E22" s="6" t="s">
        <v>8</v>
      </c>
      <c r="F22" s="6" t="s">
        <v>8</v>
      </c>
      <c r="G22" s="6" t="s">
        <v>8</v>
      </c>
      <c r="H22" s="6" t="s">
        <v>8</v>
      </c>
      <c r="I22" s="6" t="s">
        <v>8</v>
      </c>
      <c r="J22" s="6" t="s">
        <v>8</v>
      </c>
      <c r="K22" s="6" t="s">
        <v>8</v>
      </c>
      <c r="L22" s="6" t="s">
        <v>8</v>
      </c>
      <c r="M22" s="6" t="s">
        <v>8</v>
      </c>
      <c r="N22" s="6" t="s">
        <v>8</v>
      </c>
      <c r="O22" s="6" t="s">
        <v>8</v>
      </c>
      <c r="P22" s="6" t="s">
        <v>8</v>
      </c>
      <c r="Q22" s="6" t="s">
        <v>8</v>
      </c>
      <c r="R22" s="6" t="s">
        <v>8</v>
      </c>
      <c r="S22" s="6" t="s">
        <v>8</v>
      </c>
      <c r="T22" s="6" t="s">
        <v>8</v>
      </c>
      <c r="U22" s="6" t="s">
        <v>8</v>
      </c>
      <c r="V22" s="6" t="s">
        <v>8</v>
      </c>
      <c r="W22" s="6" t="s">
        <v>8</v>
      </c>
      <c r="X22" s="6" t="s">
        <v>8</v>
      </c>
      <c r="Y22" s="6" t="s">
        <v>8</v>
      </c>
      <c r="Z22" s="6" t="s">
        <v>8</v>
      </c>
      <c r="AA22" s="6" t="s">
        <v>8</v>
      </c>
      <c r="AB22" s="6" t="s">
        <v>8</v>
      </c>
      <c r="AC22" s="6" t="s">
        <v>8</v>
      </c>
      <c r="AD22" s="6" t="s">
        <v>8</v>
      </c>
      <c r="AE22" s="6" t="s">
        <v>8</v>
      </c>
    </row>
    <row r="23" spans="1:31" ht="11.45" customHeight="1" x14ac:dyDescent="0.25">
      <c r="A23" s="4" t="s">
        <v>23</v>
      </c>
      <c r="B23" s="5" t="s">
        <v>8</v>
      </c>
      <c r="C23" s="5" t="s">
        <v>8</v>
      </c>
      <c r="D23" s="5" t="s">
        <v>8</v>
      </c>
      <c r="E23" s="5" t="s">
        <v>8</v>
      </c>
      <c r="F23" s="5" t="s">
        <v>8</v>
      </c>
      <c r="G23" s="5" t="s">
        <v>8</v>
      </c>
      <c r="H23" s="5" t="s">
        <v>8</v>
      </c>
      <c r="I23" s="5" t="s">
        <v>8</v>
      </c>
      <c r="J23" s="5" t="s">
        <v>8</v>
      </c>
      <c r="K23" s="5" t="s">
        <v>8</v>
      </c>
      <c r="L23" s="5" t="s">
        <v>8</v>
      </c>
      <c r="M23" s="5" t="s">
        <v>8</v>
      </c>
      <c r="N23" s="5" t="s">
        <v>8</v>
      </c>
      <c r="O23" s="5" t="s">
        <v>8</v>
      </c>
      <c r="P23" s="5" t="s">
        <v>8</v>
      </c>
      <c r="Q23" s="5" t="s">
        <v>8</v>
      </c>
      <c r="R23" s="5" t="s">
        <v>8</v>
      </c>
      <c r="S23" s="5" t="s">
        <v>8</v>
      </c>
      <c r="T23" s="5" t="s">
        <v>8</v>
      </c>
      <c r="U23" s="5" t="s">
        <v>8</v>
      </c>
      <c r="V23" s="5" t="s">
        <v>8</v>
      </c>
      <c r="W23" s="5" t="s">
        <v>8</v>
      </c>
      <c r="X23" s="5" t="s">
        <v>8</v>
      </c>
      <c r="Y23" s="5" t="s">
        <v>8</v>
      </c>
      <c r="Z23" s="5" t="s">
        <v>8</v>
      </c>
      <c r="AA23" s="5" t="s">
        <v>8</v>
      </c>
      <c r="AB23" s="5" t="s">
        <v>8</v>
      </c>
      <c r="AC23" s="5" t="s">
        <v>8</v>
      </c>
      <c r="AD23" s="5" t="s">
        <v>8</v>
      </c>
      <c r="AE23" s="5" t="s">
        <v>8</v>
      </c>
    </row>
    <row r="24" spans="1:31" ht="11.45" customHeight="1" x14ac:dyDescent="0.25">
      <c r="A24" s="4" t="s">
        <v>24</v>
      </c>
      <c r="B24" s="8">
        <v>48.024000000000001</v>
      </c>
      <c r="C24" s="8">
        <v>49.755000000000003</v>
      </c>
      <c r="D24" s="8">
        <v>54.923000000000002</v>
      </c>
      <c r="E24" s="8">
        <v>57.183</v>
      </c>
      <c r="F24" s="8">
        <v>58.262999999999998</v>
      </c>
      <c r="G24" s="10">
        <v>62.68</v>
      </c>
      <c r="H24" s="8">
        <v>63.314</v>
      </c>
      <c r="I24" s="8">
        <v>67.909000000000006</v>
      </c>
      <c r="J24" s="8">
        <v>72.516000000000005</v>
      </c>
      <c r="K24" s="8">
        <v>78.745999999999995</v>
      </c>
      <c r="L24" s="8">
        <v>87.843000000000004</v>
      </c>
      <c r="M24" s="8">
        <v>98.978999999999999</v>
      </c>
      <c r="N24" s="8">
        <v>107.742</v>
      </c>
      <c r="O24" s="8">
        <v>105.756</v>
      </c>
      <c r="P24" s="8">
        <v>87.944999999999993</v>
      </c>
      <c r="Q24" s="8">
        <v>87.022999999999996</v>
      </c>
      <c r="R24" s="10">
        <v>92.08</v>
      </c>
      <c r="S24" s="8">
        <v>96.884</v>
      </c>
      <c r="T24" s="8">
        <v>98.268000000000001</v>
      </c>
      <c r="U24" s="8">
        <v>97.036000000000001</v>
      </c>
      <c r="V24" s="8">
        <v>97.322000000000003</v>
      </c>
      <c r="W24" s="8">
        <v>96.347999999999999</v>
      </c>
      <c r="X24" s="8">
        <v>100.914</v>
      </c>
      <c r="Y24" s="8">
        <v>104.461</v>
      </c>
      <c r="Z24" s="8">
        <v>105.369</v>
      </c>
      <c r="AA24" s="10">
        <v>100</v>
      </c>
      <c r="AB24" s="8">
        <v>108.02800000000001</v>
      </c>
      <c r="AC24" s="8">
        <v>112.072</v>
      </c>
      <c r="AD24" s="8">
        <v>107.184</v>
      </c>
      <c r="AE24" s="8">
        <v>106.214</v>
      </c>
    </row>
    <row r="25" spans="1:31" ht="11.45" customHeight="1" x14ac:dyDescent="0.25">
      <c r="A25" s="4" t="s">
        <v>25</v>
      </c>
      <c r="B25" s="5" t="s">
        <v>8</v>
      </c>
      <c r="C25" s="5" t="s">
        <v>8</v>
      </c>
      <c r="D25" s="5" t="s">
        <v>8</v>
      </c>
      <c r="E25" s="5" t="s">
        <v>8</v>
      </c>
      <c r="F25" s="5" t="s">
        <v>8</v>
      </c>
      <c r="G25" s="5" t="s">
        <v>8</v>
      </c>
      <c r="H25" s="5" t="s">
        <v>8</v>
      </c>
      <c r="I25" s="5" t="s">
        <v>8</v>
      </c>
      <c r="J25" s="5" t="s">
        <v>8</v>
      </c>
      <c r="K25" s="5" t="s">
        <v>8</v>
      </c>
      <c r="L25" s="5" t="s">
        <v>8</v>
      </c>
      <c r="M25" s="5" t="s">
        <v>8</v>
      </c>
      <c r="N25" s="5" t="s">
        <v>8</v>
      </c>
      <c r="O25" s="5" t="s">
        <v>8</v>
      </c>
      <c r="P25" s="5" t="s">
        <v>8</v>
      </c>
      <c r="Q25" s="5" t="s">
        <v>8</v>
      </c>
      <c r="R25" s="5" t="s">
        <v>8</v>
      </c>
      <c r="S25" s="5" t="s">
        <v>8</v>
      </c>
      <c r="T25" s="5" t="s">
        <v>8</v>
      </c>
      <c r="U25" s="5" t="s">
        <v>8</v>
      </c>
      <c r="V25" s="5" t="s">
        <v>8</v>
      </c>
      <c r="W25" s="5" t="s">
        <v>8</v>
      </c>
      <c r="X25" s="5" t="s">
        <v>8</v>
      </c>
      <c r="Y25" s="5" t="s">
        <v>8</v>
      </c>
      <c r="Z25" s="5" t="s">
        <v>8</v>
      </c>
      <c r="AA25" s="5" t="s">
        <v>8</v>
      </c>
      <c r="AB25" s="5" t="s">
        <v>8</v>
      </c>
      <c r="AC25" s="5" t="s">
        <v>8</v>
      </c>
      <c r="AD25" s="5" t="s">
        <v>8</v>
      </c>
      <c r="AE25" s="5" t="s">
        <v>8</v>
      </c>
    </row>
    <row r="26" spans="1:31" ht="11.45" customHeight="1" x14ac:dyDescent="0.25">
      <c r="A26" s="4" t="s">
        <v>26</v>
      </c>
      <c r="B26" s="8">
        <v>26.251000000000001</v>
      </c>
      <c r="C26" s="8">
        <v>27.137</v>
      </c>
      <c r="D26" s="8">
        <v>29.478999999999999</v>
      </c>
      <c r="E26" s="8">
        <v>33.182000000000002</v>
      </c>
      <c r="F26" s="8">
        <v>37.578000000000003</v>
      </c>
      <c r="G26" s="8">
        <v>42.939</v>
      </c>
      <c r="H26" s="8">
        <v>45.798999999999999</v>
      </c>
      <c r="I26" s="8">
        <v>46.716999999999999</v>
      </c>
      <c r="J26" s="8">
        <v>48.750999999999998</v>
      </c>
      <c r="K26" s="8">
        <v>51.923999999999999</v>
      </c>
      <c r="L26" s="8">
        <v>54.631999999999998</v>
      </c>
      <c r="M26" s="8">
        <v>61.124000000000002</v>
      </c>
      <c r="N26" s="8">
        <v>64.863</v>
      </c>
      <c r="O26" s="8">
        <v>65.185000000000002</v>
      </c>
      <c r="P26" s="8">
        <v>61.685000000000002</v>
      </c>
      <c r="Q26" s="8">
        <v>67.954999999999998</v>
      </c>
      <c r="R26" s="8">
        <v>69.644000000000005</v>
      </c>
      <c r="S26" s="8">
        <v>71.069000000000003</v>
      </c>
      <c r="T26" s="8">
        <v>75.381</v>
      </c>
      <c r="U26" s="10">
        <v>81.22</v>
      </c>
      <c r="V26" s="8">
        <v>87.091999999999999</v>
      </c>
      <c r="W26" s="8">
        <v>89.521000000000001</v>
      </c>
      <c r="X26" s="8">
        <v>90.790999999999997</v>
      </c>
      <c r="Y26" s="8">
        <v>93.951999999999998</v>
      </c>
      <c r="Z26" s="8">
        <v>98.003</v>
      </c>
      <c r="AA26" s="10">
        <v>100</v>
      </c>
      <c r="AB26" s="8">
        <v>110.21599999999999</v>
      </c>
      <c r="AC26" s="8">
        <v>108.52500000000001</v>
      </c>
      <c r="AD26" s="10">
        <v>108.68</v>
      </c>
      <c r="AE26" s="8">
        <v>100.098</v>
      </c>
    </row>
    <row r="27" spans="1:31" ht="11.45" customHeight="1" x14ac:dyDescent="0.25">
      <c r="A27" s="4" t="s">
        <v>27</v>
      </c>
      <c r="B27" s="7">
        <v>40.902999999999999</v>
      </c>
      <c r="C27" s="9">
        <v>42</v>
      </c>
      <c r="D27" s="7">
        <v>44.494</v>
      </c>
      <c r="E27" s="7">
        <v>47.674999999999997</v>
      </c>
      <c r="F27" s="7">
        <v>50.088000000000001</v>
      </c>
      <c r="G27" s="7">
        <v>54.064999999999998</v>
      </c>
      <c r="H27" s="7">
        <v>58.488999999999997</v>
      </c>
      <c r="I27" s="7">
        <v>62.957999999999998</v>
      </c>
      <c r="J27" s="7">
        <v>66.254000000000005</v>
      </c>
      <c r="K27" s="7">
        <v>70.457999999999998</v>
      </c>
      <c r="L27" s="7">
        <v>74.492999999999995</v>
      </c>
      <c r="M27" s="7">
        <v>77.991</v>
      </c>
      <c r="N27" s="7">
        <v>78.117000000000004</v>
      </c>
      <c r="O27" s="7">
        <v>80.373999999999995</v>
      </c>
      <c r="P27" s="9">
        <v>73.12</v>
      </c>
      <c r="Q27" s="7">
        <v>74.822000000000003</v>
      </c>
      <c r="R27" s="7">
        <v>76.424000000000007</v>
      </c>
      <c r="S27" s="7">
        <v>73.745999999999995</v>
      </c>
      <c r="T27" s="7">
        <v>76.741</v>
      </c>
      <c r="U27" s="9">
        <v>81.62</v>
      </c>
      <c r="V27" s="9">
        <v>85.42</v>
      </c>
      <c r="W27" s="7">
        <v>87.594999999999999</v>
      </c>
      <c r="X27" s="7">
        <v>91.757000000000005</v>
      </c>
      <c r="Y27" s="9">
        <v>97.62</v>
      </c>
      <c r="Z27" s="7">
        <v>103.41800000000001</v>
      </c>
      <c r="AA27" s="9">
        <v>100</v>
      </c>
      <c r="AB27" s="7">
        <v>108.078</v>
      </c>
      <c r="AC27" s="7">
        <v>113.164</v>
      </c>
      <c r="AD27" s="7">
        <v>109.492</v>
      </c>
      <c r="AE27" s="7">
        <v>108.482</v>
      </c>
    </row>
    <row r="28" spans="1:31" ht="11.45" customHeight="1" x14ac:dyDescent="0.25">
      <c r="A28" s="4" t="s">
        <v>28</v>
      </c>
      <c r="B28" s="6" t="s">
        <v>8</v>
      </c>
      <c r="C28" s="6" t="s">
        <v>8</v>
      </c>
      <c r="D28" s="6" t="s">
        <v>8</v>
      </c>
      <c r="E28" s="6" t="s">
        <v>8</v>
      </c>
      <c r="F28" s="6" t="s">
        <v>8</v>
      </c>
      <c r="G28" s="6" t="s">
        <v>8</v>
      </c>
      <c r="H28" s="6" t="s">
        <v>8</v>
      </c>
      <c r="I28" s="6" t="s">
        <v>8</v>
      </c>
      <c r="J28" s="6" t="s">
        <v>8</v>
      </c>
      <c r="K28" s="6" t="s">
        <v>8</v>
      </c>
      <c r="L28" s="6" t="s">
        <v>8</v>
      </c>
      <c r="M28" s="6" t="s">
        <v>8</v>
      </c>
      <c r="N28" s="6" t="s">
        <v>8</v>
      </c>
      <c r="O28" s="6" t="s">
        <v>8</v>
      </c>
      <c r="P28" s="6" t="s">
        <v>8</v>
      </c>
      <c r="Q28" s="6" t="s">
        <v>8</v>
      </c>
      <c r="R28" s="6" t="s">
        <v>8</v>
      </c>
      <c r="S28" s="6" t="s">
        <v>8</v>
      </c>
      <c r="T28" s="6" t="s">
        <v>8</v>
      </c>
      <c r="U28" s="6" t="s">
        <v>8</v>
      </c>
      <c r="V28" s="6" t="s">
        <v>8</v>
      </c>
      <c r="W28" s="6" t="s">
        <v>8</v>
      </c>
      <c r="X28" s="6" t="s">
        <v>8</v>
      </c>
      <c r="Y28" s="6" t="s">
        <v>8</v>
      </c>
      <c r="Z28" s="6" t="s">
        <v>8</v>
      </c>
      <c r="AA28" s="6" t="s">
        <v>8</v>
      </c>
      <c r="AB28" s="6" t="s">
        <v>8</v>
      </c>
      <c r="AC28" s="6" t="s">
        <v>8</v>
      </c>
      <c r="AD28" s="6" t="s">
        <v>8</v>
      </c>
      <c r="AE28" s="6" t="s">
        <v>8</v>
      </c>
    </row>
    <row r="29" spans="1:31" ht="11.45" customHeight="1" x14ac:dyDescent="0.25">
      <c r="A29" s="4" t="s">
        <v>29</v>
      </c>
      <c r="B29" s="7">
        <v>57.093000000000004</v>
      </c>
      <c r="C29" s="7">
        <v>59.707000000000001</v>
      </c>
      <c r="D29" s="7">
        <v>63.021000000000001</v>
      </c>
      <c r="E29" s="7">
        <v>66.584000000000003</v>
      </c>
      <c r="F29" s="9">
        <v>70.13</v>
      </c>
      <c r="G29" s="7">
        <v>73.498000000000005</v>
      </c>
      <c r="H29" s="7">
        <v>75.150999999999996</v>
      </c>
      <c r="I29" s="7">
        <v>75.025999999999996</v>
      </c>
      <c r="J29" s="7">
        <v>74.807000000000002</v>
      </c>
      <c r="K29" s="7">
        <v>76.331999999999994</v>
      </c>
      <c r="L29" s="7">
        <v>78.204999999999998</v>
      </c>
      <c r="M29" s="7">
        <v>80.960999999999999</v>
      </c>
      <c r="N29" s="7">
        <v>84.222999999999999</v>
      </c>
      <c r="O29" s="9">
        <v>85.96</v>
      </c>
      <c r="P29" s="7">
        <v>82.897000000000006</v>
      </c>
      <c r="Q29" s="7">
        <v>83.552999999999997</v>
      </c>
      <c r="R29" s="7">
        <v>86.138999999999996</v>
      </c>
      <c r="S29" s="9">
        <v>85.9</v>
      </c>
      <c r="T29" s="7">
        <v>86.244</v>
      </c>
      <c r="U29" s="7">
        <v>88.299000000000007</v>
      </c>
      <c r="V29" s="7">
        <v>91.697999999999993</v>
      </c>
      <c r="W29" s="9">
        <v>94.41</v>
      </c>
      <c r="X29" s="7">
        <v>97.725999999999999</v>
      </c>
      <c r="Y29" s="9">
        <v>101.75</v>
      </c>
      <c r="Z29" s="7">
        <v>103.815</v>
      </c>
      <c r="AA29" s="9">
        <v>100</v>
      </c>
      <c r="AB29" s="7">
        <v>105.221</v>
      </c>
      <c r="AC29" s="9">
        <v>110.28</v>
      </c>
      <c r="AD29" s="9">
        <v>110.13</v>
      </c>
      <c r="AE29" s="7">
        <v>110.89400000000001</v>
      </c>
    </row>
    <row r="30" spans="1:31" ht="11.45" customHeight="1" x14ac:dyDescent="0.25">
      <c r="A30" s="4" t="s">
        <v>30</v>
      </c>
      <c r="B30" s="8">
        <v>58.881</v>
      </c>
      <c r="C30" s="8">
        <v>60.459000000000003</v>
      </c>
      <c r="D30" s="8">
        <v>62.457000000000001</v>
      </c>
      <c r="E30" s="8">
        <v>64.927000000000007</v>
      </c>
      <c r="F30" s="8">
        <v>67.465999999999994</v>
      </c>
      <c r="G30" s="8">
        <v>70.691999999999993</v>
      </c>
      <c r="H30" s="8">
        <v>72.783000000000001</v>
      </c>
      <c r="I30" s="10">
        <v>74.37</v>
      </c>
      <c r="J30" s="8">
        <v>75.968999999999994</v>
      </c>
      <c r="K30" s="8">
        <v>78.909000000000006</v>
      </c>
      <c r="L30" s="8">
        <v>82.177000000000007</v>
      </c>
      <c r="M30" s="8">
        <v>86.361999999999995</v>
      </c>
      <c r="N30" s="8">
        <v>89.734999999999999</v>
      </c>
      <c r="O30" s="8">
        <v>92.165000000000006</v>
      </c>
      <c r="P30" s="8">
        <v>88.126000000000005</v>
      </c>
      <c r="Q30" s="10">
        <v>90.19</v>
      </c>
      <c r="R30" s="8">
        <v>93.283000000000001</v>
      </c>
      <c r="S30" s="8">
        <v>94.475999999999999</v>
      </c>
      <c r="T30" s="8">
        <v>94.793000000000006</v>
      </c>
      <c r="U30" s="10">
        <v>94.93</v>
      </c>
      <c r="V30" s="8">
        <v>96.352000000000004</v>
      </c>
      <c r="W30" s="10">
        <v>97.64</v>
      </c>
      <c r="X30" s="10">
        <v>100.81</v>
      </c>
      <c r="Y30" s="8">
        <v>104.27200000000001</v>
      </c>
      <c r="Z30" s="8">
        <v>106.36199999999999</v>
      </c>
      <c r="AA30" s="10">
        <v>100</v>
      </c>
      <c r="AB30" s="8">
        <v>106.458</v>
      </c>
      <c r="AC30" s="8">
        <v>112.619</v>
      </c>
      <c r="AD30" s="8">
        <v>110.48099999999999</v>
      </c>
      <c r="AE30" s="10">
        <v>108.46</v>
      </c>
    </row>
    <row r="31" spans="1:31" ht="11.45" customHeight="1" x14ac:dyDescent="0.25">
      <c r="A31" s="4" t="s">
        <v>31</v>
      </c>
      <c r="B31" s="5" t="s">
        <v>8</v>
      </c>
      <c r="C31" s="5" t="s">
        <v>8</v>
      </c>
      <c r="D31" s="5" t="s">
        <v>8</v>
      </c>
      <c r="E31" s="5" t="s">
        <v>8</v>
      </c>
      <c r="F31" s="5" t="s">
        <v>8</v>
      </c>
      <c r="G31" s="5" t="s">
        <v>8</v>
      </c>
      <c r="H31" s="5" t="s">
        <v>8</v>
      </c>
      <c r="I31" s="5" t="s">
        <v>8</v>
      </c>
      <c r="J31" s="5" t="s">
        <v>8</v>
      </c>
      <c r="K31" s="5" t="s">
        <v>8</v>
      </c>
      <c r="L31" s="5" t="s">
        <v>8</v>
      </c>
      <c r="M31" s="5" t="s">
        <v>8</v>
      </c>
      <c r="N31" s="5" t="s">
        <v>8</v>
      </c>
      <c r="O31" s="5" t="s">
        <v>8</v>
      </c>
      <c r="P31" s="5" t="s">
        <v>8</v>
      </c>
      <c r="Q31" s="5" t="s">
        <v>8</v>
      </c>
      <c r="R31" s="5" t="s">
        <v>8</v>
      </c>
      <c r="S31" s="5" t="s">
        <v>8</v>
      </c>
      <c r="T31" s="5" t="s">
        <v>8</v>
      </c>
      <c r="U31" s="5" t="s">
        <v>8</v>
      </c>
      <c r="V31" s="5" t="s">
        <v>8</v>
      </c>
      <c r="W31" s="5" t="s">
        <v>8</v>
      </c>
      <c r="X31" s="5" t="s">
        <v>8</v>
      </c>
      <c r="Y31" s="5" t="s">
        <v>8</v>
      </c>
      <c r="Z31" s="5" t="s">
        <v>8</v>
      </c>
      <c r="AA31" s="5" t="s">
        <v>8</v>
      </c>
      <c r="AB31" s="5" t="s">
        <v>8</v>
      </c>
      <c r="AC31" s="5" t="s">
        <v>8</v>
      </c>
      <c r="AD31" s="5" t="s">
        <v>8</v>
      </c>
      <c r="AE31" s="5" t="s">
        <v>8</v>
      </c>
    </row>
    <row r="32" spans="1:31" ht="11.45" customHeight="1" x14ac:dyDescent="0.25">
      <c r="A32" s="4" t="s">
        <v>32</v>
      </c>
      <c r="B32" s="6" t="s">
        <v>8</v>
      </c>
      <c r="C32" s="6" t="s">
        <v>8</v>
      </c>
      <c r="D32" s="6" t="s">
        <v>8</v>
      </c>
      <c r="E32" s="6" t="s">
        <v>8</v>
      </c>
      <c r="F32" s="6" t="s">
        <v>8</v>
      </c>
      <c r="G32" s="6" t="s">
        <v>8</v>
      </c>
      <c r="H32" s="6" t="s">
        <v>8</v>
      </c>
      <c r="I32" s="6" t="s">
        <v>8</v>
      </c>
      <c r="J32" s="6" t="s">
        <v>8</v>
      </c>
      <c r="K32" s="6" t="s">
        <v>8</v>
      </c>
      <c r="L32" s="6" t="s">
        <v>8</v>
      </c>
      <c r="M32" s="6" t="s">
        <v>8</v>
      </c>
      <c r="N32" s="6" t="s">
        <v>8</v>
      </c>
      <c r="O32" s="6" t="s">
        <v>8</v>
      </c>
      <c r="P32" s="6" t="s">
        <v>8</v>
      </c>
      <c r="Q32" s="6" t="s">
        <v>8</v>
      </c>
      <c r="R32" s="6" t="s">
        <v>8</v>
      </c>
      <c r="S32" s="6" t="s">
        <v>8</v>
      </c>
      <c r="T32" s="6" t="s">
        <v>8</v>
      </c>
      <c r="U32" s="6" t="s">
        <v>8</v>
      </c>
      <c r="V32" s="6" t="s">
        <v>8</v>
      </c>
      <c r="W32" s="6" t="s">
        <v>8</v>
      </c>
      <c r="X32" s="6" t="s">
        <v>8</v>
      </c>
      <c r="Y32" s="6" t="s">
        <v>8</v>
      </c>
      <c r="Z32" s="6" t="s">
        <v>8</v>
      </c>
      <c r="AA32" s="6" t="s">
        <v>8</v>
      </c>
      <c r="AB32" s="6" t="s">
        <v>8</v>
      </c>
      <c r="AC32" s="6" t="s">
        <v>8</v>
      </c>
      <c r="AD32" s="6" t="s">
        <v>8</v>
      </c>
      <c r="AE32" s="6" t="s">
        <v>8</v>
      </c>
    </row>
    <row r="33" spans="1:31" ht="11.45" customHeight="1" x14ac:dyDescent="0.25">
      <c r="A33" s="4" t="s">
        <v>33</v>
      </c>
      <c r="B33" s="7">
        <v>41.128</v>
      </c>
      <c r="C33" s="7">
        <v>43.526000000000003</v>
      </c>
      <c r="D33" s="7">
        <v>41.369</v>
      </c>
      <c r="E33" s="7">
        <v>39.533000000000001</v>
      </c>
      <c r="F33" s="9">
        <v>40.89</v>
      </c>
      <c r="G33" s="7">
        <v>42.472000000000001</v>
      </c>
      <c r="H33" s="7">
        <v>45.898000000000003</v>
      </c>
      <c r="I33" s="7">
        <v>48.363</v>
      </c>
      <c r="J33" s="7">
        <v>51.201000000000001</v>
      </c>
      <c r="K33" s="7">
        <v>56.424999999999997</v>
      </c>
      <c r="L33" s="7">
        <v>58.954999999999998</v>
      </c>
      <c r="M33" s="7">
        <v>64.519000000000005</v>
      </c>
      <c r="N33" s="9">
        <v>68.5</v>
      </c>
      <c r="O33" s="7">
        <v>75.424000000000007</v>
      </c>
      <c r="P33" s="7">
        <v>71.722999999999999</v>
      </c>
      <c r="Q33" s="7">
        <v>72.896000000000001</v>
      </c>
      <c r="R33" s="7">
        <v>77.046999999999997</v>
      </c>
      <c r="S33" s="7">
        <v>77.938999999999993</v>
      </c>
      <c r="T33" s="7">
        <v>79.275999999999996</v>
      </c>
      <c r="U33" s="7">
        <v>82.760999999999996</v>
      </c>
      <c r="V33" s="7">
        <v>85.171999999999997</v>
      </c>
      <c r="W33" s="7">
        <v>87.903000000000006</v>
      </c>
      <c r="X33" s="7">
        <v>94.221000000000004</v>
      </c>
      <c r="Y33" s="7">
        <v>99.435000000000002</v>
      </c>
      <c r="Z33" s="7">
        <v>104.20399999999999</v>
      </c>
      <c r="AA33" s="9">
        <v>100</v>
      </c>
      <c r="AB33" s="7">
        <v>105.93300000000001</v>
      </c>
      <c r="AC33" s="7">
        <v>112.723</v>
      </c>
      <c r="AD33" s="7">
        <v>112.652</v>
      </c>
      <c r="AE33" s="7">
        <v>112.557</v>
      </c>
    </row>
    <row r="34" spans="1:31" ht="11.45" customHeight="1" x14ac:dyDescent="0.25">
      <c r="A34" s="4" t="s">
        <v>34</v>
      </c>
      <c r="B34" s="6" t="s">
        <v>8</v>
      </c>
      <c r="C34" s="6" t="s">
        <v>8</v>
      </c>
      <c r="D34" s="6" t="s">
        <v>8</v>
      </c>
      <c r="E34" s="6" t="s">
        <v>8</v>
      </c>
      <c r="F34" s="6" t="s">
        <v>8</v>
      </c>
      <c r="G34" s="6" t="s">
        <v>8</v>
      </c>
      <c r="H34" s="6" t="s">
        <v>8</v>
      </c>
      <c r="I34" s="6" t="s">
        <v>8</v>
      </c>
      <c r="J34" s="6" t="s">
        <v>8</v>
      </c>
      <c r="K34" s="6" t="s">
        <v>8</v>
      </c>
      <c r="L34" s="6" t="s">
        <v>8</v>
      </c>
      <c r="M34" s="6" t="s">
        <v>8</v>
      </c>
      <c r="N34" s="6" t="s">
        <v>8</v>
      </c>
      <c r="O34" s="6" t="s">
        <v>8</v>
      </c>
      <c r="P34" s="6" t="s">
        <v>8</v>
      </c>
      <c r="Q34" s="6" t="s">
        <v>8</v>
      </c>
      <c r="R34" s="6" t="s">
        <v>8</v>
      </c>
      <c r="S34" s="6" t="s">
        <v>8</v>
      </c>
      <c r="T34" s="6" t="s">
        <v>8</v>
      </c>
      <c r="U34" s="6" t="s">
        <v>8</v>
      </c>
      <c r="V34" s="6" t="s">
        <v>8</v>
      </c>
      <c r="W34" s="6" t="s">
        <v>8</v>
      </c>
      <c r="X34" s="6" t="s">
        <v>8</v>
      </c>
      <c r="Y34" s="6" t="s">
        <v>8</v>
      </c>
      <c r="Z34" s="6" t="s">
        <v>8</v>
      </c>
      <c r="AA34" s="6" t="s">
        <v>8</v>
      </c>
      <c r="AB34" s="6" t="s">
        <v>8</v>
      </c>
      <c r="AC34" s="6" t="s">
        <v>8</v>
      </c>
      <c r="AD34" s="6" t="s">
        <v>8</v>
      </c>
      <c r="AE34" s="6" t="s">
        <v>8</v>
      </c>
    </row>
    <row r="35" spans="1:31" ht="11.45" customHeight="1" x14ac:dyDescent="0.25">
      <c r="A35" s="4" t="s">
        <v>35</v>
      </c>
      <c r="B35" s="5" t="s">
        <v>8</v>
      </c>
      <c r="C35" s="5" t="s">
        <v>8</v>
      </c>
      <c r="D35" s="5" t="s">
        <v>8</v>
      </c>
      <c r="E35" s="5" t="s">
        <v>8</v>
      </c>
      <c r="F35" s="5" t="s">
        <v>8</v>
      </c>
      <c r="G35" s="5" t="s">
        <v>8</v>
      </c>
      <c r="H35" s="5" t="s">
        <v>8</v>
      </c>
      <c r="I35" s="5" t="s">
        <v>8</v>
      </c>
      <c r="J35" s="5" t="s">
        <v>8</v>
      </c>
      <c r="K35" s="5" t="s">
        <v>8</v>
      </c>
      <c r="L35" s="5" t="s">
        <v>8</v>
      </c>
      <c r="M35" s="5" t="s">
        <v>8</v>
      </c>
      <c r="N35" s="5" t="s">
        <v>8</v>
      </c>
      <c r="O35" s="5" t="s">
        <v>8</v>
      </c>
      <c r="P35" s="5" t="s">
        <v>8</v>
      </c>
      <c r="Q35" s="5" t="s">
        <v>8</v>
      </c>
      <c r="R35" s="5" t="s">
        <v>8</v>
      </c>
      <c r="S35" s="5" t="s">
        <v>8</v>
      </c>
      <c r="T35" s="5" t="s">
        <v>8</v>
      </c>
      <c r="U35" s="5" t="s">
        <v>8</v>
      </c>
      <c r="V35" s="5" t="s">
        <v>8</v>
      </c>
      <c r="W35" s="5" t="s">
        <v>8</v>
      </c>
      <c r="X35" s="5" t="s">
        <v>8</v>
      </c>
      <c r="Y35" s="5" t="s">
        <v>8</v>
      </c>
      <c r="Z35" s="5" t="s">
        <v>8</v>
      </c>
      <c r="AA35" s="5" t="s">
        <v>8</v>
      </c>
      <c r="AB35" s="5" t="s">
        <v>8</v>
      </c>
      <c r="AC35" s="5" t="s">
        <v>8</v>
      </c>
      <c r="AD35" s="5" t="s">
        <v>8</v>
      </c>
      <c r="AE35" s="5" t="s">
        <v>8</v>
      </c>
    </row>
    <row r="36" spans="1:31" ht="11.45" customHeight="1" x14ac:dyDescent="0.25">
      <c r="A36" s="4" t="s">
        <v>36</v>
      </c>
      <c r="B36" s="10">
        <v>59.12</v>
      </c>
      <c r="C36" s="8">
        <v>61.448</v>
      </c>
      <c r="D36" s="8">
        <v>65.685000000000002</v>
      </c>
      <c r="E36" s="8">
        <v>69.885000000000005</v>
      </c>
      <c r="F36" s="8">
        <v>73.679000000000002</v>
      </c>
      <c r="G36" s="8">
        <v>79.016000000000005</v>
      </c>
      <c r="H36" s="8">
        <v>79.962999999999994</v>
      </c>
      <c r="I36" s="8">
        <v>81.394000000000005</v>
      </c>
      <c r="J36" s="8">
        <v>82.816000000000003</v>
      </c>
      <c r="K36" s="8">
        <v>86.436000000000007</v>
      </c>
      <c r="L36" s="8">
        <v>89.498999999999995</v>
      </c>
      <c r="M36" s="10">
        <v>93.97</v>
      </c>
      <c r="N36" s="8">
        <v>98.685000000000002</v>
      </c>
      <c r="O36" s="8">
        <v>100.157</v>
      </c>
      <c r="P36" s="8">
        <v>90.528000000000006</v>
      </c>
      <c r="Q36" s="8">
        <v>92.554000000000002</v>
      </c>
      <c r="R36" s="8">
        <v>95.367000000000004</v>
      </c>
      <c r="S36" s="10">
        <v>94.5</v>
      </c>
      <c r="T36" s="8">
        <v>93.155000000000001</v>
      </c>
      <c r="U36" s="8">
        <v>92.988</v>
      </c>
      <c r="V36" s="8">
        <v>92.475999999999999</v>
      </c>
      <c r="W36" s="8">
        <v>95.292000000000002</v>
      </c>
      <c r="X36" s="10">
        <v>98.6</v>
      </c>
      <c r="Y36" s="8">
        <v>100.542</v>
      </c>
      <c r="Z36" s="8">
        <v>102.877</v>
      </c>
      <c r="AA36" s="10">
        <v>100</v>
      </c>
      <c r="AB36" s="8">
        <v>103.166</v>
      </c>
      <c r="AC36" s="8">
        <v>105.268</v>
      </c>
      <c r="AD36" s="8">
        <v>103.351</v>
      </c>
      <c r="AE36" s="8">
        <v>102.767</v>
      </c>
    </row>
    <row r="37" spans="1:31" ht="11.45" customHeight="1" x14ac:dyDescent="0.25">
      <c r="A37" s="4" t="s">
        <v>37</v>
      </c>
      <c r="B37" s="7">
        <v>58.334000000000003</v>
      </c>
      <c r="C37" s="7">
        <v>59.226999999999997</v>
      </c>
      <c r="D37" s="7">
        <v>61.503</v>
      </c>
      <c r="E37" s="7">
        <v>64.405000000000001</v>
      </c>
      <c r="F37" s="7">
        <v>67.061000000000007</v>
      </c>
      <c r="G37" s="7">
        <v>70.840999999999994</v>
      </c>
      <c r="H37" s="7">
        <v>71.697000000000003</v>
      </c>
      <c r="I37" s="7">
        <v>72.126999999999995</v>
      </c>
      <c r="J37" s="7">
        <v>72.867000000000004</v>
      </c>
      <c r="K37" s="7">
        <v>75.742999999999995</v>
      </c>
      <c r="L37" s="9">
        <v>78.239999999999995</v>
      </c>
      <c r="M37" s="7">
        <v>82.058999999999997</v>
      </c>
      <c r="N37" s="7">
        <v>85.442999999999998</v>
      </c>
      <c r="O37" s="7">
        <v>85.248999999999995</v>
      </c>
      <c r="P37" s="7">
        <v>79.709000000000003</v>
      </c>
      <c r="Q37" s="9">
        <v>83.53</v>
      </c>
      <c r="R37" s="7">
        <v>86.706000000000003</v>
      </c>
      <c r="S37" s="7">
        <v>86.233999999999995</v>
      </c>
      <c r="T37" s="9">
        <v>86.49</v>
      </c>
      <c r="U37" s="7">
        <v>88.436000000000007</v>
      </c>
      <c r="V37" s="7">
        <v>92.183000000000007</v>
      </c>
      <c r="W37" s="7">
        <v>94.923000000000002</v>
      </c>
      <c r="X37" s="7">
        <v>97.566999999999993</v>
      </c>
      <c r="Y37" s="7">
        <v>100.10599999999999</v>
      </c>
      <c r="Z37" s="9">
        <v>102.53</v>
      </c>
      <c r="AA37" s="9">
        <v>100</v>
      </c>
      <c r="AB37" s="7">
        <v>104.59399999999999</v>
      </c>
      <c r="AC37" s="7">
        <v>107.895</v>
      </c>
      <c r="AD37" s="7">
        <v>109.245</v>
      </c>
      <c r="AE37" s="5" t="s">
        <v>8</v>
      </c>
    </row>
    <row r="38" spans="1:31" ht="11.45" customHeight="1" x14ac:dyDescent="0.25">
      <c r="A38" s="4" t="s">
        <v>38</v>
      </c>
      <c r="B38" s="8">
        <v>48.811</v>
      </c>
      <c r="C38" s="8">
        <v>51.957000000000001</v>
      </c>
      <c r="D38" s="8">
        <v>54.353000000000002</v>
      </c>
      <c r="E38" s="8">
        <v>58.411999999999999</v>
      </c>
      <c r="F38" s="8">
        <v>61.232999999999997</v>
      </c>
      <c r="G38" s="8">
        <v>64.498999999999995</v>
      </c>
      <c r="H38" s="8">
        <v>66.929000000000002</v>
      </c>
      <c r="I38" s="8">
        <v>66.510999999999996</v>
      </c>
      <c r="J38" s="8">
        <v>68.387</v>
      </c>
      <c r="K38" s="8">
        <v>73.168000000000006</v>
      </c>
      <c r="L38" s="8">
        <v>76.546000000000006</v>
      </c>
      <c r="M38" s="8">
        <v>79.018000000000001</v>
      </c>
      <c r="N38" s="8">
        <v>85.105000000000004</v>
      </c>
      <c r="O38" s="8">
        <v>86.606999999999999</v>
      </c>
      <c r="P38" s="10">
        <v>80.58</v>
      </c>
      <c r="Q38" s="10">
        <v>78.53</v>
      </c>
      <c r="R38" s="8">
        <v>80.501000000000005</v>
      </c>
      <c r="S38" s="8">
        <v>82.256</v>
      </c>
      <c r="T38" s="8">
        <v>86.421000000000006</v>
      </c>
      <c r="U38" s="8">
        <v>88.245999999999995</v>
      </c>
      <c r="V38" s="8">
        <v>92.617999999999995</v>
      </c>
      <c r="W38" s="8">
        <v>98.721000000000004</v>
      </c>
      <c r="X38" s="8">
        <v>103.467</v>
      </c>
      <c r="Y38" s="8">
        <v>108.72499999999999</v>
      </c>
      <c r="Z38" s="8">
        <v>109.907</v>
      </c>
      <c r="AA38" s="10">
        <v>100</v>
      </c>
      <c r="AB38" s="10">
        <v>105.84</v>
      </c>
      <c r="AC38" s="8">
        <v>117.175</v>
      </c>
      <c r="AD38" s="10">
        <v>122.39</v>
      </c>
      <c r="AE38" s="6" t="s">
        <v>8</v>
      </c>
    </row>
    <row r="39" spans="1:31" ht="11.45" customHeight="1" x14ac:dyDescent="0.25">
      <c r="A39" s="4" t="s">
        <v>39</v>
      </c>
      <c r="B39" s="5" t="s">
        <v>8</v>
      </c>
      <c r="C39" s="5" t="s">
        <v>8</v>
      </c>
      <c r="D39" s="5" t="s">
        <v>8</v>
      </c>
      <c r="E39" s="5" t="s">
        <v>8</v>
      </c>
      <c r="F39" s="5" t="s">
        <v>8</v>
      </c>
      <c r="G39" s="5" t="s">
        <v>8</v>
      </c>
      <c r="H39" s="5" t="s">
        <v>8</v>
      </c>
      <c r="I39" s="5" t="s">
        <v>8</v>
      </c>
      <c r="J39" s="5" t="s">
        <v>8</v>
      </c>
      <c r="K39" s="5" t="s">
        <v>8</v>
      </c>
      <c r="L39" s="5" t="s">
        <v>8</v>
      </c>
      <c r="M39" s="5" t="s">
        <v>8</v>
      </c>
      <c r="N39" s="5" t="s">
        <v>8</v>
      </c>
      <c r="O39" s="5" t="s">
        <v>8</v>
      </c>
      <c r="P39" s="5" t="s">
        <v>8</v>
      </c>
      <c r="Q39" s="5" t="s">
        <v>8</v>
      </c>
      <c r="R39" s="5" t="s">
        <v>8</v>
      </c>
      <c r="S39" s="5" t="s">
        <v>8</v>
      </c>
      <c r="T39" s="5" t="s">
        <v>8</v>
      </c>
      <c r="U39" s="5" t="s">
        <v>8</v>
      </c>
      <c r="V39" s="5" t="s">
        <v>8</v>
      </c>
      <c r="W39" s="5" t="s">
        <v>8</v>
      </c>
      <c r="X39" s="5" t="s">
        <v>8</v>
      </c>
      <c r="Y39" s="5" t="s">
        <v>8</v>
      </c>
      <c r="Z39" s="5" t="s">
        <v>8</v>
      </c>
      <c r="AA39" s="5" t="s">
        <v>8</v>
      </c>
      <c r="AB39" s="5" t="s">
        <v>8</v>
      </c>
      <c r="AC39" s="5" t="s">
        <v>8</v>
      </c>
      <c r="AD39" s="5" t="s">
        <v>8</v>
      </c>
      <c r="AE39" s="5" t="s">
        <v>8</v>
      </c>
    </row>
    <row r="40" spans="1:31" ht="11.45" customHeight="1" x14ac:dyDescent="0.25">
      <c r="A40" s="4" t="s">
        <v>40</v>
      </c>
      <c r="B40" s="6" t="s">
        <v>8</v>
      </c>
      <c r="C40" s="6" t="s">
        <v>8</v>
      </c>
      <c r="D40" s="6" t="s">
        <v>8</v>
      </c>
      <c r="E40" s="6" t="s">
        <v>8</v>
      </c>
      <c r="F40" s="6" t="s">
        <v>8</v>
      </c>
      <c r="G40" s="6" t="s">
        <v>8</v>
      </c>
      <c r="H40" s="6" t="s">
        <v>8</v>
      </c>
      <c r="I40" s="6" t="s">
        <v>8</v>
      </c>
      <c r="J40" s="6" t="s">
        <v>8</v>
      </c>
      <c r="K40" s="6" t="s">
        <v>8</v>
      </c>
      <c r="L40" s="6" t="s">
        <v>8</v>
      </c>
      <c r="M40" s="6" t="s">
        <v>8</v>
      </c>
      <c r="N40" s="6" t="s">
        <v>8</v>
      </c>
      <c r="O40" s="6" t="s">
        <v>8</v>
      </c>
      <c r="P40" s="6" t="s">
        <v>8</v>
      </c>
      <c r="Q40" s="6" t="s">
        <v>8</v>
      </c>
      <c r="R40" s="6" t="s">
        <v>8</v>
      </c>
      <c r="S40" s="6" t="s">
        <v>8</v>
      </c>
      <c r="T40" s="6" t="s">
        <v>8</v>
      </c>
      <c r="U40" s="6" t="s">
        <v>8</v>
      </c>
      <c r="V40" s="6" t="s">
        <v>8</v>
      </c>
      <c r="W40" s="6" t="s">
        <v>8</v>
      </c>
      <c r="X40" s="6" t="s">
        <v>8</v>
      </c>
      <c r="Y40" s="6" t="s">
        <v>8</v>
      </c>
      <c r="Z40" s="6" t="s">
        <v>8</v>
      </c>
      <c r="AA40" s="6" t="s">
        <v>8</v>
      </c>
      <c r="AB40" s="6" t="s">
        <v>8</v>
      </c>
      <c r="AC40" s="6" t="s">
        <v>8</v>
      </c>
      <c r="AD40" s="6" t="s">
        <v>8</v>
      </c>
      <c r="AE40" s="6" t="s">
        <v>8</v>
      </c>
    </row>
    <row r="41" spans="1:31" ht="11.45" customHeight="1" x14ac:dyDescent="0.25">
      <c r="A41" s="4" t="s">
        <v>41</v>
      </c>
      <c r="B41" s="5" t="s">
        <v>8</v>
      </c>
      <c r="C41" s="7">
        <v>60.905000000000001</v>
      </c>
      <c r="D41" s="7">
        <v>62.543999999999997</v>
      </c>
      <c r="E41" s="7">
        <v>64.759</v>
      </c>
      <c r="F41" s="7">
        <v>66.076999999999998</v>
      </c>
      <c r="G41" s="9">
        <v>68.650000000000006</v>
      </c>
      <c r="H41" s="7">
        <v>69.444000000000003</v>
      </c>
      <c r="I41" s="7">
        <v>70.102000000000004</v>
      </c>
      <c r="J41" s="7">
        <v>69.751000000000005</v>
      </c>
      <c r="K41" s="7">
        <v>72.436000000000007</v>
      </c>
      <c r="L41" s="7">
        <v>74.795000000000002</v>
      </c>
      <c r="M41" s="7">
        <v>78.518000000000001</v>
      </c>
      <c r="N41" s="7">
        <v>82.369</v>
      </c>
      <c r="O41" s="7">
        <v>84.953000000000003</v>
      </c>
      <c r="P41" s="7">
        <v>83.435000000000002</v>
      </c>
      <c r="Q41" s="9">
        <v>85.13</v>
      </c>
      <c r="R41" s="9">
        <v>86.25</v>
      </c>
      <c r="S41" s="7">
        <v>87.965999999999994</v>
      </c>
      <c r="T41" s="7">
        <v>89.248999999999995</v>
      </c>
      <c r="U41" s="7">
        <v>91.075000000000003</v>
      </c>
      <c r="V41" s="7">
        <v>92.427000000000007</v>
      </c>
      <c r="W41" s="9">
        <v>94.35</v>
      </c>
      <c r="X41" s="7">
        <v>97.075999999999993</v>
      </c>
      <c r="Y41" s="7">
        <v>100.827</v>
      </c>
      <c r="Z41" s="7">
        <v>103.06699999999999</v>
      </c>
      <c r="AA41" s="9">
        <v>100</v>
      </c>
      <c r="AB41" s="7">
        <v>111.42400000000001</v>
      </c>
      <c r="AC41" s="7">
        <v>117.587</v>
      </c>
      <c r="AD41" s="7">
        <v>116.842</v>
      </c>
      <c r="AE41" s="5" t="s">
        <v>8</v>
      </c>
    </row>
    <row r="42" spans="1:31" ht="11.45" customHeight="1" x14ac:dyDescent="0.25">
      <c r="A42" s="4" t="s">
        <v>42</v>
      </c>
      <c r="B42" s="6" t="s">
        <v>8</v>
      </c>
      <c r="C42" s="6" t="s">
        <v>8</v>
      </c>
      <c r="D42" s="6" t="s">
        <v>8</v>
      </c>
      <c r="E42" s="6" t="s">
        <v>8</v>
      </c>
      <c r="F42" s="6" t="s">
        <v>8</v>
      </c>
      <c r="G42" s="6" t="s">
        <v>8</v>
      </c>
      <c r="H42" s="6" t="s">
        <v>8</v>
      </c>
      <c r="I42" s="6" t="s">
        <v>8</v>
      </c>
      <c r="J42" s="6" t="s">
        <v>8</v>
      </c>
      <c r="K42" s="6" t="s">
        <v>8</v>
      </c>
      <c r="L42" s="6" t="s">
        <v>8</v>
      </c>
      <c r="M42" s="6" t="s">
        <v>8</v>
      </c>
      <c r="N42" s="6" t="s">
        <v>8</v>
      </c>
      <c r="O42" s="6" t="s">
        <v>8</v>
      </c>
      <c r="P42" s="6" t="s">
        <v>8</v>
      </c>
      <c r="Q42" s="6" t="s">
        <v>8</v>
      </c>
      <c r="R42" s="6" t="s">
        <v>8</v>
      </c>
      <c r="S42" s="6" t="s">
        <v>8</v>
      </c>
      <c r="T42" s="6" t="s">
        <v>8</v>
      </c>
      <c r="U42" s="6" t="s">
        <v>8</v>
      </c>
      <c r="V42" s="6" t="s">
        <v>8</v>
      </c>
      <c r="W42" s="6" t="s">
        <v>8</v>
      </c>
      <c r="X42" s="6" t="s">
        <v>8</v>
      </c>
      <c r="Y42" s="6" t="s">
        <v>8</v>
      </c>
      <c r="Z42" s="6" t="s">
        <v>8</v>
      </c>
      <c r="AA42" s="6" t="s">
        <v>8</v>
      </c>
      <c r="AB42" s="6" t="s">
        <v>8</v>
      </c>
      <c r="AC42" s="6" t="s">
        <v>8</v>
      </c>
      <c r="AD42" s="6" t="s">
        <v>8</v>
      </c>
      <c r="AE42" s="6" t="s">
        <v>8</v>
      </c>
    </row>
    <row r="43" spans="1:31" ht="11.45" customHeight="1" x14ac:dyDescent="0.25">
      <c r="A43" s="4" t="s">
        <v>43</v>
      </c>
      <c r="B43" s="5" t="s">
        <v>8</v>
      </c>
      <c r="C43" s="5" t="s">
        <v>8</v>
      </c>
      <c r="D43" s="5" t="s">
        <v>8</v>
      </c>
      <c r="E43" s="5" t="s">
        <v>8</v>
      </c>
      <c r="F43" s="5" t="s">
        <v>8</v>
      </c>
      <c r="G43" s="5" t="s">
        <v>8</v>
      </c>
      <c r="H43" s="5" t="s">
        <v>8</v>
      </c>
      <c r="I43" s="5" t="s">
        <v>8</v>
      </c>
      <c r="J43" s="5" t="s">
        <v>8</v>
      </c>
      <c r="K43" s="5" t="s">
        <v>8</v>
      </c>
      <c r="L43" s="5" t="s">
        <v>8</v>
      </c>
      <c r="M43" s="5" t="s">
        <v>8</v>
      </c>
      <c r="N43" s="5" t="s">
        <v>8</v>
      </c>
      <c r="O43" s="5" t="s">
        <v>8</v>
      </c>
      <c r="P43" s="5" t="s">
        <v>8</v>
      </c>
      <c r="Q43" s="5" t="s">
        <v>8</v>
      </c>
      <c r="R43" s="5" t="s">
        <v>8</v>
      </c>
      <c r="S43" s="5" t="s">
        <v>8</v>
      </c>
      <c r="T43" s="5" t="s">
        <v>8</v>
      </c>
      <c r="U43" s="5" t="s">
        <v>8</v>
      </c>
      <c r="V43" s="5" t="s">
        <v>8</v>
      </c>
      <c r="W43" s="5" t="s">
        <v>8</v>
      </c>
      <c r="X43" s="5" t="s">
        <v>8</v>
      </c>
      <c r="Y43" s="5" t="s">
        <v>8</v>
      </c>
      <c r="Z43" s="5" t="s">
        <v>8</v>
      </c>
      <c r="AA43" s="5" t="s">
        <v>8</v>
      </c>
      <c r="AB43" s="5" t="s">
        <v>8</v>
      </c>
      <c r="AC43" s="5" t="s">
        <v>8</v>
      </c>
      <c r="AD43" s="5" t="s">
        <v>8</v>
      </c>
      <c r="AE43" s="5" t="s">
        <v>8</v>
      </c>
    </row>
    <row r="44" spans="1:31" ht="11.45" customHeight="1" x14ac:dyDescent="0.25">
      <c r="A44" s="4" t="s">
        <v>44</v>
      </c>
      <c r="B44" s="6" t="s">
        <v>8</v>
      </c>
      <c r="C44" s="6" t="s">
        <v>8</v>
      </c>
      <c r="D44" s="6" t="s">
        <v>8</v>
      </c>
      <c r="E44" s="6" t="s">
        <v>8</v>
      </c>
      <c r="F44" s="6" t="s">
        <v>8</v>
      </c>
      <c r="G44" s="6" t="s">
        <v>8</v>
      </c>
      <c r="H44" s="6" t="s">
        <v>8</v>
      </c>
      <c r="I44" s="6" t="s">
        <v>8</v>
      </c>
      <c r="J44" s="6" t="s">
        <v>8</v>
      </c>
      <c r="K44" s="6" t="s">
        <v>8</v>
      </c>
      <c r="L44" s="6" t="s">
        <v>8</v>
      </c>
      <c r="M44" s="6" t="s">
        <v>8</v>
      </c>
      <c r="N44" s="6" t="s">
        <v>8</v>
      </c>
      <c r="O44" s="6" t="s">
        <v>8</v>
      </c>
      <c r="P44" s="6" t="s">
        <v>8</v>
      </c>
      <c r="Q44" s="6" t="s">
        <v>8</v>
      </c>
      <c r="R44" s="6" t="s">
        <v>8</v>
      </c>
      <c r="S44" s="6" t="s">
        <v>8</v>
      </c>
      <c r="T44" s="6" t="s">
        <v>8</v>
      </c>
      <c r="U44" s="6" t="s">
        <v>8</v>
      </c>
      <c r="V44" s="6" t="s">
        <v>8</v>
      </c>
      <c r="W44" s="6" t="s">
        <v>8</v>
      </c>
      <c r="X44" s="6" t="s">
        <v>8</v>
      </c>
      <c r="Y44" s="6" t="s">
        <v>8</v>
      </c>
      <c r="Z44" s="6" t="s">
        <v>8</v>
      </c>
      <c r="AA44" s="6" t="s">
        <v>8</v>
      </c>
      <c r="AB44" s="6" t="s">
        <v>8</v>
      </c>
      <c r="AC44" s="6" t="s">
        <v>8</v>
      </c>
      <c r="AD44" s="6" t="s">
        <v>8</v>
      </c>
      <c r="AE44" s="6" t="s">
        <v>8</v>
      </c>
    </row>
    <row r="45" spans="1:31" ht="11.45" customHeight="1" x14ac:dyDescent="0.25">
      <c r="A45" s="4" t="s">
        <v>45</v>
      </c>
      <c r="B45" s="5" t="s">
        <v>8</v>
      </c>
      <c r="C45" s="5" t="s">
        <v>8</v>
      </c>
      <c r="D45" s="5" t="s">
        <v>8</v>
      </c>
      <c r="E45" s="5" t="s">
        <v>8</v>
      </c>
      <c r="F45" s="5" t="s">
        <v>8</v>
      </c>
      <c r="G45" s="5" t="s">
        <v>8</v>
      </c>
      <c r="H45" s="5" t="s">
        <v>8</v>
      </c>
      <c r="I45" s="5" t="s">
        <v>8</v>
      </c>
      <c r="J45" s="5" t="s">
        <v>8</v>
      </c>
      <c r="K45" s="5" t="s">
        <v>8</v>
      </c>
      <c r="L45" s="5" t="s">
        <v>8</v>
      </c>
      <c r="M45" s="5" t="s">
        <v>8</v>
      </c>
      <c r="N45" s="5" t="s">
        <v>8</v>
      </c>
      <c r="O45" s="5" t="s">
        <v>8</v>
      </c>
      <c r="P45" s="5" t="s">
        <v>8</v>
      </c>
      <c r="Q45" s="5" t="s">
        <v>8</v>
      </c>
      <c r="R45" s="5" t="s">
        <v>8</v>
      </c>
      <c r="S45" s="5" t="s">
        <v>8</v>
      </c>
      <c r="T45" s="5" t="s">
        <v>8</v>
      </c>
      <c r="U45" s="5" t="s">
        <v>8</v>
      </c>
      <c r="V45" s="5" t="s">
        <v>8</v>
      </c>
      <c r="W45" s="5" t="s">
        <v>8</v>
      </c>
      <c r="X45" s="5" t="s">
        <v>8</v>
      </c>
      <c r="Y45" s="5" t="s">
        <v>8</v>
      </c>
      <c r="Z45" s="5" t="s">
        <v>8</v>
      </c>
      <c r="AA45" s="5" t="s">
        <v>8</v>
      </c>
      <c r="AB45" s="5" t="s">
        <v>8</v>
      </c>
      <c r="AC45" s="5" t="s">
        <v>8</v>
      </c>
      <c r="AD45" s="5" t="s">
        <v>8</v>
      </c>
      <c r="AE45" s="5" t="s">
        <v>8</v>
      </c>
    </row>
    <row r="46" spans="1:31" ht="11.45" customHeight="1" x14ac:dyDescent="0.25">
      <c r="A46" s="4" t="s">
        <v>46</v>
      </c>
      <c r="B46" s="6" t="s">
        <v>8</v>
      </c>
      <c r="C46" s="6" t="s">
        <v>8</v>
      </c>
      <c r="D46" s="6" t="s">
        <v>8</v>
      </c>
      <c r="E46" s="6" t="s">
        <v>8</v>
      </c>
      <c r="F46" s="6" t="s">
        <v>8</v>
      </c>
      <c r="G46" s="6" t="s">
        <v>8</v>
      </c>
      <c r="H46" s="6" t="s">
        <v>8</v>
      </c>
      <c r="I46" s="6" t="s">
        <v>8</v>
      </c>
      <c r="J46" s="6" t="s">
        <v>8</v>
      </c>
      <c r="K46" s="6" t="s">
        <v>8</v>
      </c>
      <c r="L46" s="6" t="s">
        <v>8</v>
      </c>
      <c r="M46" s="6" t="s">
        <v>8</v>
      </c>
      <c r="N46" s="6" t="s">
        <v>8</v>
      </c>
      <c r="O46" s="6" t="s">
        <v>8</v>
      </c>
      <c r="P46" s="6" t="s">
        <v>8</v>
      </c>
      <c r="Q46" s="6" t="s">
        <v>8</v>
      </c>
      <c r="R46" s="6" t="s">
        <v>8</v>
      </c>
      <c r="S46" s="6" t="s">
        <v>8</v>
      </c>
      <c r="T46" s="6" t="s">
        <v>8</v>
      </c>
      <c r="U46" s="6" t="s">
        <v>8</v>
      </c>
      <c r="V46" s="6" t="s">
        <v>8</v>
      </c>
      <c r="W46" s="6" t="s">
        <v>8</v>
      </c>
      <c r="X46" s="6" t="s">
        <v>8</v>
      </c>
      <c r="Y46" s="6" t="s">
        <v>8</v>
      </c>
      <c r="Z46" s="6" t="s">
        <v>8</v>
      </c>
      <c r="AA46" s="6" t="s">
        <v>8</v>
      </c>
      <c r="AB46" s="6" t="s">
        <v>8</v>
      </c>
      <c r="AC46" s="6" t="s">
        <v>8</v>
      </c>
      <c r="AD46" s="6" t="s">
        <v>8</v>
      </c>
      <c r="AE46" s="6" t="s">
        <v>8</v>
      </c>
    </row>
    <row r="47" spans="1:31" ht="11.45" customHeight="1" x14ac:dyDescent="0.25">
      <c r="A47" s="4" t="s">
        <v>47</v>
      </c>
      <c r="B47" s="7">
        <v>50.524000000000001</v>
      </c>
      <c r="C47" s="7">
        <v>54.482999999999997</v>
      </c>
      <c r="D47" s="9">
        <v>59.92</v>
      </c>
      <c r="E47" s="7">
        <v>63.112000000000002</v>
      </c>
      <c r="F47" s="7">
        <v>54.595999999999997</v>
      </c>
      <c r="G47" s="7">
        <v>59.658999999999999</v>
      </c>
      <c r="H47" s="7">
        <v>61.963000000000001</v>
      </c>
      <c r="I47" s="7">
        <v>67.402000000000001</v>
      </c>
      <c r="J47" s="7">
        <v>69.557000000000002</v>
      </c>
      <c r="K47" s="7">
        <v>74.572999999999993</v>
      </c>
      <c r="L47" s="7">
        <v>79.355999999999995</v>
      </c>
      <c r="M47" s="7">
        <v>82.114999999999995</v>
      </c>
      <c r="N47" s="7">
        <v>87.069000000000003</v>
      </c>
      <c r="O47" s="7">
        <v>89.281999999999996</v>
      </c>
      <c r="P47" s="9">
        <v>81.290000000000006</v>
      </c>
      <c r="Q47" s="7">
        <v>82.989000000000004</v>
      </c>
      <c r="R47" s="7">
        <v>84.284000000000006</v>
      </c>
      <c r="S47" s="7">
        <v>82.894999999999996</v>
      </c>
      <c r="T47" s="7">
        <v>85.668999999999997</v>
      </c>
      <c r="U47" s="7">
        <v>82.512</v>
      </c>
      <c r="V47" s="7">
        <v>85.543999999999997</v>
      </c>
      <c r="W47" s="7">
        <v>89.463999999999999</v>
      </c>
      <c r="X47" s="7">
        <v>91.611999999999995</v>
      </c>
      <c r="Y47" s="7">
        <v>96.293000000000006</v>
      </c>
      <c r="Z47" s="7">
        <v>101.491</v>
      </c>
      <c r="AA47" s="9">
        <v>100</v>
      </c>
      <c r="AB47" s="9">
        <v>107.9</v>
      </c>
      <c r="AC47" s="7">
        <v>108.952</v>
      </c>
      <c r="AD47" s="7">
        <v>115.164</v>
      </c>
      <c r="AE47" s="7">
        <v>119.91200000000001</v>
      </c>
    </row>
    <row r="48" spans="1:31" ht="11.45" customHeight="1" x14ac:dyDescent="0.25">
      <c r="A48" s="4" t="s">
        <v>48</v>
      </c>
      <c r="B48" s="6" t="s">
        <v>8</v>
      </c>
      <c r="C48" s="6" t="s">
        <v>8</v>
      </c>
      <c r="D48" s="6" t="s">
        <v>8</v>
      </c>
      <c r="E48" s="6" t="s">
        <v>8</v>
      </c>
      <c r="F48" s="6" t="s">
        <v>8</v>
      </c>
      <c r="G48" s="6" t="s">
        <v>8</v>
      </c>
      <c r="H48" s="6" t="s">
        <v>8</v>
      </c>
      <c r="I48" s="6" t="s">
        <v>8</v>
      </c>
      <c r="J48" s="6" t="s">
        <v>8</v>
      </c>
      <c r="K48" s="6" t="s">
        <v>8</v>
      </c>
      <c r="L48" s="6" t="s">
        <v>8</v>
      </c>
      <c r="M48" s="6" t="s">
        <v>8</v>
      </c>
      <c r="N48" s="6" t="s">
        <v>8</v>
      </c>
      <c r="O48" s="6" t="s">
        <v>8</v>
      </c>
      <c r="P48" s="6" t="s">
        <v>8</v>
      </c>
      <c r="Q48" s="6" t="s">
        <v>8</v>
      </c>
      <c r="R48" s="6" t="s">
        <v>8</v>
      </c>
      <c r="S48" s="6" t="s">
        <v>8</v>
      </c>
      <c r="T48" s="6" t="s">
        <v>8</v>
      </c>
      <c r="U48" s="6" t="s">
        <v>8</v>
      </c>
      <c r="V48" s="6" t="s">
        <v>8</v>
      </c>
      <c r="W48" s="6" t="s">
        <v>8</v>
      </c>
      <c r="X48" s="6" t="s">
        <v>8</v>
      </c>
      <c r="Y48" s="6" t="s">
        <v>8</v>
      </c>
      <c r="Z48" s="6" t="s">
        <v>8</v>
      </c>
      <c r="AA48" s="6" t="s">
        <v>8</v>
      </c>
      <c r="AB48" s="6" t="s">
        <v>8</v>
      </c>
      <c r="AC48" s="6" t="s">
        <v>8</v>
      </c>
      <c r="AD48" s="6" t="s">
        <v>8</v>
      </c>
      <c r="AE48" s="6" t="s">
        <v>8</v>
      </c>
    </row>
    <row r="49" spans="1:31" ht="11.45" customHeight="1" x14ac:dyDescent="0.25">
      <c r="A49" s="4" t="s">
        <v>49</v>
      </c>
      <c r="B49" s="5" t="s">
        <v>8</v>
      </c>
      <c r="C49" s="5" t="s">
        <v>8</v>
      </c>
      <c r="D49" s="5" t="s">
        <v>8</v>
      </c>
      <c r="E49" s="5" t="s">
        <v>8</v>
      </c>
      <c r="F49" s="5" t="s">
        <v>8</v>
      </c>
      <c r="G49" s="5" t="s">
        <v>8</v>
      </c>
      <c r="H49" s="5" t="s">
        <v>8</v>
      </c>
      <c r="I49" s="5" t="s">
        <v>8</v>
      </c>
      <c r="J49" s="5" t="s">
        <v>8</v>
      </c>
      <c r="K49" s="5" t="s">
        <v>8</v>
      </c>
      <c r="L49" s="5" t="s">
        <v>8</v>
      </c>
      <c r="M49" s="5" t="s">
        <v>8</v>
      </c>
      <c r="N49" s="5" t="s">
        <v>8</v>
      </c>
      <c r="O49" s="5" t="s">
        <v>8</v>
      </c>
      <c r="P49" s="5" t="s">
        <v>8</v>
      </c>
      <c r="Q49" s="5" t="s">
        <v>8</v>
      </c>
      <c r="R49" s="5" t="s">
        <v>8</v>
      </c>
      <c r="S49" s="5" t="s">
        <v>8</v>
      </c>
      <c r="T49" s="5" t="s">
        <v>8</v>
      </c>
      <c r="U49" s="5" t="s">
        <v>8</v>
      </c>
      <c r="V49" s="5" t="s">
        <v>8</v>
      </c>
      <c r="W49" s="5" t="s">
        <v>8</v>
      </c>
      <c r="X49" s="5" t="s">
        <v>8</v>
      </c>
      <c r="Y49" s="5" t="s">
        <v>8</v>
      </c>
      <c r="Z49" s="5" t="s">
        <v>8</v>
      </c>
      <c r="AA49" s="5" t="s">
        <v>8</v>
      </c>
      <c r="AB49" s="5" t="s">
        <v>8</v>
      </c>
      <c r="AC49" s="5" t="s">
        <v>8</v>
      </c>
      <c r="AD49" s="5" t="s">
        <v>8</v>
      </c>
      <c r="AE49" s="5" t="s">
        <v>8</v>
      </c>
    </row>
    <row r="51" spans="1:31" ht="11.45" customHeight="1" x14ac:dyDescent="0.25">
      <c r="A51" s="1" t="s">
        <v>50</v>
      </c>
    </row>
    <row r="52" spans="1:31" ht="11.45" customHeight="1" x14ac:dyDescent="0.25">
      <c r="A52" s="1" t="s">
        <v>8</v>
      </c>
    </row>
    <row r="53" spans="1:31" ht="11.45" customHeight="1" x14ac:dyDescent="0.25">
      <c r="A53" s="1" t="s">
        <v>51</v>
      </c>
    </row>
    <row r="54" spans="1:31" ht="11.45" customHeight="1" x14ac:dyDescent="0.25">
      <c r="A54" s="1" t="s">
        <v>10</v>
      </c>
    </row>
    <row r="55" spans="1:31" ht="11.45" customHeight="1" x14ac:dyDescent="0.25">
      <c r="A55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4BE06-BC33-4B9A-B48F-4D6FBB8443FE}">
  <dimension ref="A1:AE55"/>
  <sheetViews>
    <sheetView workbookViewId="0">
      <pane xSplit="1" ySplit="10" topLeftCell="H11" activePane="bottomRight" state="frozen"/>
      <selection pane="topRight"/>
      <selection pane="bottomLeft"/>
      <selection pane="bottomRight" activeCell="D54" sqref="D54"/>
    </sheetView>
  </sheetViews>
  <sheetFormatPr defaultColWidth="8.85546875" defaultRowHeight="11.45" customHeight="1" x14ac:dyDescent="0.25"/>
  <cols>
    <col min="1" max="1" width="21.85546875" style="82" customWidth="1"/>
    <col min="2" max="31" width="10" style="82" customWidth="1"/>
    <col min="32" max="16384" width="8.85546875" style="82"/>
  </cols>
  <sheetData>
    <row r="1" spans="1:31" ht="11.45" customHeight="1" x14ac:dyDescent="0.25">
      <c r="A1" s="81"/>
    </row>
    <row r="2" spans="1:31" ht="11.45" customHeight="1" x14ac:dyDescent="0.25">
      <c r="A2" s="81"/>
    </row>
    <row r="3" spans="1:31" ht="11.45" customHeight="1" x14ac:dyDescent="0.25">
      <c r="A3" s="81"/>
    </row>
    <row r="5" spans="1:31" ht="11.45" customHeight="1" x14ac:dyDescent="0.25">
      <c r="A5" s="83" t="s">
        <v>3</v>
      </c>
    </row>
    <row r="6" spans="1:31" ht="11.45" customHeight="1" x14ac:dyDescent="0.25">
      <c r="A6" s="83" t="s">
        <v>4</v>
      </c>
    </row>
    <row r="7" spans="1:31" ht="11.45" customHeight="1" x14ac:dyDescent="0.25">
      <c r="A7" s="83" t="s">
        <v>5</v>
      </c>
    </row>
    <row r="8" spans="1:31" ht="11.45" customHeight="1" x14ac:dyDescent="0.25">
      <c r="A8" s="83" t="s">
        <v>6</v>
      </c>
    </row>
    <row r="10" spans="1:31" ht="11.45" customHeight="1" x14ac:dyDescent="0.25">
      <c r="A10" s="84" t="s">
        <v>7</v>
      </c>
      <c r="B10" s="92" t="s">
        <v>100</v>
      </c>
      <c r="C10" s="92" t="s">
        <v>101</v>
      </c>
      <c r="D10" s="92" t="s">
        <v>102</v>
      </c>
      <c r="E10" s="92" t="s">
        <v>103</v>
      </c>
      <c r="F10" s="92" t="s">
        <v>104</v>
      </c>
      <c r="G10" s="92" t="s">
        <v>105</v>
      </c>
      <c r="H10" s="92" t="s">
        <v>106</v>
      </c>
      <c r="I10" s="92" t="s">
        <v>107</v>
      </c>
      <c r="J10" s="92" t="s">
        <v>108</v>
      </c>
      <c r="K10" s="92" t="s">
        <v>109</v>
      </c>
      <c r="L10" s="92" t="s">
        <v>110</v>
      </c>
      <c r="M10" s="92" t="s">
        <v>111</v>
      </c>
      <c r="N10" s="92" t="s">
        <v>112</v>
      </c>
      <c r="O10" s="92" t="s">
        <v>113</v>
      </c>
      <c r="P10" s="93" t="s">
        <v>114</v>
      </c>
      <c r="Q10" s="92" t="s">
        <v>115</v>
      </c>
      <c r="R10" s="92" t="s">
        <v>116</v>
      </c>
      <c r="S10" s="92" t="s">
        <v>117</v>
      </c>
      <c r="T10" s="92" t="s">
        <v>118</v>
      </c>
      <c r="U10" s="92" t="s">
        <v>119</v>
      </c>
      <c r="V10" s="92" t="s">
        <v>120</v>
      </c>
      <c r="W10" s="92" t="s">
        <v>121</v>
      </c>
      <c r="X10" s="92" t="s">
        <v>122</v>
      </c>
      <c r="Y10" s="92" t="s">
        <v>123</v>
      </c>
      <c r="Z10" s="92" t="s">
        <v>124</v>
      </c>
      <c r="AA10" s="92" t="s">
        <v>125</v>
      </c>
      <c r="AB10" s="92" t="s">
        <v>126</v>
      </c>
      <c r="AC10" s="92" t="s">
        <v>127</v>
      </c>
      <c r="AD10" s="92" t="s">
        <v>128</v>
      </c>
      <c r="AE10" s="92" t="s">
        <v>129</v>
      </c>
    </row>
    <row r="11" spans="1:31" ht="11.45" customHeight="1" x14ac:dyDescent="0.25">
      <c r="A11" s="85" t="s">
        <v>9</v>
      </c>
      <c r="B11" s="87">
        <v>629485.4</v>
      </c>
      <c r="C11" s="88">
        <v>637415</v>
      </c>
      <c r="D11" s="87">
        <v>672177.4</v>
      </c>
      <c r="E11" s="88">
        <v>699439</v>
      </c>
      <c r="F11" s="87">
        <v>729576.4</v>
      </c>
      <c r="G11" s="87">
        <v>744480.6</v>
      </c>
      <c r="H11" s="88">
        <v>766311</v>
      </c>
      <c r="I11" s="87">
        <v>757138.5</v>
      </c>
      <c r="J11" s="87">
        <v>760385.3</v>
      </c>
      <c r="K11" s="87">
        <v>786638.9</v>
      </c>
      <c r="L11" s="87">
        <v>802780.8</v>
      </c>
      <c r="M11" s="87">
        <v>833009.3</v>
      </c>
      <c r="N11" s="87">
        <v>864203.1</v>
      </c>
      <c r="O11" s="88">
        <v>874171</v>
      </c>
      <c r="P11" s="87">
        <v>825097.3</v>
      </c>
      <c r="Q11" s="87">
        <v>866659.5</v>
      </c>
      <c r="R11" s="87">
        <v>898688.5</v>
      </c>
      <c r="S11" s="87">
        <v>888297.3</v>
      </c>
      <c r="T11" s="87">
        <v>883909.1</v>
      </c>
      <c r="U11" s="87">
        <v>897819.4</v>
      </c>
      <c r="V11" s="87">
        <v>912467.4</v>
      </c>
      <c r="W11" s="88">
        <v>931548</v>
      </c>
      <c r="X11" s="87">
        <v>953280.7</v>
      </c>
      <c r="Y11" s="88">
        <v>974202</v>
      </c>
      <c r="Z11" s="87">
        <v>997739.6</v>
      </c>
      <c r="AA11" s="87">
        <v>940992.2</v>
      </c>
      <c r="AB11" s="87">
        <v>1037456.8</v>
      </c>
      <c r="AC11" s="87">
        <v>1060261.7</v>
      </c>
      <c r="AD11" s="87">
        <v>1040652.3</v>
      </c>
      <c r="AE11" s="87">
        <v>1044337.6</v>
      </c>
    </row>
    <row r="12" spans="1:31" ht="11.45" customHeight="1" x14ac:dyDescent="0.25">
      <c r="A12" s="85" t="s">
        <v>12</v>
      </c>
      <c r="B12" s="89" t="s">
        <v>8</v>
      </c>
      <c r="C12" s="89" t="s">
        <v>8</v>
      </c>
      <c r="D12" s="89" t="s">
        <v>8</v>
      </c>
      <c r="E12" s="89" t="s">
        <v>8</v>
      </c>
      <c r="F12" s="89" t="s">
        <v>8</v>
      </c>
      <c r="G12" s="89" t="s">
        <v>8</v>
      </c>
      <c r="H12" s="89" t="s">
        <v>8</v>
      </c>
      <c r="I12" s="89" t="s">
        <v>8</v>
      </c>
      <c r="J12" s="89" t="s">
        <v>8</v>
      </c>
      <c r="K12" s="89" t="s">
        <v>8</v>
      </c>
      <c r="L12" s="89" t="s">
        <v>8</v>
      </c>
      <c r="M12" s="89" t="s">
        <v>8</v>
      </c>
      <c r="N12" s="89" t="s">
        <v>8</v>
      </c>
      <c r="O12" s="89" t="s">
        <v>8</v>
      </c>
      <c r="P12" s="89" t="s">
        <v>8</v>
      </c>
      <c r="Q12" s="89" t="s">
        <v>8</v>
      </c>
      <c r="R12" s="89" t="s">
        <v>8</v>
      </c>
      <c r="S12" s="89" t="s">
        <v>8</v>
      </c>
      <c r="T12" s="89" t="s">
        <v>8</v>
      </c>
      <c r="U12" s="89" t="s">
        <v>8</v>
      </c>
      <c r="V12" s="89" t="s">
        <v>8</v>
      </c>
      <c r="W12" s="89" t="s">
        <v>8</v>
      </c>
      <c r="X12" s="89" t="s">
        <v>8</v>
      </c>
      <c r="Y12" s="89" t="s">
        <v>8</v>
      </c>
      <c r="Z12" s="89" t="s">
        <v>8</v>
      </c>
      <c r="AA12" s="89" t="s">
        <v>8</v>
      </c>
      <c r="AB12" s="89" t="s">
        <v>8</v>
      </c>
      <c r="AC12" s="89" t="s">
        <v>8</v>
      </c>
      <c r="AD12" s="89" t="s">
        <v>8</v>
      </c>
      <c r="AE12" s="89" t="s">
        <v>8</v>
      </c>
    </row>
    <row r="13" spans="1:31" ht="11.45" customHeight="1" x14ac:dyDescent="0.25">
      <c r="A13" s="85" t="s">
        <v>13</v>
      </c>
      <c r="B13" s="87">
        <v>230899.1</v>
      </c>
      <c r="C13" s="87">
        <v>241534.1</v>
      </c>
      <c r="D13" s="87">
        <v>250568.5</v>
      </c>
      <c r="E13" s="88">
        <v>254922</v>
      </c>
      <c r="F13" s="87">
        <v>256184.5</v>
      </c>
      <c r="G13" s="87">
        <v>268725.7</v>
      </c>
      <c r="H13" s="87">
        <v>285383.59999999998</v>
      </c>
      <c r="I13" s="87">
        <v>293283.7</v>
      </c>
      <c r="J13" s="87">
        <v>313039.90000000002</v>
      </c>
      <c r="K13" s="87">
        <v>331297.3</v>
      </c>
      <c r="L13" s="87">
        <v>346896.8</v>
      </c>
      <c r="M13" s="87">
        <v>380018.4</v>
      </c>
      <c r="N13" s="87">
        <v>409152.3</v>
      </c>
      <c r="O13" s="88">
        <v>416658</v>
      </c>
      <c r="P13" s="87">
        <v>382966.2</v>
      </c>
      <c r="Q13" s="87">
        <v>400868.8</v>
      </c>
      <c r="R13" s="87">
        <v>411701.3</v>
      </c>
      <c r="S13" s="87">
        <v>402025.6</v>
      </c>
      <c r="T13" s="87">
        <v>401489.2</v>
      </c>
      <c r="U13" s="87">
        <v>416275.20000000001</v>
      </c>
      <c r="V13" s="87">
        <v>437286.3</v>
      </c>
      <c r="W13" s="87">
        <v>448668.6</v>
      </c>
      <c r="X13" s="87">
        <v>475616.2</v>
      </c>
      <c r="Y13" s="87">
        <v>494933.1</v>
      </c>
      <c r="Z13" s="87">
        <v>503131.3</v>
      </c>
      <c r="AA13" s="87">
        <v>474024.3</v>
      </c>
      <c r="AB13" s="87">
        <v>506181.2</v>
      </c>
      <c r="AC13" s="87">
        <v>527780.6</v>
      </c>
      <c r="AD13" s="87">
        <v>529251.6</v>
      </c>
      <c r="AE13" s="87">
        <v>535319.5</v>
      </c>
    </row>
    <row r="14" spans="1:31" ht="11.45" customHeight="1" x14ac:dyDescent="0.25">
      <c r="A14" s="85" t="s">
        <v>14</v>
      </c>
      <c r="B14" s="90">
        <v>341810.4</v>
      </c>
      <c r="C14" s="90">
        <v>351781.7</v>
      </c>
      <c r="D14" s="90">
        <v>362723.5</v>
      </c>
      <c r="E14" s="90">
        <v>373187.9</v>
      </c>
      <c r="F14" s="90">
        <v>388614.8</v>
      </c>
      <c r="G14" s="90">
        <v>407720.8</v>
      </c>
      <c r="H14" s="90">
        <v>417707.4</v>
      </c>
      <c r="I14" s="90">
        <v>422546.8</v>
      </c>
      <c r="J14" s="91">
        <v>423469</v>
      </c>
      <c r="K14" s="91">
        <v>433205</v>
      </c>
      <c r="L14" s="91">
        <v>456278</v>
      </c>
      <c r="M14" s="90">
        <v>480721.6</v>
      </c>
      <c r="N14" s="90">
        <v>494895.4</v>
      </c>
      <c r="O14" s="90">
        <v>499133.5</v>
      </c>
      <c r="P14" s="91">
        <v>466915</v>
      </c>
      <c r="Q14" s="90">
        <v>467221.6</v>
      </c>
      <c r="R14" s="90">
        <v>479071.5</v>
      </c>
      <c r="S14" s="91">
        <v>482812</v>
      </c>
      <c r="T14" s="91">
        <v>483516</v>
      </c>
      <c r="U14" s="90">
        <v>493646.1</v>
      </c>
      <c r="V14" s="90">
        <v>505838.1</v>
      </c>
      <c r="W14" s="90">
        <v>524075.9</v>
      </c>
      <c r="X14" s="90">
        <v>537872.69999999995</v>
      </c>
      <c r="Y14" s="90">
        <v>547777.5</v>
      </c>
      <c r="Z14" s="90">
        <v>556177.69999999995</v>
      </c>
      <c r="AA14" s="90">
        <v>544046.5</v>
      </c>
      <c r="AB14" s="90">
        <v>578547.4</v>
      </c>
      <c r="AC14" s="90">
        <v>594467.9</v>
      </c>
      <c r="AD14" s="90">
        <v>595420.4</v>
      </c>
      <c r="AE14" s="91">
        <v>610741</v>
      </c>
    </row>
    <row r="15" spans="1:31" ht="11.45" customHeight="1" x14ac:dyDescent="0.25">
      <c r="A15" s="85" t="s">
        <v>15</v>
      </c>
      <c r="B15" s="88">
        <v>4143508</v>
      </c>
      <c r="C15" s="87">
        <v>4206173.4000000004</v>
      </c>
      <c r="D15" s="87">
        <v>4301753.8</v>
      </c>
      <c r="E15" s="87">
        <v>4454935.8</v>
      </c>
      <c r="F15" s="87">
        <v>4622043.3</v>
      </c>
      <c r="G15" s="87">
        <v>4809406.4000000004</v>
      </c>
      <c r="H15" s="87">
        <v>4908784.7</v>
      </c>
      <c r="I15" s="87">
        <v>4864475.9000000004</v>
      </c>
      <c r="J15" s="87">
        <v>4910683.7</v>
      </c>
      <c r="K15" s="88">
        <v>5009429</v>
      </c>
      <c r="L15" s="87">
        <v>5115137.2</v>
      </c>
      <c r="M15" s="87">
        <v>5345543.0999999996</v>
      </c>
      <c r="N15" s="87">
        <v>5579746.9000000004</v>
      </c>
      <c r="O15" s="87">
        <v>5681024.2000000002</v>
      </c>
      <c r="P15" s="87">
        <v>5304399.2</v>
      </c>
      <c r="Q15" s="87">
        <v>5601901.2999999998</v>
      </c>
      <c r="R15" s="87">
        <v>5845599.9000000004</v>
      </c>
      <c r="S15" s="87">
        <v>5813950.7000000002</v>
      </c>
      <c r="T15" s="87">
        <v>5806987.9000000004</v>
      </c>
      <c r="U15" s="87">
        <v>5933584.5</v>
      </c>
      <c r="V15" s="87">
        <v>6055750.2999999998</v>
      </c>
      <c r="W15" s="87">
        <v>6191841.7000000002</v>
      </c>
      <c r="X15" s="88">
        <v>6365912</v>
      </c>
      <c r="Y15" s="88">
        <v>6482381</v>
      </c>
      <c r="Z15" s="88">
        <v>6554541</v>
      </c>
      <c r="AA15" s="88">
        <v>6329832</v>
      </c>
      <c r="AB15" s="88">
        <v>6557073</v>
      </c>
      <c r="AC15" s="87">
        <v>6773553.2000000002</v>
      </c>
      <c r="AD15" s="87">
        <v>6786845.9000000004</v>
      </c>
      <c r="AE15" s="87">
        <v>6727978.4000000004</v>
      </c>
    </row>
    <row r="16" spans="1:31" ht="11.45" customHeight="1" x14ac:dyDescent="0.25">
      <c r="A16" s="85" t="s">
        <v>16</v>
      </c>
      <c r="B16" s="90">
        <v>16578.5</v>
      </c>
      <c r="C16" s="90">
        <v>17395.8</v>
      </c>
      <c r="D16" s="90">
        <v>19918.2</v>
      </c>
      <c r="E16" s="90">
        <v>21424.799999999999</v>
      </c>
      <c r="F16" s="90">
        <v>21161.7</v>
      </c>
      <c r="G16" s="90">
        <v>23537.5</v>
      </c>
      <c r="H16" s="91">
        <v>25654</v>
      </c>
      <c r="I16" s="90">
        <v>27696.3</v>
      </c>
      <c r="J16" s="90">
        <v>29720.1</v>
      </c>
      <c r="K16" s="90">
        <v>32495.1</v>
      </c>
      <c r="L16" s="91">
        <v>36008</v>
      </c>
      <c r="M16" s="91">
        <v>39555</v>
      </c>
      <c r="N16" s="90">
        <v>42597.599999999999</v>
      </c>
      <c r="O16" s="90">
        <v>41062.400000000001</v>
      </c>
      <c r="P16" s="90">
        <v>33521.699999999997</v>
      </c>
      <c r="Q16" s="90">
        <v>36048.6</v>
      </c>
      <c r="R16" s="90">
        <v>40012.1</v>
      </c>
      <c r="S16" s="90">
        <v>41556.300000000003</v>
      </c>
      <c r="T16" s="90">
        <v>42826.7</v>
      </c>
      <c r="U16" s="90">
        <v>44010.5</v>
      </c>
      <c r="V16" s="90">
        <v>44829.8</v>
      </c>
      <c r="W16" s="90">
        <v>46525.2</v>
      </c>
      <c r="X16" s="91">
        <v>49699</v>
      </c>
      <c r="Y16" s="90">
        <v>52024.2</v>
      </c>
      <c r="Z16" s="90">
        <v>54467.5</v>
      </c>
      <c r="AA16" s="90">
        <v>53980.6</v>
      </c>
      <c r="AB16" s="90">
        <v>59119.6</v>
      </c>
      <c r="AC16" s="90">
        <v>60794.400000000001</v>
      </c>
      <c r="AD16" s="90">
        <v>58802.400000000001</v>
      </c>
      <c r="AE16" s="90">
        <v>58219.6</v>
      </c>
    </row>
    <row r="17" spans="1:31" ht="11.45" customHeight="1" x14ac:dyDescent="0.25">
      <c r="A17" s="85" t="s">
        <v>17</v>
      </c>
      <c r="B17" s="86" t="s">
        <v>8</v>
      </c>
      <c r="C17" s="86" t="s">
        <v>8</v>
      </c>
      <c r="D17" s="86" t="s">
        <v>8</v>
      </c>
      <c r="E17" s="86" t="s">
        <v>8</v>
      </c>
      <c r="F17" s="86" t="s">
        <v>8</v>
      </c>
      <c r="G17" s="86" t="s">
        <v>8</v>
      </c>
      <c r="H17" s="86" t="s">
        <v>8</v>
      </c>
      <c r="I17" s="86" t="s">
        <v>8</v>
      </c>
      <c r="J17" s="86" t="s">
        <v>8</v>
      </c>
      <c r="K17" s="86" t="s">
        <v>8</v>
      </c>
      <c r="L17" s="86" t="s">
        <v>8</v>
      </c>
      <c r="M17" s="86" t="s">
        <v>8</v>
      </c>
      <c r="N17" s="86" t="s">
        <v>8</v>
      </c>
      <c r="O17" s="86" t="s">
        <v>8</v>
      </c>
      <c r="P17" s="86" t="s">
        <v>8</v>
      </c>
      <c r="Q17" s="86" t="s">
        <v>8</v>
      </c>
      <c r="R17" s="86" t="s">
        <v>8</v>
      </c>
      <c r="S17" s="86" t="s">
        <v>8</v>
      </c>
      <c r="T17" s="86" t="s">
        <v>8</v>
      </c>
      <c r="U17" s="86" t="s">
        <v>8</v>
      </c>
      <c r="V17" s="86" t="s">
        <v>8</v>
      </c>
      <c r="W17" s="86" t="s">
        <v>8</v>
      </c>
      <c r="X17" s="86" t="s">
        <v>8</v>
      </c>
      <c r="Y17" s="86" t="s">
        <v>8</v>
      </c>
      <c r="Z17" s="86" t="s">
        <v>8</v>
      </c>
      <c r="AA17" s="86" t="s">
        <v>8</v>
      </c>
      <c r="AB17" s="86" t="s">
        <v>8</v>
      </c>
      <c r="AC17" s="86" t="s">
        <v>8</v>
      </c>
      <c r="AD17" s="86" t="s">
        <v>8</v>
      </c>
      <c r="AE17" s="86" t="s">
        <v>8</v>
      </c>
    </row>
    <row r="18" spans="1:31" ht="11.45" customHeight="1" x14ac:dyDescent="0.25">
      <c r="A18" s="85" t="s">
        <v>18</v>
      </c>
      <c r="B18" s="90">
        <v>256950.1</v>
      </c>
      <c r="C18" s="91">
        <v>260622</v>
      </c>
      <c r="D18" s="90">
        <v>265961.09999999998</v>
      </c>
      <c r="E18" s="90">
        <v>276547.3</v>
      </c>
      <c r="F18" s="90">
        <v>282898.40000000002</v>
      </c>
      <c r="G18" s="90">
        <v>295361.8</v>
      </c>
      <c r="H18" s="90">
        <v>307350.8</v>
      </c>
      <c r="I18" s="90">
        <v>321147.5</v>
      </c>
      <c r="J18" s="90">
        <v>332003.20000000001</v>
      </c>
      <c r="K18" s="90">
        <v>349191.7</v>
      </c>
      <c r="L18" s="90">
        <v>346757.8</v>
      </c>
      <c r="M18" s="90">
        <v>368721.5</v>
      </c>
      <c r="N18" s="90">
        <v>379660.5</v>
      </c>
      <c r="O18" s="90">
        <v>369193.9</v>
      </c>
      <c r="P18" s="90">
        <v>355913.9</v>
      </c>
      <c r="Q18" s="90">
        <v>331244.09999999998</v>
      </c>
      <c r="R18" s="90">
        <v>297233.5</v>
      </c>
      <c r="S18" s="90">
        <v>278233.2</v>
      </c>
      <c r="T18" s="90">
        <v>278141.09999999998</v>
      </c>
      <c r="U18" s="90">
        <v>279088.09999999998</v>
      </c>
      <c r="V18" s="90">
        <v>285905.3</v>
      </c>
      <c r="W18" s="91">
        <v>282625</v>
      </c>
      <c r="X18" s="90">
        <v>289320.5</v>
      </c>
      <c r="Y18" s="90">
        <v>295810.3</v>
      </c>
      <c r="Z18" s="90">
        <v>302992.40000000002</v>
      </c>
      <c r="AA18" s="91">
        <v>268864</v>
      </c>
      <c r="AB18" s="90">
        <v>294834.5</v>
      </c>
      <c r="AC18" s="90">
        <v>324429.2</v>
      </c>
      <c r="AD18" s="90">
        <v>335154.8</v>
      </c>
      <c r="AE18" s="90">
        <v>340591.6</v>
      </c>
    </row>
    <row r="19" spans="1:31" ht="11.45" customHeight="1" x14ac:dyDescent="0.25">
      <c r="A19" s="85" t="s">
        <v>19</v>
      </c>
      <c r="B19" s="86" t="s">
        <v>8</v>
      </c>
      <c r="C19" s="86" t="s">
        <v>8</v>
      </c>
      <c r="D19" s="86" t="s">
        <v>8</v>
      </c>
      <c r="E19" s="86" t="s">
        <v>8</v>
      </c>
      <c r="F19" s="86" t="s">
        <v>8</v>
      </c>
      <c r="G19" s="86" t="s">
        <v>8</v>
      </c>
      <c r="H19" s="86" t="s">
        <v>8</v>
      </c>
      <c r="I19" s="86" t="s">
        <v>8</v>
      </c>
      <c r="J19" s="86" t="s">
        <v>8</v>
      </c>
      <c r="K19" s="86" t="s">
        <v>8</v>
      </c>
      <c r="L19" s="86" t="s">
        <v>8</v>
      </c>
      <c r="M19" s="86" t="s">
        <v>8</v>
      </c>
      <c r="N19" s="86" t="s">
        <v>8</v>
      </c>
      <c r="O19" s="86" t="s">
        <v>8</v>
      </c>
      <c r="P19" s="86" t="s">
        <v>8</v>
      </c>
      <c r="Q19" s="86" t="s">
        <v>8</v>
      </c>
      <c r="R19" s="86" t="s">
        <v>8</v>
      </c>
      <c r="S19" s="86" t="s">
        <v>8</v>
      </c>
      <c r="T19" s="86" t="s">
        <v>8</v>
      </c>
      <c r="U19" s="86" t="s">
        <v>8</v>
      </c>
      <c r="V19" s="86" t="s">
        <v>8</v>
      </c>
      <c r="W19" s="86" t="s">
        <v>8</v>
      </c>
      <c r="X19" s="86" t="s">
        <v>8</v>
      </c>
      <c r="Y19" s="86" t="s">
        <v>8</v>
      </c>
      <c r="Z19" s="86" t="s">
        <v>8</v>
      </c>
      <c r="AA19" s="86" t="s">
        <v>8</v>
      </c>
      <c r="AB19" s="86" t="s">
        <v>8</v>
      </c>
      <c r="AC19" s="86" t="s">
        <v>8</v>
      </c>
      <c r="AD19" s="86" t="s">
        <v>8</v>
      </c>
      <c r="AE19" s="86" t="s">
        <v>8</v>
      </c>
    </row>
    <row r="20" spans="1:31" ht="11.45" customHeight="1" x14ac:dyDescent="0.25">
      <c r="A20" s="85" t="s">
        <v>20</v>
      </c>
      <c r="B20" s="90">
        <v>2791047.6</v>
      </c>
      <c r="C20" s="90">
        <v>2832406.4</v>
      </c>
      <c r="D20" s="90">
        <v>2922718.2</v>
      </c>
      <c r="E20" s="90">
        <v>3050274.7</v>
      </c>
      <c r="F20" s="90">
        <v>3192426.5</v>
      </c>
      <c r="G20" s="90">
        <v>3374768.3</v>
      </c>
      <c r="H20" s="90">
        <v>3464219.4</v>
      </c>
      <c r="I20" s="91">
        <v>3493064</v>
      </c>
      <c r="J20" s="90">
        <v>3506361.2</v>
      </c>
      <c r="K20" s="90">
        <v>3613158.3</v>
      </c>
      <c r="L20" s="90">
        <v>3698821.4</v>
      </c>
      <c r="M20" s="91">
        <v>3819211</v>
      </c>
      <c r="N20" s="90">
        <v>3935573.5</v>
      </c>
      <c r="O20" s="91">
        <v>3945078</v>
      </c>
      <c r="P20" s="91">
        <v>3753671</v>
      </c>
      <c r="Q20" s="90">
        <v>3854596.2</v>
      </c>
      <c r="R20" s="90">
        <v>3938626.1</v>
      </c>
      <c r="S20" s="90">
        <v>3931265.5</v>
      </c>
      <c r="T20" s="90">
        <v>3948554.1</v>
      </c>
      <c r="U20" s="90">
        <v>3998086.3</v>
      </c>
      <c r="V20" s="90">
        <v>4056421.8</v>
      </c>
      <c r="W20" s="90">
        <v>4106052.2</v>
      </c>
      <c r="X20" s="90">
        <v>4238291.5999999996</v>
      </c>
      <c r="Y20" s="90">
        <v>4324039.2</v>
      </c>
      <c r="Z20" s="90">
        <v>4416630.2</v>
      </c>
      <c r="AA20" s="90">
        <v>4075011.5</v>
      </c>
      <c r="AB20" s="91">
        <v>4387581</v>
      </c>
      <c r="AC20" s="90">
        <v>4593940.0999999996</v>
      </c>
      <c r="AD20" s="90">
        <v>4684088.0999999996</v>
      </c>
      <c r="AE20" s="91">
        <v>4739374</v>
      </c>
    </row>
    <row r="21" spans="1:31" ht="11.45" customHeight="1" x14ac:dyDescent="0.25">
      <c r="A21" s="85" t="s">
        <v>21</v>
      </c>
      <c r="B21" s="86" t="s">
        <v>8</v>
      </c>
      <c r="C21" s="86" t="s">
        <v>8</v>
      </c>
      <c r="D21" s="86" t="s">
        <v>8</v>
      </c>
      <c r="E21" s="86" t="s">
        <v>8</v>
      </c>
      <c r="F21" s="86" t="s">
        <v>8</v>
      </c>
      <c r="G21" s="86" t="s">
        <v>8</v>
      </c>
      <c r="H21" s="86" t="s">
        <v>8</v>
      </c>
      <c r="I21" s="86" t="s">
        <v>8</v>
      </c>
      <c r="J21" s="86" t="s">
        <v>8</v>
      </c>
      <c r="K21" s="86" t="s">
        <v>8</v>
      </c>
      <c r="L21" s="86" t="s">
        <v>8</v>
      </c>
      <c r="M21" s="86" t="s">
        <v>8</v>
      </c>
      <c r="N21" s="86" t="s">
        <v>8</v>
      </c>
      <c r="O21" s="86" t="s">
        <v>8</v>
      </c>
      <c r="P21" s="86" t="s">
        <v>8</v>
      </c>
      <c r="Q21" s="86" t="s">
        <v>8</v>
      </c>
      <c r="R21" s="86" t="s">
        <v>8</v>
      </c>
      <c r="S21" s="86" t="s">
        <v>8</v>
      </c>
      <c r="T21" s="86" t="s">
        <v>8</v>
      </c>
      <c r="U21" s="86" t="s">
        <v>8</v>
      </c>
      <c r="V21" s="86" t="s">
        <v>8</v>
      </c>
      <c r="W21" s="86" t="s">
        <v>8</v>
      </c>
      <c r="X21" s="86" t="s">
        <v>8</v>
      </c>
      <c r="Y21" s="86" t="s">
        <v>8</v>
      </c>
      <c r="Z21" s="86" t="s">
        <v>8</v>
      </c>
      <c r="AA21" s="86" t="s">
        <v>8</v>
      </c>
      <c r="AB21" s="86" t="s">
        <v>8</v>
      </c>
      <c r="AC21" s="86" t="s">
        <v>8</v>
      </c>
      <c r="AD21" s="86" t="s">
        <v>8</v>
      </c>
      <c r="AE21" s="86" t="s">
        <v>8</v>
      </c>
    </row>
    <row r="22" spans="1:31" ht="11.45" customHeight="1" x14ac:dyDescent="0.25">
      <c r="A22" s="85" t="s">
        <v>22</v>
      </c>
      <c r="B22" s="89" t="s">
        <v>8</v>
      </c>
      <c r="C22" s="89" t="s">
        <v>8</v>
      </c>
      <c r="D22" s="89" t="s">
        <v>8</v>
      </c>
      <c r="E22" s="89" t="s">
        <v>8</v>
      </c>
      <c r="F22" s="89" t="s">
        <v>8</v>
      </c>
      <c r="G22" s="89" t="s">
        <v>8</v>
      </c>
      <c r="H22" s="89" t="s">
        <v>8</v>
      </c>
      <c r="I22" s="89" t="s">
        <v>8</v>
      </c>
      <c r="J22" s="89" t="s">
        <v>8</v>
      </c>
      <c r="K22" s="89" t="s">
        <v>8</v>
      </c>
      <c r="L22" s="89" t="s">
        <v>8</v>
      </c>
      <c r="M22" s="89" t="s">
        <v>8</v>
      </c>
      <c r="N22" s="89" t="s">
        <v>8</v>
      </c>
      <c r="O22" s="89" t="s">
        <v>8</v>
      </c>
      <c r="P22" s="89" t="s">
        <v>8</v>
      </c>
      <c r="Q22" s="89" t="s">
        <v>8</v>
      </c>
      <c r="R22" s="89" t="s">
        <v>8</v>
      </c>
      <c r="S22" s="89" t="s">
        <v>8</v>
      </c>
      <c r="T22" s="89" t="s">
        <v>8</v>
      </c>
      <c r="U22" s="89" t="s">
        <v>8</v>
      </c>
      <c r="V22" s="89" t="s">
        <v>8</v>
      </c>
      <c r="W22" s="89" t="s">
        <v>8</v>
      </c>
      <c r="X22" s="89" t="s">
        <v>8</v>
      </c>
      <c r="Y22" s="89" t="s">
        <v>8</v>
      </c>
      <c r="Z22" s="89" t="s">
        <v>8</v>
      </c>
      <c r="AA22" s="89" t="s">
        <v>8</v>
      </c>
      <c r="AB22" s="89" t="s">
        <v>8</v>
      </c>
      <c r="AC22" s="89" t="s">
        <v>8</v>
      </c>
      <c r="AD22" s="89" t="s">
        <v>8</v>
      </c>
      <c r="AE22" s="89" t="s">
        <v>8</v>
      </c>
    </row>
    <row r="23" spans="1:31" ht="11.45" customHeight="1" x14ac:dyDescent="0.25">
      <c r="A23" s="85" t="s">
        <v>23</v>
      </c>
      <c r="B23" s="86" t="s">
        <v>8</v>
      </c>
      <c r="C23" s="86" t="s">
        <v>8</v>
      </c>
      <c r="D23" s="86" t="s">
        <v>8</v>
      </c>
      <c r="E23" s="86" t="s">
        <v>8</v>
      </c>
      <c r="F23" s="86" t="s">
        <v>8</v>
      </c>
      <c r="G23" s="86" t="s">
        <v>8</v>
      </c>
      <c r="H23" s="86" t="s">
        <v>8</v>
      </c>
      <c r="I23" s="86" t="s">
        <v>8</v>
      </c>
      <c r="J23" s="86" t="s">
        <v>8</v>
      </c>
      <c r="K23" s="86" t="s">
        <v>8</v>
      </c>
      <c r="L23" s="86" t="s">
        <v>8</v>
      </c>
      <c r="M23" s="86" t="s">
        <v>8</v>
      </c>
      <c r="N23" s="86" t="s">
        <v>8</v>
      </c>
      <c r="O23" s="86" t="s">
        <v>8</v>
      </c>
      <c r="P23" s="86" t="s">
        <v>8</v>
      </c>
      <c r="Q23" s="86" t="s">
        <v>8</v>
      </c>
      <c r="R23" s="86" t="s">
        <v>8</v>
      </c>
      <c r="S23" s="86" t="s">
        <v>8</v>
      </c>
      <c r="T23" s="86" t="s">
        <v>8</v>
      </c>
      <c r="U23" s="86" t="s">
        <v>8</v>
      </c>
      <c r="V23" s="86" t="s">
        <v>8</v>
      </c>
      <c r="W23" s="86" t="s">
        <v>8</v>
      </c>
      <c r="X23" s="86" t="s">
        <v>8</v>
      </c>
      <c r="Y23" s="86" t="s">
        <v>8</v>
      </c>
      <c r="Z23" s="86" t="s">
        <v>8</v>
      </c>
      <c r="AA23" s="86" t="s">
        <v>8</v>
      </c>
      <c r="AB23" s="86" t="s">
        <v>8</v>
      </c>
      <c r="AC23" s="86" t="s">
        <v>8</v>
      </c>
      <c r="AD23" s="86" t="s">
        <v>8</v>
      </c>
      <c r="AE23" s="86" t="s">
        <v>8</v>
      </c>
    </row>
    <row r="24" spans="1:31" ht="11.45" customHeight="1" x14ac:dyDescent="0.25">
      <c r="A24" s="85" t="s">
        <v>24</v>
      </c>
      <c r="B24" s="90">
        <v>25114.2</v>
      </c>
      <c r="C24" s="90">
        <v>26019.599999999999</v>
      </c>
      <c r="D24" s="90">
        <v>28722.3</v>
      </c>
      <c r="E24" s="90">
        <v>29903.9</v>
      </c>
      <c r="F24" s="90">
        <v>30468.9</v>
      </c>
      <c r="G24" s="91">
        <v>32779</v>
      </c>
      <c r="H24" s="90">
        <v>33110.5</v>
      </c>
      <c r="I24" s="90">
        <v>35513.300000000003</v>
      </c>
      <c r="J24" s="90">
        <v>37922.6</v>
      </c>
      <c r="K24" s="90">
        <v>41180.400000000001</v>
      </c>
      <c r="L24" s="91">
        <v>45938</v>
      </c>
      <c r="M24" s="90">
        <v>51761.5</v>
      </c>
      <c r="N24" s="90">
        <v>56344.3</v>
      </c>
      <c r="O24" s="90">
        <v>55305.599999999999</v>
      </c>
      <c r="P24" s="90">
        <v>45991.5</v>
      </c>
      <c r="Q24" s="91">
        <v>45509</v>
      </c>
      <c r="R24" s="90">
        <v>48153.9</v>
      </c>
      <c r="S24" s="91">
        <v>50666</v>
      </c>
      <c r="T24" s="90">
        <v>51389.8</v>
      </c>
      <c r="U24" s="90">
        <v>50745.4</v>
      </c>
      <c r="V24" s="90">
        <v>50895.199999999997</v>
      </c>
      <c r="W24" s="90">
        <v>50385.599999999999</v>
      </c>
      <c r="X24" s="90">
        <v>52773.2</v>
      </c>
      <c r="Y24" s="90">
        <v>54628.5</v>
      </c>
      <c r="Z24" s="90">
        <v>55103.1</v>
      </c>
      <c r="AA24" s="90">
        <v>52295.5</v>
      </c>
      <c r="AB24" s="90">
        <v>56493.5</v>
      </c>
      <c r="AC24" s="90">
        <v>58608.4</v>
      </c>
      <c r="AD24" s="90">
        <v>56052.6</v>
      </c>
      <c r="AE24" s="90">
        <v>55545.1</v>
      </c>
    </row>
    <row r="25" spans="1:31" ht="11.45" customHeight="1" x14ac:dyDescent="0.25">
      <c r="A25" s="85" t="s">
        <v>25</v>
      </c>
      <c r="B25" s="86" t="s">
        <v>8</v>
      </c>
      <c r="C25" s="86" t="s">
        <v>8</v>
      </c>
      <c r="D25" s="86" t="s">
        <v>8</v>
      </c>
      <c r="E25" s="86" t="s">
        <v>8</v>
      </c>
      <c r="F25" s="86" t="s">
        <v>8</v>
      </c>
      <c r="G25" s="86" t="s">
        <v>8</v>
      </c>
      <c r="H25" s="86" t="s">
        <v>8</v>
      </c>
      <c r="I25" s="86" t="s">
        <v>8</v>
      </c>
      <c r="J25" s="86" t="s">
        <v>8</v>
      </c>
      <c r="K25" s="86" t="s">
        <v>8</v>
      </c>
      <c r="L25" s="86" t="s">
        <v>8</v>
      </c>
      <c r="M25" s="86" t="s">
        <v>8</v>
      </c>
      <c r="N25" s="86" t="s">
        <v>8</v>
      </c>
      <c r="O25" s="86" t="s">
        <v>8</v>
      </c>
      <c r="P25" s="86" t="s">
        <v>8</v>
      </c>
      <c r="Q25" s="86" t="s">
        <v>8</v>
      </c>
      <c r="R25" s="86" t="s">
        <v>8</v>
      </c>
      <c r="S25" s="86" t="s">
        <v>8</v>
      </c>
      <c r="T25" s="86" t="s">
        <v>8</v>
      </c>
      <c r="U25" s="86" t="s">
        <v>8</v>
      </c>
      <c r="V25" s="86" t="s">
        <v>8</v>
      </c>
      <c r="W25" s="86" t="s">
        <v>8</v>
      </c>
      <c r="X25" s="86" t="s">
        <v>8</v>
      </c>
      <c r="Y25" s="86" t="s">
        <v>8</v>
      </c>
      <c r="Z25" s="86" t="s">
        <v>8</v>
      </c>
      <c r="AA25" s="86" t="s">
        <v>8</v>
      </c>
      <c r="AB25" s="86" t="s">
        <v>8</v>
      </c>
      <c r="AC25" s="86" t="s">
        <v>8</v>
      </c>
      <c r="AD25" s="86" t="s">
        <v>8</v>
      </c>
      <c r="AE25" s="86" t="s">
        <v>8</v>
      </c>
    </row>
    <row r="26" spans="1:31" ht="11.45" customHeight="1" x14ac:dyDescent="0.25">
      <c r="A26" s="85" t="s">
        <v>26</v>
      </c>
      <c r="B26" s="90">
        <v>59333.7</v>
      </c>
      <c r="C26" s="90">
        <v>61336.1</v>
      </c>
      <c r="D26" s="90">
        <v>66629.899999999994</v>
      </c>
      <c r="E26" s="90">
        <v>74999.100000000006</v>
      </c>
      <c r="F26" s="90">
        <v>84934.1</v>
      </c>
      <c r="G26" s="90">
        <v>97051.5</v>
      </c>
      <c r="H26" s="90">
        <v>103516.8</v>
      </c>
      <c r="I26" s="90">
        <v>105591.1</v>
      </c>
      <c r="J26" s="90">
        <v>110188.6</v>
      </c>
      <c r="K26" s="90">
        <v>117359.6</v>
      </c>
      <c r="L26" s="90">
        <v>123480.3</v>
      </c>
      <c r="M26" s="90">
        <v>138154.4</v>
      </c>
      <c r="N26" s="90">
        <v>146604.6</v>
      </c>
      <c r="O26" s="90">
        <v>147332.6</v>
      </c>
      <c r="P26" s="90">
        <v>139422.5</v>
      </c>
      <c r="Q26" s="90">
        <v>153593.1</v>
      </c>
      <c r="R26" s="90">
        <v>157411.9</v>
      </c>
      <c r="S26" s="90">
        <v>160632.29999999999</v>
      </c>
      <c r="T26" s="90">
        <v>170378.6</v>
      </c>
      <c r="U26" s="90">
        <v>183575.9</v>
      </c>
      <c r="V26" s="90">
        <v>196847.1</v>
      </c>
      <c r="W26" s="91">
        <v>202337</v>
      </c>
      <c r="X26" s="90">
        <v>205208.7</v>
      </c>
      <c r="Y26" s="90">
        <v>212352.4</v>
      </c>
      <c r="Z26" s="90">
        <v>221508.6</v>
      </c>
      <c r="AA26" s="90">
        <v>226022.2</v>
      </c>
      <c r="AB26" s="90">
        <v>249112.7</v>
      </c>
      <c r="AC26" s="90">
        <v>245289.7</v>
      </c>
      <c r="AD26" s="90">
        <v>245640.7</v>
      </c>
      <c r="AE26" s="90">
        <v>226243.20000000001</v>
      </c>
    </row>
    <row r="27" spans="1:31" ht="11.45" customHeight="1" x14ac:dyDescent="0.25">
      <c r="A27" s="85" t="s">
        <v>27</v>
      </c>
      <c r="B27" s="87">
        <v>109664.9</v>
      </c>
      <c r="C27" s="87">
        <v>112606.3</v>
      </c>
      <c r="D27" s="88">
        <v>119294</v>
      </c>
      <c r="E27" s="87">
        <v>127820.8</v>
      </c>
      <c r="F27" s="87">
        <v>134291.6</v>
      </c>
      <c r="G27" s="87">
        <v>144954.29999999999</v>
      </c>
      <c r="H27" s="87">
        <v>156814.29999999999</v>
      </c>
      <c r="I27" s="88">
        <v>168796</v>
      </c>
      <c r="J27" s="87">
        <v>177634.4</v>
      </c>
      <c r="K27" s="87">
        <v>188905.1</v>
      </c>
      <c r="L27" s="87">
        <v>199722.6</v>
      </c>
      <c r="M27" s="87">
        <v>209102.5</v>
      </c>
      <c r="N27" s="87">
        <v>209438.9</v>
      </c>
      <c r="O27" s="87">
        <v>215490.2</v>
      </c>
      <c r="P27" s="87">
        <v>196041.9</v>
      </c>
      <c r="Q27" s="87">
        <v>200606.2</v>
      </c>
      <c r="R27" s="87">
        <v>204899.3</v>
      </c>
      <c r="S27" s="87">
        <v>197720.4</v>
      </c>
      <c r="T27" s="87">
        <v>205748.8</v>
      </c>
      <c r="U27" s="87">
        <v>218830.3</v>
      </c>
      <c r="V27" s="88">
        <v>229019</v>
      </c>
      <c r="W27" s="87">
        <v>234850.3</v>
      </c>
      <c r="X27" s="87">
        <v>246008.7</v>
      </c>
      <c r="Y27" s="87">
        <v>261727.6</v>
      </c>
      <c r="Z27" s="87">
        <v>277272.90000000002</v>
      </c>
      <c r="AA27" s="87">
        <v>268109.59999999998</v>
      </c>
      <c r="AB27" s="87">
        <v>289767.3</v>
      </c>
      <c r="AC27" s="87">
        <v>303404.09999999998</v>
      </c>
      <c r="AD27" s="87">
        <v>293559.2</v>
      </c>
      <c r="AE27" s="87">
        <v>290851.3</v>
      </c>
    </row>
    <row r="28" spans="1:31" ht="11.45" customHeight="1" x14ac:dyDescent="0.25">
      <c r="A28" s="85" t="s">
        <v>28</v>
      </c>
      <c r="B28" s="89" t="s">
        <v>8</v>
      </c>
      <c r="C28" s="89" t="s">
        <v>8</v>
      </c>
      <c r="D28" s="89" t="s">
        <v>8</v>
      </c>
      <c r="E28" s="89" t="s">
        <v>8</v>
      </c>
      <c r="F28" s="89" t="s">
        <v>8</v>
      </c>
      <c r="G28" s="89" t="s">
        <v>8</v>
      </c>
      <c r="H28" s="89" t="s">
        <v>8</v>
      </c>
      <c r="I28" s="89" t="s">
        <v>8</v>
      </c>
      <c r="J28" s="89" t="s">
        <v>8</v>
      </c>
      <c r="K28" s="89" t="s">
        <v>8</v>
      </c>
      <c r="L28" s="89" t="s">
        <v>8</v>
      </c>
      <c r="M28" s="89" t="s">
        <v>8</v>
      </c>
      <c r="N28" s="89" t="s">
        <v>8</v>
      </c>
      <c r="O28" s="89" t="s">
        <v>8</v>
      </c>
      <c r="P28" s="89" t="s">
        <v>8</v>
      </c>
      <c r="Q28" s="89" t="s">
        <v>8</v>
      </c>
      <c r="R28" s="89" t="s">
        <v>8</v>
      </c>
      <c r="S28" s="89" t="s">
        <v>8</v>
      </c>
      <c r="T28" s="89" t="s">
        <v>8</v>
      </c>
      <c r="U28" s="89" t="s">
        <v>8</v>
      </c>
      <c r="V28" s="89" t="s">
        <v>8</v>
      </c>
      <c r="W28" s="89" t="s">
        <v>8</v>
      </c>
      <c r="X28" s="89" t="s">
        <v>8</v>
      </c>
      <c r="Y28" s="89" t="s">
        <v>8</v>
      </c>
      <c r="Z28" s="89" t="s">
        <v>8</v>
      </c>
      <c r="AA28" s="89" t="s">
        <v>8</v>
      </c>
      <c r="AB28" s="89" t="s">
        <v>8</v>
      </c>
      <c r="AC28" s="89" t="s">
        <v>8</v>
      </c>
      <c r="AD28" s="89" t="s">
        <v>8</v>
      </c>
      <c r="AE28" s="89" t="s">
        <v>8</v>
      </c>
    </row>
    <row r="29" spans="1:31" ht="11.45" customHeight="1" x14ac:dyDescent="0.25">
      <c r="A29" s="85" t="s">
        <v>29</v>
      </c>
      <c r="B29" s="87">
        <v>898597.3</v>
      </c>
      <c r="C29" s="87">
        <v>939735.6</v>
      </c>
      <c r="D29" s="87">
        <v>991891.3</v>
      </c>
      <c r="E29" s="87">
        <v>1047973.6</v>
      </c>
      <c r="F29" s="87">
        <v>1103778.6000000001</v>
      </c>
      <c r="G29" s="87">
        <v>1156788.8</v>
      </c>
      <c r="H29" s="87">
        <v>1182809.2</v>
      </c>
      <c r="I29" s="87">
        <v>1180839.5</v>
      </c>
      <c r="J29" s="87">
        <v>1177392.8</v>
      </c>
      <c r="K29" s="87">
        <v>1201403.5</v>
      </c>
      <c r="L29" s="87">
        <v>1230879.8</v>
      </c>
      <c r="M29" s="87">
        <v>1274254.8999999999</v>
      </c>
      <c r="N29" s="87">
        <v>1325601.8999999999</v>
      </c>
      <c r="O29" s="87">
        <v>1352941.3</v>
      </c>
      <c r="P29" s="87">
        <v>1304732.3</v>
      </c>
      <c r="Q29" s="87">
        <v>1315055.8999999999</v>
      </c>
      <c r="R29" s="87">
        <v>1355757.1</v>
      </c>
      <c r="S29" s="87">
        <v>1351990.3</v>
      </c>
      <c r="T29" s="87">
        <v>1357401.4</v>
      </c>
      <c r="U29" s="87">
        <v>1389747.7</v>
      </c>
      <c r="V29" s="87">
        <v>1443251.8</v>
      </c>
      <c r="W29" s="87">
        <v>1485925.8</v>
      </c>
      <c r="X29" s="87">
        <v>1538122.7</v>
      </c>
      <c r="Y29" s="87">
        <v>1601456.1</v>
      </c>
      <c r="Z29" s="87">
        <v>1633951.3</v>
      </c>
      <c r="AA29" s="88">
        <v>1573914</v>
      </c>
      <c r="AB29" s="88">
        <v>1656093</v>
      </c>
      <c r="AC29" s="87">
        <v>1735711.1</v>
      </c>
      <c r="AD29" s="87">
        <v>1733349.3</v>
      </c>
      <c r="AE29" s="87">
        <v>1745378.8</v>
      </c>
    </row>
    <row r="30" spans="1:31" ht="11.45" customHeight="1" x14ac:dyDescent="0.25">
      <c r="A30" s="85" t="s">
        <v>30</v>
      </c>
      <c r="B30" s="90">
        <v>411332.2</v>
      </c>
      <c r="C30" s="90">
        <v>422353.3</v>
      </c>
      <c r="D30" s="90">
        <v>436310.4</v>
      </c>
      <c r="E30" s="90">
        <v>453564.8</v>
      </c>
      <c r="F30" s="90">
        <v>471306.3</v>
      </c>
      <c r="G30" s="90">
        <v>493840.5</v>
      </c>
      <c r="H30" s="90">
        <v>508445.6</v>
      </c>
      <c r="I30" s="90">
        <v>519532.6</v>
      </c>
      <c r="J30" s="90">
        <v>530701.30000000005</v>
      </c>
      <c r="K30" s="90">
        <v>551238.80000000005</v>
      </c>
      <c r="L30" s="90">
        <v>574072.69999999995</v>
      </c>
      <c r="M30" s="90">
        <v>603306.69999999995</v>
      </c>
      <c r="N30" s="90">
        <v>626866.6</v>
      </c>
      <c r="O30" s="90">
        <v>643842.1</v>
      </c>
      <c r="P30" s="90">
        <v>615625.9</v>
      </c>
      <c r="Q30" s="90">
        <v>630046.30000000005</v>
      </c>
      <c r="R30" s="90">
        <v>651654.1</v>
      </c>
      <c r="S30" s="90">
        <v>659991.5</v>
      </c>
      <c r="T30" s="90">
        <v>662205.19999999995</v>
      </c>
      <c r="U30" s="90">
        <v>663158.69999999995</v>
      </c>
      <c r="V30" s="91">
        <v>673094</v>
      </c>
      <c r="W30" s="90">
        <v>682090.3</v>
      </c>
      <c r="X30" s="90">
        <v>704234.7</v>
      </c>
      <c r="Y30" s="90">
        <v>728418.3</v>
      </c>
      <c r="Z30" s="90">
        <v>743021.4</v>
      </c>
      <c r="AA30" s="90">
        <v>698578.3</v>
      </c>
      <c r="AB30" s="90">
        <v>743694.8</v>
      </c>
      <c r="AC30" s="90">
        <v>786735.1</v>
      </c>
      <c r="AD30" s="90">
        <v>771793.1</v>
      </c>
      <c r="AE30" s="90">
        <v>757675.6</v>
      </c>
    </row>
    <row r="31" spans="1:31" ht="11.45" customHeight="1" x14ac:dyDescent="0.25">
      <c r="A31" s="85" t="s">
        <v>31</v>
      </c>
      <c r="B31" s="86" t="s">
        <v>8</v>
      </c>
      <c r="C31" s="86" t="s">
        <v>8</v>
      </c>
      <c r="D31" s="86" t="s">
        <v>8</v>
      </c>
      <c r="E31" s="86" t="s">
        <v>8</v>
      </c>
      <c r="F31" s="86" t="s">
        <v>8</v>
      </c>
      <c r="G31" s="86" t="s">
        <v>8</v>
      </c>
      <c r="H31" s="86" t="s">
        <v>8</v>
      </c>
      <c r="I31" s="86" t="s">
        <v>8</v>
      </c>
      <c r="J31" s="86" t="s">
        <v>8</v>
      </c>
      <c r="K31" s="86" t="s">
        <v>8</v>
      </c>
      <c r="L31" s="86" t="s">
        <v>8</v>
      </c>
      <c r="M31" s="86" t="s">
        <v>8</v>
      </c>
      <c r="N31" s="86" t="s">
        <v>8</v>
      </c>
      <c r="O31" s="86" t="s">
        <v>8</v>
      </c>
      <c r="P31" s="86" t="s">
        <v>8</v>
      </c>
      <c r="Q31" s="86" t="s">
        <v>8</v>
      </c>
      <c r="R31" s="86" t="s">
        <v>8</v>
      </c>
      <c r="S31" s="86" t="s">
        <v>8</v>
      </c>
      <c r="T31" s="86" t="s">
        <v>8</v>
      </c>
      <c r="U31" s="86" t="s">
        <v>8</v>
      </c>
      <c r="V31" s="86" t="s">
        <v>8</v>
      </c>
      <c r="W31" s="86" t="s">
        <v>8</v>
      </c>
      <c r="X31" s="86" t="s">
        <v>8</v>
      </c>
      <c r="Y31" s="86" t="s">
        <v>8</v>
      </c>
      <c r="Z31" s="86" t="s">
        <v>8</v>
      </c>
      <c r="AA31" s="86" t="s">
        <v>8</v>
      </c>
      <c r="AB31" s="86" t="s">
        <v>8</v>
      </c>
      <c r="AC31" s="86" t="s">
        <v>8</v>
      </c>
      <c r="AD31" s="86" t="s">
        <v>8</v>
      </c>
      <c r="AE31" s="86" t="s">
        <v>8</v>
      </c>
    </row>
    <row r="32" spans="1:31" ht="11.45" customHeight="1" x14ac:dyDescent="0.25">
      <c r="A32" s="85" t="s">
        <v>32</v>
      </c>
      <c r="B32" s="89" t="s">
        <v>8</v>
      </c>
      <c r="C32" s="89" t="s">
        <v>8</v>
      </c>
      <c r="D32" s="89" t="s">
        <v>8</v>
      </c>
      <c r="E32" s="89" t="s">
        <v>8</v>
      </c>
      <c r="F32" s="89" t="s">
        <v>8</v>
      </c>
      <c r="G32" s="89" t="s">
        <v>8</v>
      </c>
      <c r="H32" s="89" t="s">
        <v>8</v>
      </c>
      <c r="I32" s="89" t="s">
        <v>8</v>
      </c>
      <c r="J32" s="89" t="s">
        <v>8</v>
      </c>
      <c r="K32" s="89" t="s">
        <v>8</v>
      </c>
      <c r="L32" s="89" t="s">
        <v>8</v>
      </c>
      <c r="M32" s="89" t="s">
        <v>8</v>
      </c>
      <c r="N32" s="89" t="s">
        <v>8</v>
      </c>
      <c r="O32" s="89" t="s">
        <v>8</v>
      </c>
      <c r="P32" s="89" t="s">
        <v>8</v>
      </c>
      <c r="Q32" s="89" t="s">
        <v>8</v>
      </c>
      <c r="R32" s="89" t="s">
        <v>8</v>
      </c>
      <c r="S32" s="89" t="s">
        <v>8</v>
      </c>
      <c r="T32" s="89" t="s">
        <v>8</v>
      </c>
      <c r="U32" s="89" t="s">
        <v>8</v>
      </c>
      <c r="V32" s="89" t="s">
        <v>8</v>
      </c>
      <c r="W32" s="89" t="s">
        <v>8</v>
      </c>
      <c r="X32" s="89" t="s">
        <v>8</v>
      </c>
      <c r="Y32" s="89" t="s">
        <v>8</v>
      </c>
      <c r="Z32" s="89" t="s">
        <v>8</v>
      </c>
      <c r="AA32" s="89" t="s">
        <v>8</v>
      </c>
      <c r="AB32" s="89" t="s">
        <v>8</v>
      </c>
      <c r="AC32" s="89" t="s">
        <v>8</v>
      </c>
      <c r="AD32" s="89" t="s">
        <v>8</v>
      </c>
      <c r="AE32" s="89" t="s">
        <v>8</v>
      </c>
    </row>
    <row r="33" spans="1:31" ht="11.45" customHeight="1" x14ac:dyDescent="0.25">
      <c r="A33" s="85" t="s">
        <v>33</v>
      </c>
      <c r="B33" s="87">
        <v>166014.5</v>
      </c>
      <c r="C33" s="87">
        <v>175694.1</v>
      </c>
      <c r="D33" s="87">
        <v>166987.20000000001</v>
      </c>
      <c r="E33" s="87">
        <v>159573.79999999999</v>
      </c>
      <c r="F33" s="87">
        <v>165051.70000000001</v>
      </c>
      <c r="G33" s="88">
        <v>171437</v>
      </c>
      <c r="H33" s="88">
        <v>185266</v>
      </c>
      <c r="I33" s="87">
        <v>195216.8</v>
      </c>
      <c r="J33" s="87">
        <v>206672.3</v>
      </c>
      <c r="K33" s="88">
        <v>227759</v>
      </c>
      <c r="L33" s="87">
        <v>237973.2</v>
      </c>
      <c r="M33" s="88">
        <v>260430</v>
      </c>
      <c r="N33" s="87">
        <v>276502.7</v>
      </c>
      <c r="O33" s="87">
        <v>304451.3</v>
      </c>
      <c r="P33" s="87">
        <v>289510.2</v>
      </c>
      <c r="Q33" s="87">
        <v>294244.3</v>
      </c>
      <c r="R33" s="87">
        <v>311002.90000000002</v>
      </c>
      <c r="S33" s="87">
        <v>314599.8</v>
      </c>
      <c r="T33" s="87">
        <v>319999.59999999998</v>
      </c>
      <c r="U33" s="87">
        <v>334065.2</v>
      </c>
      <c r="V33" s="87">
        <v>343796.9</v>
      </c>
      <c r="W33" s="87">
        <v>354819.5</v>
      </c>
      <c r="X33" s="87">
        <v>380325.5</v>
      </c>
      <c r="Y33" s="87">
        <v>401370.2</v>
      </c>
      <c r="Z33" s="87">
        <v>420619.5</v>
      </c>
      <c r="AA33" s="88">
        <v>403651</v>
      </c>
      <c r="AB33" s="87">
        <v>427598.2</v>
      </c>
      <c r="AC33" s="87">
        <v>455005.7</v>
      </c>
      <c r="AD33" s="88">
        <v>454719</v>
      </c>
      <c r="AE33" s="87">
        <v>454338.5</v>
      </c>
    </row>
    <row r="34" spans="1:31" ht="11.45" customHeight="1" x14ac:dyDescent="0.25">
      <c r="A34" s="85" t="s">
        <v>34</v>
      </c>
      <c r="B34" s="89" t="s">
        <v>8</v>
      </c>
      <c r="C34" s="89" t="s">
        <v>8</v>
      </c>
      <c r="D34" s="89" t="s">
        <v>8</v>
      </c>
      <c r="E34" s="89" t="s">
        <v>8</v>
      </c>
      <c r="F34" s="89" t="s">
        <v>8</v>
      </c>
      <c r="G34" s="89" t="s">
        <v>8</v>
      </c>
      <c r="H34" s="89" t="s">
        <v>8</v>
      </c>
      <c r="I34" s="89" t="s">
        <v>8</v>
      </c>
      <c r="J34" s="89" t="s">
        <v>8</v>
      </c>
      <c r="K34" s="89" t="s">
        <v>8</v>
      </c>
      <c r="L34" s="89" t="s">
        <v>8</v>
      </c>
      <c r="M34" s="89" t="s">
        <v>8</v>
      </c>
      <c r="N34" s="89" t="s">
        <v>8</v>
      </c>
      <c r="O34" s="89" t="s">
        <v>8</v>
      </c>
      <c r="P34" s="89" t="s">
        <v>8</v>
      </c>
      <c r="Q34" s="89" t="s">
        <v>8</v>
      </c>
      <c r="R34" s="89" t="s">
        <v>8</v>
      </c>
      <c r="S34" s="89" t="s">
        <v>8</v>
      </c>
      <c r="T34" s="89" t="s">
        <v>8</v>
      </c>
      <c r="U34" s="89" t="s">
        <v>8</v>
      </c>
      <c r="V34" s="89" t="s">
        <v>8</v>
      </c>
      <c r="W34" s="89" t="s">
        <v>8</v>
      </c>
      <c r="X34" s="89" t="s">
        <v>8</v>
      </c>
      <c r="Y34" s="89" t="s">
        <v>8</v>
      </c>
      <c r="Z34" s="89" t="s">
        <v>8</v>
      </c>
      <c r="AA34" s="89" t="s">
        <v>8</v>
      </c>
      <c r="AB34" s="89" t="s">
        <v>8</v>
      </c>
      <c r="AC34" s="89" t="s">
        <v>8</v>
      </c>
      <c r="AD34" s="89" t="s">
        <v>8</v>
      </c>
      <c r="AE34" s="89" t="s">
        <v>8</v>
      </c>
    </row>
    <row r="35" spans="1:31" ht="11.45" customHeight="1" x14ac:dyDescent="0.25">
      <c r="A35" s="85" t="s">
        <v>35</v>
      </c>
      <c r="B35" s="86" t="s">
        <v>8</v>
      </c>
      <c r="C35" s="86" t="s">
        <v>8</v>
      </c>
      <c r="D35" s="86" t="s">
        <v>8</v>
      </c>
      <c r="E35" s="86" t="s">
        <v>8</v>
      </c>
      <c r="F35" s="86" t="s">
        <v>8</v>
      </c>
      <c r="G35" s="86" t="s">
        <v>8</v>
      </c>
      <c r="H35" s="86" t="s">
        <v>8</v>
      </c>
      <c r="I35" s="86" t="s">
        <v>8</v>
      </c>
      <c r="J35" s="86" t="s">
        <v>8</v>
      </c>
      <c r="K35" s="86" t="s">
        <v>8</v>
      </c>
      <c r="L35" s="86" t="s">
        <v>8</v>
      </c>
      <c r="M35" s="86" t="s">
        <v>8</v>
      </c>
      <c r="N35" s="86" t="s">
        <v>8</v>
      </c>
      <c r="O35" s="86" t="s">
        <v>8</v>
      </c>
      <c r="P35" s="86" t="s">
        <v>8</v>
      </c>
      <c r="Q35" s="86" t="s">
        <v>8</v>
      </c>
      <c r="R35" s="86" t="s">
        <v>8</v>
      </c>
      <c r="S35" s="86" t="s">
        <v>8</v>
      </c>
      <c r="T35" s="86" t="s">
        <v>8</v>
      </c>
      <c r="U35" s="86" t="s">
        <v>8</v>
      </c>
      <c r="V35" s="86" t="s">
        <v>8</v>
      </c>
      <c r="W35" s="86" t="s">
        <v>8</v>
      </c>
      <c r="X35" s="86" t="s">
        <v>8</v>
      </c>
      <c r="Y35" s="86" t="s">
        <v>8</v>
      </c>
      <c r="Z35" s="86" t="s">
        <v>8</v>
      </c>
      <c r="AA35" s="86" t="s">
        <v>8</v>
      </c>
      <c r="AB35" s="86" t="s">
        <v>8</v>
      </c>
      <c r="AC35" s="86" t="s">
        <v>8</v>
      </c>
      <c r="AD35" s="86" t="s">
        <v>8</v>
      </c>
      <c r="AE35" s="86" t="s">
        <v>8</v>
      </c>
    </row>
    <row r="36" spans="1:31" ht="11.45" customHeight="1" x14ac:dyDescent="0.25">
      <c r="A36" s="85" t="s">
        <v>36</v>
      </c>
      <c r="B36" s="90">
        <v>255393.4</v>
      </c>
      <c r="C36" s="90">
        <v>265449.59999999998</v>
      </c>
      <c r="D36" s="90">
        <v>283751.3</v>
      </c>
      <c r="E36" s="90">
        <v>301894.90000000002</v>
      </c>
      <c r="F36" s="90">
        <v>318284.3</v>
      </c>
      <c r="G36" s="91">
        <v>341343</v>
      </c>
      <c r="H36" s="90">
        <v>345431.2</v>
      </c>
      <c r="I36" s="90">
        <v>351614.8</v>
      </c>
      <c r="J36" s="90">
        <v>357756.6</v>
      </c>
      <c r="K36" s="90">
        <v>373393.5</v>
      </c>
      <c r="L36" s="90">
        <v>386627.3</v>
      </c>
      <c r="M36" s="90">
        <v>405942.1</v>
      </c>
      <c r="N36" s="90">
        <v>426307.8</v>
      </c>
      <c r="O36" s="90">
        <v>432669.3</v>
      </c>
      <c r="P36" s="90">
        <v>391073.4</v>
      </c>
      <c r="Q36" s="90">
        <v>399823.4</v>
      </c>
      <c r="R36" s="90">
        <v>411973.9</v>
      </c>
      <c r="S36" s="90">
        <v>408231.1</v>
      </c>
      <c r="T36" s="90">
        <v>402422.2</v>
      </c>
      <c r="U36" s="91">
        <v>401700</v>
      </c>
      <c r="V36" s="90">
        <v>399485.3</v>
      </c>
      <c r="W36" s="90">
        <v>411651.6</v>
      </c>
      <c r="X36" s="90">
        <v>425943.5</v>
      </c>
      <c r="Y36" s="90">
        <v>434330.3</v>
      </c>
      <c r="Z36" s="91">
        <v>444420</v>
      </c>
      <c r="AA36" s="91">
        <v>431990</v>
      </c>
      <c r="AB36" s="90">
        <v>445666.5</v>
      </c>
      <c r="AC36" s="90">
        <v>454745.2</v>
      </c>
      <c r="AD36" s="90">
        <v>446464.1</v>
      </c>
      <c r="AE36" s="90">
        <v>443943.8</v>
      </c>
    </row>
    <row r="37" spans="1:31" ht="11.45" customHeight="1" x14ac:dyDescent="0.25">
      <c r="A37" s="85" t="s">
        <v>37</v>
      </c>
      <c r="B37" s="87">
        <v>501454.7</v>
      </c>
      <c r="C37" s="87">
        <v>509135.4</v>
      </c>
      <c r="D37" s="88">
        <v>528702</v>
      </c>
      <c r="E37" s="87">
        <v>553646.6</v>
      </c>
      <c r="F37" s="87">
        <v>576479.5</v>
      </c>
      <c r="G37" s="87">
        <v>608970.30000000005</v>
      </c>
      <c r="H37" s="87">
        <v>616332.19999999995</v>
      </c>
      <c r="I37" s="87">
        <v>620030.69999999995</v>
      </c>
      <c r="J37" s="87">
        <v>626392.19999999995</v>
      </c>
      <c r="K37" s="87">
        <v>651113.1</v>
      </c>
      <c r="L37" s="87">
        <v>672574.7</v>
      </c>
      <c r="M37" s="87">
        <v>705406.6</v>
      </c>
      <c r="N37" s="88">
        <v>734499</v>
      </c>
      <c r="O37" s="87">
        <v>732829.3</v>
      </c>
      <c r="P37" s="88">
        <v>685205</v>
      </c>
      <c r="Q37" s="87">
        <v>718050.1</v>
      </c>
      <c r="R37" s="87">
        <v>745355.8</v>
      </c>
      <c r="S37" s="88">
        <v>741296</v>
      </c>
      <c r="T37" s="87">
        <v>743492.3</v>
      </c>
      <c r="U37" s="87">
        <v>760224.5</v>
      </c>
      <c r="V37" s="87">
        <v>792436.7</v>
      </c>
      <c r="W37" s="87">
        <v>815989.9</v>
      </c>
      <c r="X37" s="87">
        <v>838715.5</v>
      </c>
      <c r="Y37" s="88">
        <v>860545</v>
      </c>
      <c r="Z37" s="87">
        <v>881384.3</v>
      </c>
      <c r="AA37" s="87">
        <v>859632.2</v>
      </c>
      <c r="AB37" s="87">
        <v>899121.9</v>
      </c>
      <c r="AC37" s="88">
        <v>927504</v>
      </c>
      <c r="AD37" s="88">
        <v>939102</v>
      </c>
      <c r="AE37" s="86" t="s">
        <v>8</v>
      </c>
    </row>
    <row r="38" spans="1:31" ht="11.45" customHeight="1" x14ac:dyDescent="0.25">
      <c r="A38" s="85" t="s">
        <v>38</v>
      </c>
      <c r="B38" s="90">
        <v>16158.3</v>
      </c>
      <c r="C38" s="90">
        <v>17199.7</v>
      </c>
      <c r="D38" s="90">
        <v>17992.900000000001</v>
      </c>
      <c r="E38" s="90">
        <v>19336.5</v>
      </c>
      <c r="F38" s="90">
        <v>20270.5</v>
      </c>
      <c r="G38" s="90">
        <v>21351.599999999999</v>
      </c>
      <c r="H38" s="90">
        <v>22156.2</v>
      </c>
      <c r="I38" s="90">
        <v>22017.7</v>
      </c>
      <c r="J38" s="90">
        <v>22638.7</v>
      </c>
      <c r="K38" s="90">
        <v>24221.5</v>
      </c>
      <c r="L38" s="90">
        <v>25339.8</v>
      </c>
      <c r="M38" s="91">
        <v>26158</v>
      </c>
      <c r="N38" s="90">
        <v>28173.200000000001</v>
      </c>
      <c r="O38" s="90">
        <v>28670.400000000001</v>
      </c>
      <c r="P38" s="90">
        <v>26675.3</v>
      </c>
      <c r="Q38" s="90">
        <v>25996.5</v>
      </c>
      <c r="R38" s="90">
        <v>26648.9</v>
      </c>
      <c r="S38" s="90">
        <v>27229.9</v>
      </c>
      <c r="T38" s="90">
        <v>28608.9</v>
      </c>
      <c r="U38" s="91">
        <v>29213</v>
      </c>
      <c r="V38" s="90">
        <v>30660.3</v>
      </c>
      <c r="W38" s="90">
        <v>32680.400000000001</v>
      </c>
      <c r="X38" s="90">
        <v>34251.599999999999</v>
      </c>
      <c r="Y38" s="90">
        <v>35992.1</v>
      </c>
      <c r="Z38" s="90">
        <v>36383.599999999999</v>
      </c>
      <c r="AA38" s="90">
        <v>33103.9</v>
      </c>
      <c r="AB38" s="90">
        <v>35037.199999999997</v>
      </c>
      <c r="AC38" s="90">
        <v>38789.5</v>
      </c>
      <c r="AD38" s="90">
        <v>40515.699999999997</v>
      </c>
      <c r="AE38" s="89" t="s">
        <v>8</v>
      </c>
    </row>
    <row r="39" spans="1:31" ht="11.45" customHeight="1" x14ac:dyDescent="0.25">
      <c r="A39" s="85" t="s">
        <v>39</v>
      </c>
      <c r="B39" s="86" t="s">
        <v>8</v>
      </c>
      <c r="C39" s="86" t="s">
        <v>8</v>
      </c>
      <c r="D39" s="86" t="s">
        <v>8</v>
      </c>
      <c r="E39" s="86" t="s">
        <v>8</v>
      </c>
      <c r="F39" s="86" t="s">
        <v>8</v>
      </c>
      <c r="G39" s="86" t="s">
        <v>8</v>
      </c>
      <c r="H39" s="86" t="s">
        <v>8</v>
      </c>
      <c r="I39" s="86" t="s">
        <v>8</v>
      </c>
      <c r="J39" s="86" t="s">
        <v>8</v>
      </c>
      <c r="K39" s="86" t="s">
        <v>8</v>
      </c>
      <c r="L39" s="86" t="s">
        <v>8</v>
      </c>
      <c r="M39" s="86" t="s">
        <v>8</v>
      </c>
      <c r="N39" s="86" t="s">
        <v>8</v>
      </c>
      <c r="O39" s="86" t="s">
        <v>8</v>
      </c>
      <c r="P39" s="86" t="s">
        <v>8</v>
      </c>
      <c r="Q39" s="86" t="s">
        <v>8</v>
      </c>
      <c r="R39" s="86" t="s">
        <v>8</v>
      </c>
      <c r="S39" s="86" t="s">
        <v>8</v>
      </c>
      <c r="T39" s="86" t="s">
        <v>8</v>
      </c>
      <c r="U39" s="86" t="s">
        <v>8</v>
      </c>
      <c r="V39" s="86" t="s">
        <v>8</v>
      </c>
      <c r="W39" s="86" t="s">
        <v>8</v>
      </c>
      <c r="X39" s="86" t="s">
        <v>8</v>
      </c>
      <c r="Y39" s="86" t="s">
        <v>8</v>
      </c>
      <c r="Z39" s="86" t="s">
        <v>8</v>
      </c>
      <c r="AA39" s="86" t="s">
        <v>8</v>
      </c>
      <c r="AB39" s="86" t="s">
        <v>8</v>
      </c>
      <c r="AC39" s="86" t="s">
        <v>8</v>
      </c>
      <c r="AD39" s="86" t="s">
        <v>8</v>
      </c>
      <c r="AE39" s="86" t="s">
        <v>8</v>
      </c>
    </row>
    <row r="40" spans="1:31" ht="11.45" customHeight="1" x14ac:dyDescent="0.25">
      <c r="A40" s="85" t="s">
        <v>40</v>
      </c>
      <c r="B40" s="89" t="s">
        <v>8</v>
      </c>
      <c r="C40" s="89" t="s">
        <v>8</v>
      </c>
      <c r="D40" s="89" t="s">
        <v>8</v>
      </c>
      <c r="E40" s="89" t="s">
        <v>8</v>
      </c>
      <c r="F40" s="89" t="s">
        <v>8</v>
      </c>
      <c r="G40" s="89" t="s">
        <v>8</v>
      </c>
      <c r="H40" s="89" t="s">
        <v>8</v>
      </c>
      <c r="I40" s="89" t="s">
        <v>8</v>
      </c>
      <c r="J40" s="89" t="s">
        <v>8</v>
      </c>
      <c r="K40" s="89" t="s">
        <v>8</v>
      </c>
      <c r="L40" s="89" t="s">
        <v>8</v>
      </c>
      <c r="M40" s="89" t="s">
        <v>8</v>
      </c>
      <c r="N40" s="89" t="s">
        <v>8</v>
      </c>
      <c r="O40" s="89" t="s">
        <v>8</v>
      </c>
      <c r="P40" s="89" t="s">
        <v>8</v>
      </c>
      <c r="Q40" s="89" t="s">
        <v>8</v>
      </c>
      <c r="R40" s="89" t="s">
        <v>8</v>
      </c>
      <c r="S40" s="89" t="s">
        <v>8</v>
      </c>
      <c r="T40" s="89" t="s">
        <v>8</v>
      </c>
      <c r="U40" s="89" t="s">
        <v>8</v>
      </c>
      <c r="V40" s="89" t="s">
        <v>8</v>
      </c>
      <c r="W40" s="89" t="s">
        <v>8</v>
      </c>
      <c r="X40" s="89" t="s">
        <v>8</v>
      </c>
      <c r="Y40" s="89" t="s">
        <v>8</v>
      </c>
      <c r="Z40" s="89" t="s">
        <v>8</v>
      </c>
      <c r="AA40" s="89" t="s">
        <v>8</v>
      </c>
      <c r="AB40" s="89" t="s">
        <v>8</v>
      </c>
      <c r="AC40" s="89" t="s">
        <v>8</v>
      </c>
      <c r="AD40" s="89" t="s">
        <v>8</v>
      </c>
      <c r="AE40" s="89" t="s">
        <v>8</v>
      </c>
    </row>
    <row r="41" spans="1:31" ht="11.45" customHeight="1" x14ac:dyDescent="0.25">
      <c r="A41" s="85" t="s">
        <v>41</v>
      </c>
      <c r="B41" s="87">
        <v>824681.7</v>
      </c>
      <c r="C41" s="87">
        <v>835602.3</v>
      </c>
      <c r="D41" s="87">
        <v>856289.9</v>
      </c>
      <c r="E41" s="87">
        <v>884356.1</v>
      </c>
      <c r="F41" s="87">
        <v>903157.5</v>
      </c>
      <c r="G41" s="87">
        <v>938070.8</v>
      </c>
      <c r="H41" s="87">
        <v>949628.9</v>
      </c>
      <c r="I41" s="87">
        <v>957940.6</v>
      </c>
      <c r="J41" s="87">
        <v>950731.9</v>
      </c>
      <c r="K41" s="87">
        <v>988243.2</v>
      </c>
      <c r="L41" s="87">
        <v>1021171.1</v>
      </c>
      <c r="M41" s="87">
        <v>1071463.3999999999</v>
      </c>
      <c r="N41" s="87">
        <v>1123376.2</v>
      </c>
      <c r="O41" s="87">
        <v>1157212.2</v>
      </c>
      <c r="P41" s="87">
        <v>1135093.1000000001</v>
      </c>
      <c r="Q41" s="87">
        <v>1159627.1000000001</v>
      </c>
      <c r="R41" s="87">
        <v>1170393.3999999999</v>
      </c>
      <c r="S41" s="87">
        <v>1195024.3</v>
      </c>
      <c r="T41" s="87">
        <v>1210353.8999999999</v>
      </c>
      <c r="U41" s="87">
        <v>1242388.3</v>
      </c>
      <c r="V41" s="87">
        <v>1263867.8999999999</v>
      </c>
      <c r="W41" s="87">
        <v>1285089.1000000001</v>
      </c>
      <c r="X41" s="87">
        <v>1318600.7</v>
      </c>
      <c r="Y41" s="88">
        <v>1383257</v>
      </c>
      <c r="Z41" s="87">
        <v>1403306.4</v>
      </c>
      <c r="AA41" s="87">
        <v>1366731.3</v>
      </c>
      <c r="AB41" s="87">
        <v>1520890.5</v>
      </c>
      <c r="AC41" s="87">
        <v>1620640.7</v>
      </c>
      <c r="AD41" s="87">
        <v>1569843.2</v>
      </c>
      <c r="AE41" s="88">
        <v>1587671</v>
      </c>
    </row>
    <row r="42" spans="1:31" ht="11.45" customHeight="1" x14ac:dyDescent="0.25">
      <c r="A42" s="85" t="s">
        <v>42</v>
      </c>
      <c r="B42" s="89" t="s">
        <v>8</v>
      </c>
      <c r="C42" s="89" t="s">
        <v>8</v>
      </c>
      <c r="D42" s="89" t="s">
        <v>8</v>
      </c>
      <c r="E42" s="89" t="s">
        <v>8</v>
      </c>
      <c r="F42" s="89" t="s">
        <v>8</v>
      </c>
      <c r="G42" s="89" t="s">
        <v>8</v>
      </c>
      <c r="H42" s="89" t="s">
        <v>8</v>
      </c>
      <c r="I42" s="89" t="s">
        <v>8</v>
      </c>
      <c r="J42" s="89" t="s">
        <v>8</v>
      </c>
      <c r="K42" s="89" t="s">
        <v>8</v>
      </c>
      <c r="L42" s="89" t="s">
        <v>8</v>
      </c>
      <c r="M42" s="89" t="s">
        <v>8</v>
      </c>
      <c r="N42" s="89" t="s">
        <v>8</v>
      </c>
      <c r="O42" s="89" t="s">
        <v>8</v>
      </c>
      <c r="P42" s="89" t="s">
        <v>8</v>
      </c>
      <c r="Q42" s="89" t="s">
        <v>8</v>
      </c>
      <c r="R42" s="89" t="s">
        <v>8</v>
      </c>
      <c r="S42" s="89" t="s">
        <v>8</v>
      </c>
      <c r="T42" s="89" t="s">
        <v>8</v>
      </c>
      <c r="U42" s="89" t="s">
        <v>8</v>
      </c>
      <c r="V42" s="89" t="s">
        <v>8</v>
      </c>
      <c r="W42" s="89" t="s">
        <v>8</v>
      </c>
      <c r="X42" s="89" t="s">
        <v>8</v>
      </c>
      <c r="Y42" s="89" t="s">
        <v>8</v>
      </c>
      <c r="Z42" s="89" t="s">
        <v>8</v>
      </c>
      <c r="AA42" s="89" t="s">
        <v>8</v>
      </c>
      <c r="AB42" s="89" t="s">
        <v>8</v>
      </c>
      <c r="AC42" s="89" t="s">
        <v>8</v>
      </c>
      <c r="AD42" s="89" t="s">
        <v>8</v>
      </c>
      <c r="AE42" s="89" t="s">
        <v>8</v>
      </c>
    </row>
    <row r="43" spans="1:31" ht="11.45" customHeight="1" x14ac:dyDescent="0.25">
      <c r="A43" s="85" t="s">
        <v>43</v>
      </c>
      <c r="B43" s="86" t="s">
        <v>8</v>
      </c>
      <c r="C43" s="86" t="s">
        <v>8</v>
      </c>
      <c r="D43" s="86" t="s">
        <v>8</v>
      </c>
      <c r="E43" s="86" t="s">
        <v>8</v>
      </c>
      <c r="F43" s="86" t="s">
        <v>8</v>
      </c>
      <c r="G43" s="86" t="s">
        <v>8</v>
      </c>
      <c r="H43" s="86" t="s">
        <v>8</v>
      </c>
      <c r="I43" s="86" t="s">
        <v>8</v>
      </c>
      <c r="J43" s="86" t="s">
        <v>8</v>
      </c>
      <c r="K43" s="86" t="s">
        <v>8</v>
      </c>
      <c r="L43" s="86" t="s">
        <v>8</v>
      </c>
      <c r="M43" s="86" t="s">
        <v>8</v>
      </c>
      <c r="N43" s="86" t="s">
        <v>8</v>
      </c>
      <c r="O43" s="86" t="s">
        <v>8</v>
      </c>
      <c r="P43" s="86" t="s">
        <v>8</v>
      </c>
      <c r="Q43" s="86" t="s">
        <v>8</v>
      </c>
      <c r="R43" s="86" t="s">
        <v>8</v>
      </c>
      <c r="S43" s="86" t="s">
        <v>8</v>
      </c>
      <c r="T43" s="86" t="s">
        <v>8</v>
      </c>
      <c r="U43" s="86" t="s">
        <v>8</v>
      </c>
      <c r="V43" s="86" t="s">
        <v>8</v>
      </c>
      <c r="W43" s="86" t="s">
        <v>8</v>
      </c>
      <c r="X43" s="86" t="s">
        <v>8</v>
      </c>
      <c r="Y43" s="86" t="s">
        <v>8</v>
      </c>
      <c r="Z43" s="86" t="s">
        <v>8</v>
      </c>
      <c r="AA43" s="86" t="s">
        <v>8</v>
      </c>
      <c r="AB43" s="86" t="s">
        <v>8</v>
      </c>
      <c r="AC43" s="86" t="s">
        <v>8</v>
      </c>
      <c r="AD43" s="86" t="s">
        <v>8</v>
      </c>
      <c r="AE43" s="86" t="s">
        <v>8</v>
      </c>
    </row>
    <row r="44" spans="1:31" ht="11.45" customHeight="1" x14ac:dyDescent="0.25">
      <c r="A44" s="85" t="s">
        <v>44</v>
      </c>
      <c r="B44" s="89" t="s">
        <v>8</v>
      </c>
      <c r="C44" s="89" t="s">
        <v>8</v>
      </c>
      <c r="D44" s="89" t="s">
        <v>8</v>
      </c>
      <c r="E44" s="89" t="s">
        <v>8</v>
      </c>
      <c r="F44" s="89" t="s">
        <v>8</v>
      </c>
      <c r="G44" s="89" t="s">
        <v>8</v>
      </c>
      <c r="H44" s="89" t="s">
        <v>8</v>
      </c>
      <c r="I44" s="89" t="s">
        <v>8</v>
      </c>
      <c r="J44" s="89" t="s">
        <v>8</v>
      </c>
      <c r="K44" s="89" t="s">
        <v>8</v>
      </c>
      <c r="L44" s="89" t="s">
        <v>8</v>
      </c>
      <c r="M44" s="89" t="s">
        <v>8</v>
      </c>
      <c r="N44" s="89" t="s">
        <v>8</v>
      </c>
      <c r="O44" s="89" t="s">
        <v>8</v>
      </c>
      <c r="P44" s="89" t="s">
        <v>8</v>
      </c>
      <c r="Q44" s="89" t="s">
        <v>8</v>
      </c>
      <c r="R44" s="89" t="s">
        <v>8</v>
      </c>
      <c r="S44" s="89" t="s">
        <v>8</v>
      </c>
      <c r="T44" s="89" t="s">
        <v>8</v>
      </c>
      <c r="U44" s="89" t="s">
        <v>8</v>
      </c>
      <c r="V44" s="89" t="s">
        <v>8</v>
      </c>
      <c r="W44" s="89" t="s">
        <v>8</v>
      </c>
      <c r="X44" s="89" t="s">
        <v>8</v>
      </c>
      <c r="Y44" s="89" t="s">
        <v>8</v>
      </c>
      <c r="Z44" s="89" t="s">
        <v>8</v>
      </c>
      <c r="AA44" s="89" t="s">
        <v>8</v>
      </c>
      <c r="AB44" s="89" t="s">
        <v>8</v>
      </c>
      <c r="AC44" s="89" t="s">
        <v>8</v>
      </c>
      <c r="AD44" s="89" t="s">
        <v>8</v>
      </c>
      <c r="AE44" s="89" t="s">
        <v>8</v>
      </c>
    </row>
    <row r="45" spans="1:31" ht="11.45" customHeight="1" x14ac:dyDescent="0.25">
      <c r="A45" s="85" t="s">
        <v>45</v>
      </c>
      <c r="B45" s="86" t="s">
        <v>8</v>
      </c>
      <c r="C45" s="86" t="s">
        <v>8</v>
      </c>
      <c r="D45" s="86" t="s">
        <v>8</v>
      </c>
      <c r="E45" s="86" t="s">
        <v>8</v>
      </c>
      <c r="F45" s="86" t="s">
        <v>8</v>
      </c>
      <c r="G45" s="86" t="s">
        <v>8</v>
      </c>
      <c r="H45" s="86" t="s">
        <v>8</v>
      </c>
      <c r="I45" s="86" t="s">
        <v>8</v>
      </c>
      <c r="J45" s="86" t="s">
        <v>8</v>
      </c>
      <c r="K45" s="86" t="s">
        <v>8</v>
      </c>
      <c r="L45" s="86" t="s">
        <v>8</v>
      </c>
      <c r="M45" s="86" t="s">
        <v>8</v>
      </c>
      <c r="N45" s="86" t="s">
        <v>8</v>
      </c>
      <c r="O45" s="86" t="s">
        <v>8</v>
      </c>
      <c r="P45" s="86" t="s">
        <v>8</v>
      </c>
      <c r="Q45" s="86" t="s">
        <v>8</v>
      </c>
      <c r="R45" s="86" t="s">
        <v>8</v>
      </c>
      <c r="S45" s="86" t="s">
        <v>8</v>
      </c>
      <c r="T45" s="86" t="s">
        <v>8</v>
      </c>
      <c r="U45" s="86" t="s">
        <v>8</v>
      </c>
      <c r="V45" s="86" t="s">
        <v>8</v>
      </c>
      <c r="W45" s="86" t="s">
        <v>8</v>
      </c>
      <c r="X45" s="86" t="s">
        <v>8</v>
      </c>
      <c r="Y45" s="86" t="s">
        <v>8</v>
      </c>
      <c r="Z45" s="86" t="s">
        <v>8</v>
      </c>
      <c r="AA45" s="86" t="s">
        <v>8</v>
      </c>
      <c r="AB45" s="86" t="s">
        <v>8</v>
      </c>
      <c r="AC45" s="86" t="s">
        <v>8</v>
      </c>
      <c r="AD45" s="86" t="s">
        <v>8</v>
      </c>
      <c r="AE45" s="86" t="s">
        <v>8</v>
      </c>
    </row>
    <row r="46" spans="1:31" ht="11.45" customHeight="1" x14ac:dyDescent="0.25">
      <c r="A46" s="85" t="s">
        <v>46</v>
      </c>
      <c r="B46" s="89" t="s">
        <v>8</v>
      </c>
      <c r="C46" s="89" t="s">
        <v>8</v>
      </c>
      <c r="D46" s="89" t="s">
        <v>8</v>
      </c>
      <c r="E46" s="89" t="s">
        <v>8</v>
      </c>
      <c r="F46" s="89" t="s">
        <v>8</v>
      </c>
      <c r="G46" s="89" t="s">
        <v>8</v>
      </c>
      <c r="H46" s="89" t="s">
        <v>8</v>
      </c>
      <c r="I46" s="89" t="s">
        <v>8</v>
      </c>
      <c r="J46" s="89" t="s">
        <v>8</v>
      </c>
      <c r="K46" s="89" t="s">
        <v>8</v>
      </c>
      <c r="L46" s="89" t="s">
        <v>8</v>
      </c>
      <c r="M46" s="89" t="s">
        <v>8</v>
      </c>
      <c r="N46" s="89" t="s">
        <v>8</v>
      </c>
      <c r="O46" s="89" t="s">
        <v>8</v>
      </c>
      <c r="P46" s="89" t="s">
        <v>8</v>
      </c>
      <c r="Q46" s="89" t="s">
        <v>8</v>
      </c>
      <c r="R46" s="89" t="s">
        <v>8</v>
      </c>
      <c r="S46" s="89" t="s">
        <v>8</v>
      </c>
      <c r="T46" s="89" t="s">
        <v>8</v>
      </c>
      <c r="U46" s="89" t="s">
        <v>8</v>
      </c>
      <c r="V46" s="89" t="s">
        <v>8</v>
      </c>
      <c r="W46" s="89" t="s">
        <v>8</v>
      </c>
      <c r="X46" s="89" t="s">
        <v>8</v>
      </c>
      <c r="Y46" s="89" t="s">
        <v>8</v>
      </c>
      <c r="Z46" s="89" t="s">
        <v>8</v>
      </c>
      <c r="AA46" s="89" t="s">
        <v>8</v>
      </c>
      <c r="AB46" s="89" t="s">
        <v>8</v>
      </c>
      <c r="AC46" s="89" t="s">
        <v>8</v>
      </c>
      <c r="AD46" s="89" t="s">
        <v>8</v>
      </c>
      <c r="AE46" s="89" t="s">
        <v>8</v>
      </c>
    </row>
    <row r="47" spans="1:31" ht="11.45" customHeight="1" x14ac:dyDescent="0.25">
      <c r="A47" s="85" t="s">
        <v>47</v>
      </c>
      <c r="B47" s="87">
        <v>51096.6</v>
      </c>
      <c r="C47" s="87">
        <v>55100.2</v>
      </c>
      <c r="D47" s="87">
        <v>60598.9</v>
      </c>
      <c r="E47" s="87">
        <v>63827.6</v>
      </c>
      <c r="F47" s="87">
        <v>55214.8</v>
      </c>
      <c r="G47" s="87">
        <v>60335.3</v>
      </c>
      <c r="H47" s="87">
        <v>62665.599999999999</v>
      </c>
      <c r="I47" s="87">
        <v>68166.3</v>
      </c>
      <c r="J47" s="87">
        <v>70345.399999999994</v>
      </c>
      <c r="K47" s="87">
        <v>75417.899999999994</v>
      </c>
      <c r="L47" s="87">
        <v>80255.600000000006</v>
      </c>
      <c r="M47" s="87">
        <v>83045.899999999994</v>
      </c>
      <c r="N47" s="87">
        <v>88056.1</v>
      </c>
      <c r="O47" s="87">
        <v>90294.6</v>
      </c>
      <c r="P47" s="87">
        <v>82211.899999999994</v>
      </c>
      <c r="Q47" s="88">
        <v>83930</v>
      </c>
      <c r="R47" s="87">
        <v>85239.1</v>
      </c>
      <c r="S47" s="87">
        <v>83834.5</v>
      </c>
      <c r="T47" s="87">
        <v>86639.8</v>
      </c>
      <c r="U47" s="87">
        <v>83447.5</v>
      </c>
      <c r="V47" s="88">
        <v>86514</v>
      </c>
      <c r="W47" s="87">
        <v>90478.3</v>
      </c>
      <c r="X47" s="88">
        <v>92651</v>
      </c>
      <c r="Y47" s="87">
        <v>97384.8</v>
      </c>
      <c r="Z47" s="87">
        <v>102641.9</v>
      </c>
      <c r="AA47" s="87">
        <v>101133.6</v>
      </c>
      <c r="AB47" s="87">
        <v>109122.9</v>
      </c>
      <c r="AC47" s="87">
        <v>110187.4</v>
      </c>
      <c r="AD47" s="87">
        <v>116469.9</v>
      </c>
      <c r="AE47" s="87">
        <v>121271.7</v>
      </c>
    </row>
    <row r="48" spans="1:31" ht="11.45" customHeight="1" x14ac:dyDescent="0.25">
      <c r="A48" s="85" t="s">
        <v>48</v>
      </c>
      <c r="B48" s="89" t="s">
        <v>8</v>
      </c>
      <c r="C48" s="89" t="s">
        <v>8</v>
      </c>
      <c r="D48" s="89" t="s">
        <v>8</v>
      </c>
      <c r="E48" s="89" t="s">
        <v>8</v>
      </c>
      <c r="F48" s="89" t="s">
        <v>8</v>
      </c>
      <c r="G48" s="89" t="s">
        <v>8</v>
      </c>
      <c r="H48" s="89" t="s">
        <v>8</v>
      </c>
      <c r="I48" s="89" t="s">
        <v>8</v>
      </c>
      <c r="J48" s="89" t="s">
        <v>8</v>
      </c>
      <c r="K48" s="89" t="s">
        <v>8</v>
      </c>
      <c r="L48" s="89" t="s">
        <v>8</v>
      </c>
      <c r="M48" s="89" t="s">
        <v>8</v>
      </c>
      <c r="N48" s="89" t="s">
        <v>8</v>
      </c>
      <c r="O48" s="89" t="s">
        <v>8</v>
      </c>
      <c r="P48" s="89" t="s">
        <v>8</v>
      </c>
      <c r="Q48" s="89" t="s">
        <v>8</v>
      </c>
      <c r="R48" s="89" t="s">
        <v>8</v>
      </c>
      <c r="S48" s="89" t="s">
        <v>8</v>
      </c>
      <c r="T48" s="89" t="s">
        <v>8</v>
      </c>
      <c r="U48" s="89" t="s">
        <v>8</v>
      </c>
      <c r="V48" s="89" t="s">
        <v>8</v>
      </c>
      <c r="W48" s="89" t="s">
        <v>8</v>
      </c>
      <c r="X48" s="89" t="s">
        <v>8</v>
      </c>
      <c r="Y48" s="89" t="s">
        <v>8</v>
      </c>
      <c r="Z48" s="89" t="s">
        <v>8</v>
      </c>
      <c r="AA48" s="89" t="s">
        <v>8</v>
      </c>
      <c r="AB48" s="89" t="s">
        <v>8</v>
      </c>
      <c r="AC48" s="89" t="s">
        <v>8</v>
      </c>
      <c r="AD48" s="89" t="s">
        <v>8</v>
      </c>
      <c r="AE48" s="89" t="s">
        <v>8</v>
      </c>
    </row>
    <row r="49" spans="1:31" ht="11.45" customHeight="1" x14ac:dyDescent="0.25">
      <c r="A49" s="85" t="s">
        <v>49</v>
      </c>
      <c r="B49" s="86" t="s">
        <v>8</v>
      </c>
      <c r="C49" s="86" t="s">
        <v>8</v>
      </c>
      <c r="D49" s="86" t="s">
        <v>8</v>
      </c>
      <c r="E49" s="86" t="s">
        <v>8</v>
      </c>
      <c r="F49" s="86" t="s">
        <v>8</v>
      </c>
      <c r="G49" s="86" t="s">
        <v>8</v>
      </c>
      <c r="H49" s="86" t="s">
        <v>8</v>
      </c>
      <c r="I49" s="86" t="s">
        <v>8</v>
      </c>
      <c r="J49" s="86" t="s">
        <v>8</v>
      </c>
      <c r="K49" s="86" t="s">
        <v>8</v>
      </c>
      <c r="L49" s="86" t="s">
        <v>8</v>
      </c>
      <c r="M49" s="86" t="s">
        <v>8</v>
      </c>
      <c r="N49" s="86" t="s">
        <v>8</v>
      </c>
      <c r="O49" s="86" t="s">
        <v>8</v>
      </c>
      <c r="P49" s="86" t="s">
        <v>8</v>
      </c>
      <c r="Q49" s="86" t="s">
        <v>8</v>
      </c>
      <c r="R49" s="86" t="s">
        <v>8</v>
      </c>
      <c r="S49" s="86" t="s">
        <v>8</v>
      </c>
      <c r="T49" s="86" t="s">
        <v>8</v>
      </c>
      <c r="U49" s="86" t="s">
        <v>8</v>
      </c>
      <c r="V49" s="86" t="s">
        <v>8</v>
      </c>
      <c r="W49" s="86" t="s">
        <v>8</v>
      </c>
      <c r="X49" s="86" t="s">
        <v>8</v>
      </c>
      <c r="Y49" s="86" t="s">
        <v>8</v>
      </c>
      <c r="Z49" s="86" t="s">
        <v>8</v>
      </c>
      <c r="AA49" s="86" t="s">
        <v>8</v>
      </c>
      <c r="AB49" s="86" t="s">
        <v>8</v>
      </c>
      <c r="AC49" s="86" t="s">
        <v>8</v>
      </c>
      <c r="AD49" s="86" t="s">
        <v>8</v>
      </c>
      <c r="AE49" s="86" t="s">
        <v>8</v>
      </c>
    </row>
    <row r="51" spans="1:31" ht="11.45" customHeight="1" x14ac:dyDescent="0.25">
      <c r="A51" s="83"/>
    </row>
    <row r="52" spans="1:31" ht="11.45" customHeight="1" x14ac:dyDescent="0.25">
      <c r="A52" s="83"/>
    </row>
    <row r="53" spans="1:31" ht="11.45" customHeight="1" x14ac:dyDescent="0.25">
      <c r="A53" s="83"/>
    </row>
    <row r="54" spans="1:31" ht="11.45" customHeight="1" x14ac:dyDescent="0.25">
      <c r="A54" s="83"/>
    </row>
    <row r="55" spans="1:31" ht="11.45" customHeight="1" x14ac:dyDescent="0.25">
      <c r="A55" s="8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1F34-ABF5-48A9-847E-02034F4C9A66}">
  <dimension ref="A1:B55"/>
  <sheetViews>
    <sheetView workbookViewId="0">
      <pane xSplit="1" ySplit="10" topLeftCell="B11" activePane="bottomRight" state="frozen"/>
      <selection pane="topRight"/>
      <selection pane="bottomLeft"/>
      <selection pane="bottomRight" activeCell="B11" sqref="B11:B49"/>
    </sheetView>
  </sheetViews>
  <sheetFormatPr defaultRowHeight="11.45" customHeight="1" x14ac:dyDescent="0.25"/>
  <cols>
    <col min="1" max="1" width="29.85546875" customWidth="1"/>
    <col min="2" max="2" width="10" customWidth="1"/>
  </cols>
  <sheetData>
    <row r="1" spans="1:2" ht="11.45" customHeight="1" x14ac:dyDescent="0.25">
      <c r="A1" s="2" t="s">
        <v>0</v>
      </c>
    </row>
    <row r="2" spans="1:2" ht="11.45" customHeight="1" x14ac:dyDescent="0.25">
      <c r="A2" s="2" t="s">
        <v>1</v>
      </c>
    </row>
    <row r="3" spans="1:2" ht="11.45" customHeight="1" x14ac:dyDescent="0.25">
      <c r="A3" s="2" t="s">
        <v>2</v>
      </c>
    </row>
    <row r="5" spans="1:2" ht="11.45" customHeight="1" x14ac:dyDescent="0.25">
      <c r="A5" s="1" t="s">
        <v>3</v>
      </c>
    </row>
    <row r="6" spans="1:2" ht="11.45" customHeight="1" x14ac:dyDescent="0.25">
      <c r="A6" s="1" t="s">
        <v>4</v>
      </c>
    </row>
    <row r="7" spans="1:2" ht="11.45" customHeight="1" x14ac:dyDescent="0.25">
      <c r="A7" s="1" t="s">
        <v>5</v>
      </c>
    </row>
    <row r="8" spans="1:2" ht="11.45" customHeight="1" x14ac:dyDescent="0.25">
      <c r="A8" s="1" t="s">
        <v>6</v>
      </c>
    </row>
    <row r="10" spans="1:2" ht="11.45" customHeight="1" x14ac:dyDescent="0.25">
      <c r="A10" s="3" t="s">
        <v>7</v>
      </c>
      <c r="B10" s="11">
        <v>2024</v>
      </c>
    </row>
    <row r="11" spans="1:2" ht="11.45" customHeight="1" x14ac:dyDescent="0.25">
      <c r="A11" s="4" t="s">
        <v>9</v>
      </c>
      <c r="B11" s="13">
        <f>+IFERROR('Curr Prices'!$AE11/Q_chain_2020!$AE11,1)</f>
        <v>1.2364719033385374</v>
      </c>
    </row>
    <row r="12" spans="1:2" ht="11.45" customHeight="1" x14ac:dyDescent="0.25">
      <c r="A12" s="4" t="s">
        <v>12</v>
      </c>
      <c r="B12" s="13">
        <f>+IFERROR('Curr Prices'!$AE12/Q_chain_2020!$AE12,1)</f>
        <v>1</v>
      </c>
    </row>
    <row r="13" spans="1:2" ht="11.45" customHeight="1" x14ac:dyDescent="0.25">
      <c r="A13" s="4" t="s">
        <v>13</v>
      </c>
      <c r="B13" s="13">
        <f>+IFERROR('Curr Prices'!$AE13/Q_chain_2020!$AE13,1)</f>
        <v>1.3187950373561956</v>
      </c>
    </row>
    <row r="14" spans="1:2" ht="11.45" customHeight="1" x14ac:dyDescent="0.25">
      <c r="A14" s="4" t="s">
        <v>14</v>
      </c>
      <c r="B14" s="13">
        <f>+IFERROR('Curr Prices'!$AE14/Q_chain_2020!$AE14,1)</f>
        <v>1.1692327844372656</v>
      </c>
    </row>
    <row r="15" spans="1:2" ht="11.45" customHeight="1" x14ac:dyDescent="0.25">
      <c r="A15" s="4" t="s">
        <v>15</v>
      </c>
      <c r="B15" s="13">
        <f>+IFERROR('Curr Prices'!$AE15/Q_chain_2020!$AE15,1)</f>
        <v>1.2174056623011751</v>
      </c>
    </row>
    <row r="16" spans="1:2" ht="11.45" customHeight="1" x14ac:dyDescent="0.25">
      <c r="A16" s="4" t="s">
        <v>16</v>
      </c>
      <c r="B16" s="13">
        <f>+IFERROR('Curr Prices'!$AE16/Q_chain_2020!$AE16,1)</f>
        <v>1.3460295158331559</v>
      </c>
    </row>
    <row r="17" spans="1:2" ht="11.45" customHeight="1" x14ac:dyDescent="0.25">
      <c r="A17" s="4" t="s">
        <v>17</v>
      </c>
      <c r="B17" s="13">
        <f>+IFERROR('Curr Prices'!$AE17/Q_chain_2020!$AE17,1)</f>
        <v>1</v>
      </c>
    </row>
    <row r="18" spans="1:2" ht="11.45" customHeight="1" x14ac:dyDescent="0.25">
      <c r="A18" s="4" t="s">
        <v>18</v>
      </c>
      <c r="B18" s="13">
        <f>+IFERROR('Curr Prices'!$AE18/Q_chain_2020!$AE18,1)</f>
        <v>1.2136326908825703</v>
      </c>
    </row>
    <row r="19" spans="1:2" ht="11.45" customHeight="1" x14ac:dyDescent="0.25">
      <c r="A19" s="4" t="s">
        <v>19</v>
      </c>
      <c r="B19" s="13">
        <f>+IFERROR('Curr Prices'!$AE19/Q_chain_2020!$AE19,1)</f>
        <v>1</v>
      </c>
    </row>
    <row r="20" spans="1:2" ht="11.45" customHeight="1" x14ac:dyDescent="0.25">
      <c r="A20" s="4" t="s">
        <v>20</v>
      </c>
      <c r="B20" s="13">
        <f>+IFERROR('Curr Prices'!$AE20/Q_chain_2020!$AE20,1)</f>
        <v>1.1365512829331468</v>
      </c>
    </row>
    <row r="21" spans="1:2" ht="11.45" customHeight="1" x14ac:dyDescent="0.25">
      <c r="A21" s="4" t="s">
        <v>21</v>
      </c>
      <c r="B21" s="13">
        <f>+IFERROR('Curr Prices'!$AE21/Q_chain_2020!$AE21,1)</f>
        <v>1</v>
      </c>
    </row>
    <row r="22" spans="1:2" ht="11.45" customHeight="1" x14ac:dyDescent="0.25">
      <c r="A22" s="4" t="s">
        <v>22</v>
      </c>
      <c r="B22" s="13">
        <f>+IFERROR('Curr Prices'!$AE22/Q_chain_2020!$AE22,1)</f>
        <v>1</v>
      </c>
    </row>
    <row r="23" spans="1:2" ht="11.45" customHeight="1" x14ac:dyDescent="0.25">
      <c r="A23" s="4" t="s">
        <v>23</v>
      </c>
      <c r="B23" s="13">
        <f>+IFERROR('Curr Prices'!$AE23/Q_chain_2020!$AE23,1)</f>
        <v>1</v>
      </c>
    </row>
    <row r="24" spans="1:2" ht="11.45" customHeight="1" x14ac:dyDescent="0.25">
      <c r="A24" s="4" t="s">
        <v>24</v>
      </c>
      <c r="B24" s="13">
        <f>+IFERROR('Curr Prices'!$AE24/Q_chain_2020!$AE24,1)</f>
        <v>1.3208995933034597</v>
      </c>
    </row>
    <row r="25" spans="1:2" ht="11.45" customHeight="1" x14ac:dyDescent="0.25">
      <c r="A25" s="4" t="s">
        <v>25</v>
      </c>
      <c r="B25" s="13">
        <f>+IFERROR('Curr Prices'!$AE25/Q_chain_2020!$AE25,1)</f>
        <v>1</v>
      </c>
    </row>
    <row r="26" spans="1:2" ht="11.45" customHeight="1" x14ac:dyDescent="0.25">
      <c r="A26" s="4" t="s">
        <v>26</v>
      </c>
      <c r="B26" s="13">
        <f>+IFERROR('Curr Prices'!$AE26/Q_chain_2020!$AE26,1)</f>
        <v>1.252322721743681</v>
      </c>
    </row>
    <row r="27" spans="1:2" ht="11.45" customHeight="1" x14ac:dyDescent="0.25">
      <c r="A27" s="4" t="s">
        <v>27</v>
      </c>
      <c r="B27" s="13">
        <f>+IFERROR('Curr Prices'!$AE27/Q_chain_2020!$AE27,1)</f>
        <v>1.3552798285584422</v>
      </c>
    </row>
    <row r="28" spans="1:2" ht="11.45" customHeight="1" x14ac:dyDescent="0.25">
      <c r="A28" s="4" t="s">
        <v>28</v>
      </c>
      <c r="B28" s="13">
        <f>+IFERROR('Curr Prices'!$AE28/Q_chain_2020!$AE28,1)</f>
        <v>1</v>
      </c>
    </row>
    <row r="29" spans="1:2" ht="11.45" customHeight="1" x14ac:dyDescent="0.25">
      <c r="A29" s="4" t="s">
        <v>29</v>
      </c>
      <c r="B29" s="13">
        <f>+IFERROR('Curr Prices'!$AE29/Q_chain_2020!$AE29,1)</f>
        <v>1.2372706715585178</v>
      </c>
    </row>
    <row r="30" spans="1:2" ht="11.45" customHeight="1" x14ac:dyDescent="0.25">
      <c r="A30" s="4" t="s">
        <v>30</v>
      </c>
      <c r="B30" s="13">
        <f>+IFERROR('Curr Prices'!$AE30/Q_chain_2020!$AE30,1)</f>
        <v>1.2390767236004432</v>
      </c>
    </row>
    <row r="31" spans="1:2" ht="11.45" customHeight="1" x14ac:dyDescent="0.25">
      <c r="A31" s="4" t="s">
        <v>31</v>
      </c>
      <c r="B31" s="13">
        <f>+IFERROR('Curr Prices'!$AE31/Q_chain_2020!$AE31,1)</f>
        <v>1</v>
      </c>
    </row>
    <row r="32" spans="1:2" ht="11.45" customHeight="1" x14ac:dyDescent="0.25">
      <c r="A32" s="4" t="s">
        <v>32</v>
      </c>
      <c r="B32" s="13">
        <f>+IFERROR('Curr Prices'!$AE32/Q_chain_2020!$AE32,1)</f>
        <v>1</v>
      </c>
    </row>
    <row r="33" spans="1:2" ht="11.45" customHeight="1" x14ac:dyDescent="0.25">
      <c r="A33" s="4" t="s">
        <v>33</v>
      </c>
      <c r="B33" s="13">
        <f>+IFERROR('Curr Prices'!$AE33/Q_chain_2020!$AE33,1)</f>
        <v>1.4185507061365039</v>
      </c>
    </row>
    <row r="34" spans="1:2" ht="11.45" customHeight="1" x14ac:dyDescent="0.25">
      <c r="A34" s="4" t="s">
        <v>34</v>
      </c>
      <c r="B34" s="13">
        <f>+IFERROR('Curr Prices'!$AE34/Q_chain_2020!$AE34,1)</f>
        <v>1</v>
      </c>
    </row>
    <row r="35" spans="1:2" ht="11.45" customHeight="1" x14ac:dyDescent="0.25">
      <c r="A35" s="4" t="s">
        <v>35</v>
      </c>
      <c r="B35" s="13">
        <f>+IFERROR('Curr Prices'!$AE35/Q_chain_2020!$AE35,1)</f>
        <v>1</v>
      </c>
    </row>
    <row r="36" spans="1:2" ht="11.45" customHeight="1" x14ac:dyDescent="0.25">
      <c r="A36" s="4" t="s">
        <v>36</v>
      </c>
      <c r="B36" s="13">
        <f>+IFERROR('Curr Prices'!$AE36/Q_chain_2020!$AE36,1)</f>
        <v>1.1812373548183353</v>
      </c>
    </row>
    <row r="37" spans="1:2" ht="11.45" customHeight="1" x14ac:dyDescent="0.25">
      <c r="A37" s="4" t="s">
        <v>37</v>
      </c>
      <c r="B37" s="13">
        <f>+IFERROR('Curr Prices'!$AE37/Q_chain_2020!$AE37,1)</f>
        <v>1</v>
      </c>
    </row>
    <row r="38" spans="1:2" ht="11.45" customHeight="1" x14ac:dyDescent="0.25">
      <c r="A38" s="4" t="s">
        <v>38</v>
      </c>
      <c r="B38" s="13">
        <f>+IFERROR('Curr Prices'!$AE38/Q_chain_2020!$AE38,1)</f>
        <v>1</v>
      </c>
    </row>
    <row r="39" spans="1:2" ht="11.45" customHeight="1" x14ac:dyDescent="0.25">
      <c r="A39" s="4" t="s">
        <v>39</v>
      </c>
      <c r="B39" s="13">
        <f>+IFERROR('Curr Prices'!$AE39/Q_chain_2020!$AE39,1)</f>
        <v>1</v>
      </c>
    </row>
    <row r="40" spans="1:2" ht="11.45" customHeight="1" x14ac:dyDescent="0.25">
      <c r="A40" s="4" t="s">
        <v>40</v>
      </c>
      <c r="B40" s="13">
        <f>+IFERROR('Curr Prices'!$AE40/Q_chain_2020!$AE40,1)</f>
        <v>1</v>
      </c>
    </row>
    <row r="41" spans="1:2" ht="11.45" customHeight="1" x14ac:dyDescent="0.25">
      <c r="A41" s="4" t="s">
        <v>41</v>
      </c>
      <c r="B41" s="13">
        <f>+IFERROR('Curr Prices'!$AE41/Q_chain_2020!$AE41,1)</f>
        <v>1</v>
      </c>
    </row>
    <row r="42" spans="1:2" ht="11.45" customHeight="1" x14ac:dyDescent="0.25">
      <c r="A42" s="4" t="s">
        <v>42</v>
      </c>
      <c r="B42" s="13">
        <f>+IFERROR('Curr Prices'!$AE42/Q_chain_2020!$AE42,1)</f>
        <v>1</v>
      </c>
    </row>
    <row r="43" spans="1:2" ht="11.45" customHeight="1" x14ac:dyDescent="0.25">
      <c r="A43" s="4" t="s">
        <v>43</v>
      </c>
      <c r="B43" s="13">
        <f>+IFERROR('Curr Prices'!$AE43/Q_chain_2020!$AE43,1)</f>
        <v>1</v>
      </c>
    </row>
    <row r="44" spans="1:2" ht="11.45" customHeight="1" x14ac:dyDescent="0.25">
      <c r="A44" s="4" t="s">
        <v>44</v>
      </c>
      <c r="B44" s="13">
        <f>+IFERROR('Curr Prices'!$AE44/Q_chain_2020!$AE44,1)</f>
        <v>1</v>
      </c>
    </row>
    <row r="45" spans="1:2" ht="11.45" customHeight="1" x14ac:dyDescent="0.25">
      <c r="A45" s="4" t="s">
        <v>45</v>
      </c>
      <c r="B45" s="13">
        <f>+IFERROR('Curr Prices'!$AE45/Q_chain_2020!$AE45,1)</f>
        <v>1</v>
      </c>
    </row>
    <row r="46" spans="1:2" ht="11.45" customHeight="1" x14ac:dyDescent="0.25">
      <c r="A46" s="4" t="s">
        <v>46</v>
      </c>
      <c r="B46" s="13">
        <f>+IFERROR('Curr Prices'!$AE46/Q_chain_2020!$AE46,1)</f>
        <v>1</v>
      </c>
    </row>
    <row r="47" spans="1:2" ht="11.45" customHeight="1" x14ac:dyDescent="0.25">
      <c r="A47" s="4" t="s">
        <v>47</v>
      </c>
      <c r="B47" s="13">
        <f>+IFERROR('Curr Prices'!$AE47/Q_chain_2020!$AE47,1)</f>
        <v>1.3837094722016761</v>
      </c>
    </row>
    <row r="48" spans="1:2" ht="11.45" customHeight="1" x14ac:dyDescent="0.25">
      <c r="A48" s="4" t="s">
        <v>48</v>
      </c>
      <c r="B48" s="13">
        <f>+IFERROR('Curr Prices'!$AE48/Q_chain_2020!$AE48,1)</f>
        <v>1</v>
      </c>
    </row>
    <row r="49" spans="1:2" ht="11.45" customHeight="1" x14ac:dyDescent="0.25">
      <c r="A49" s="4" t="s">
        <v>49</v>
      </c>
      <c r="B49" s="13">
        <f>+IFERROR('Curr Prices'!$AE49/Q_chain_2020!$AE49,1)</f>
        <v>1</v>
      </c>
    </row>
    <row r="51" spans="1:2" ht="11.45" customHeight="1" x14ac:dyDescent="0.25">
      <c r="A51" s="1" t="s">
        <v>50</v>
      </c>
    </row>
    <row r="52" spans="1:2" ht="11.45" customHeight="1" x14ac:dyDescent="0.25">
      <c r="A52" s="1" t="s">
        <v>8</v>
      </c>
    </row>
    <row r="53" spans="1:2" ht="11.45" customHeight="1" x14ac:dyDescent="0.25">
      <c r="A53" s="1" t="s">
        <v>51</v>
      </c>
    </row>
    <row r="54" spans="1:2" ht="11.45" customHeight="1" x14ac:dyDescent="0.25">
      <c r="A54" s="1" t="s">
        <v>10</v>
      </c>
    </row>
    <row r="55" spans="1:2" ht="11.45" customHeight="1" x14ac:dyDescent="0.25">
      <c r="A55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BE1C0-9FAD-4A85-AF71-4068BF449262}">
  <dimension ref="A1:AE56"/>
  <sheetViews>
    <sheetView workbookViewId="0">
      <pane xSplit="1" ySplit="10" topLeftCell="I11" activePane="bottomRight" state="frozen"/>
      <selection pane="topRight"/>
      <selection pane="bottomLeft"/>
      <selection pane="bottomRight" activeCell="T26" sqref="T26:AC26"/>
    </sheetView>
  </sheetViews>
  <sheetFormatPr defaultColWidth="9.140625" defaultRowHeight="11.45" customHeight="1" x14ac:dyDescent="0.25"/>
  <cols>
    <col min="1" max="1" width="41.42578125" style="15" customWidth="1"/>
    <col min="2" max="31" width="10" style="15" customWidth="1"/>
    <col min="32" max="16384" width="9.140625" style="15"/>
  </cols>
  <sheetData>
    <row r="1" spans="1:31" ht="11.45" customHeight="1" x14ac:dyDescent="0.25">
      <c r="A1" s="14" t="s">
        <v>52</v>
      </c>
    </row>
    <row r="2" spans="1:31" ht="11.45" customHeight="1" x14ac:dyDescent="0.25">
      <c r="A2" s="14" t="s">
        <v>1</v>
      </c>
    </row>
    <row r="3" spans="1:31" ht="11.45" customHeight="1" x14ac:dyDescent="0.25">
      <c r="A3" s="14" t="s">
        <v>2</v>
      </c>
    </row>
    <row r="5" spans="1:31" ht="11.45" customHeight="1" x14ac:dyDescent="0.25">
      <c r="A5" s="16" t="s">
        <v>3</v>
      </c>
    </row>
    <row r="6" spans="1:31" ht="11.45" customHeight="1" x14ac:dyDescent="0.25">
      <c r="A6" s="16" t="s">
        <v>4</v>
      </c>
    </row>
    <row r="7" spans="1:31" ht="11.45" customHeight="1" x14ac:dyDescent="0.25">
      <c r="A7" s="16" t="s">
        <v>5</v>
      </c>
    </row>
    <row r="8" spans="1:31" ht="11.45" customHeight="1" x14ac:dyDescent="0.25">
      <c r="A8" s="16" t="s">
        <v>6</v>
      </c>
    </row>
    <row r="10" spans="1:31" ht="11.45" customHeight="1" x14ac:dyDescent="0.25">
      <c r="A10" s="17" t="s">
        <v>7</v>
      </c>
      <c r="B10" s="18">
        <v>1995</v>
      </c>
      <c r="C10" s="18">
        <v>1996</v>
      </c>
      <c r="D10" s="18">
        <v>1997</v>
      </c>
      <c r="E10" s="18">
        <v>1998</v>
      </c>
      <c r="F10" s="18">
        <v>1999</v>
      </c>
      <c r="G10" s="18">
        <v>2000</v>
      </c>
      <c r="H10" s="18">
        <v>2001</v>
      </c>
      <c r="I10" s="18">
        <v>2002</v>
      </c>
      <c r="J10" s="18">
        <v>2003</v>
      </c>
      <c r="K10" s="18">
        <v>2004</v>
      </c>
      <c r="L10" s="18">
        <v>2005</v>
      </c>
      <c r="M10" s="18">
        <v>2006</v>
      </c>
      <c r="N10" s="18">
        <v>2007</v>
      </c>
      <c r="O10" s="18">
        <v>2008</v>
      </c>
      <c r="P10" s="18">
        <v>2009</v>
      </c>
      <c r="Q10" s="18">
        <v>2010</v>
      </c>
      <c r="R10" s="18">
        <v>2011</v>
      </c>
      <c r="S10" s="18">
        <v>2012</v>
      </c>
      <c r="T10" s="18">
        <v>2013</v>
      </c>
      <c r="U10" s="18">
        <v>2014</v>
      </c>
      <c r="V10" s="18">
        <v>2015</v>
      </c>
      <c r="W10" s="18">
        <v>2016</v>
      </c>
      <c r="X10" s="18">
        <v>2017</v>
      </c>
      <c r="Y10" s="18">
        <v>2018</v>
      </c>
      <c r="Z10" s="18">
        <v>2019</v>
      </c>
      <c r="AA10" s="18">
        <v>2020</v>
      </c>
      <c r="AB10" s="18">
        <v>2021</v>
      </c>
      <c r="AC10" s="18">
        <v>2022</v>
      </c>
      <c r="AD10" s="18">
        <v>2023</v>
      </c>
      <c r="AE10" s="18">
        <v>2024</v>
      </c>
    </row>
    <row r="11" spans="1:31" ht="11.45" customHeight="1" x14ac:dyDescent="0.25">
      <c r="A11" s="19" t="s">
        <v>9</v>
      </c>
      <c r="B11" s="20">
        <v>435631.7</v>
      </c>
      <c r="C11" s="20">
        <v>437580.2</v>
      </c>
      <c r="D11" s="20">
        <v>450177.6</v>
      </c>
      <c r="E11" s="21">
        <v>469496</v>
      </c>
      <c r="F11" s="20">
        <v>495898.5</v>
      </c>
      <c r="G11" s="20">
        <v>531625.1</v>
      </c>
      <c r="H11" s="20">
        <v>552759.4</v>
      </c>
      <c r="I11" s="20">
        <v>554917.30000000005</v>
      </c>
      <c r="J11" s="20">
        <v>560163.19999999995</v>
      </c>
      <c r="K11" s="20">
        <v>596124.5</v>
      </c>
      <c r="L11" s="20">
        <v>627644.9</v>
      </c>
      <c r="M11" s="20">
        <v>672337.3</v>
      </c>
      <c r="N11" s="20">
        <v>714294.2</v>
      </c>
      <c r="O11" s="20">
        <v>748382.9</v>
      </c>
      <c r="P11" s="20">
        <v>698820.4</v>
      </c>
      <c r="Q11" s="20">
        <v>753636.2</v>
      </c>
      <c r="R11" s="20">
        <v>810495.9</v>
      </c>
      <c r="S11" s="20">
        <v>827307.3</v>
      </c>
      <c r="T11" s="20">
        <v>829212.5</v>
      </c>
      <c r="U11" s="20">
        <v>842493.9</v>
      </c>
      <c r="V11" s="20">
        <v>851794.2</v>
      </c>
      <c r="W11" s="20">
        <v>874749.2</v>
      </c>
      <c r="X11" s="20">
        <v>918111.2</v>
      </c>
      <c r="Y11" s="20">
        <v>959974.2</v>
      </c>
      <c r="Z11" s="20">
        <v>996037.6</v>
      </c>
      <c r="AA11" s="20">
        <v>940992.2</v>
      </c>
      <c r="AB11" s="20">
        <v>1093235.2</v>
      </c>
      <c r="AC11" s="20">
        <v>1239048.8</v>
      </c>
      <c r="AD11" s="20">
        <v>1266093.6000000001</v>
      </c>
      <c r="AE11" s="20">
        <v>1291294.1000000001</v>
      </c>
    </row>
    <row r="12" spans="1:31" ht="11.45" customHeight="1" x14ac:dyDescent="0.25">
      <c r="A12" s="19" t="s">
        <v>12</v>
      </c>
      <c r="B12" s="22">
        <v>26401</v>
      </c>
      <c r="C12" s="23">
        <v>18128.099999999999</v>
      </c>
      <c r="D12" s="23">
        <v>21181.5</v>
      </c>
      <c r="E12" s="22">
        <v>26727</v>
      </c>
      <c r="F12" s="23">
        <v>24878.799999999999</v>
      </c>
      <c r="G12" s="23">
        <v>28945.599999999999</v>
      </c>
      <c r="H12" s="23">
        <v>32614.400000000001</v>
      </c>
      <c r="I12" s="22">
        <v>35139</v>
      </c>
      <c r="J12" s="23">
        <v>38228.6</v>
      </c>
      <c r="K12" s="22">
        <v>44764</v>
      </c>
      <c r="L12" s="23">
        <v>52007.1</v>
      </c>
      <c r="M12" s="23">
        <v>61037.3</v>
      </c>
      <c r="N12" s="23">
        <v>73357.7</v>
      </c>
      <c r="O12" s="23">
        <v>83038.3</v>
      </c>
      <c r="P12" s="23">
        <v>78573.100000000006</v>
      </c>
      <c r="Q12" s="23">
        <v>79100.899999999994</v>
      </c>
      <c r="R12" s="23">
        <v>87229.5</v>
      </c>
      <c r="S12" s="23">
        <v>89273.3</v>
      </c>
      <c r="T12" s="23">
        <v>86835.6</v>
      </c>
      <c r="U12" s="23">
        <v>92181.3</v>
      </c>
      <c r="V12" s="23">
        <v>96466.7</v>
      </c>
      <c r="W12" s="23">
        <v>96102.3</v>
      </c>
      <c r="X12" s="23">
        <v>105334.39999999999</v>
      </c>
      <c r="Y12" s="22">
        <v>114437</v>
      </c>
      <c r="Z12" s="23">
        <v>122472.3</v>
      </c>
      <c r="AA12" s="23">
        <v>121840.5</v>
      </c>
      <c r="AB12" s="23">
        <v>142869.6</v>
      </c>
      <c r="AC12" s="23">
        <v>181107.1</v>
      </c>
      <c r="AD12" s="23">
        <v>186922.5</v>
      </c>
      <c r="AE12" s="23">
        <v>199793.7</v>
      </c>
    </row>
    <row r="13" spans="1:31" ht="11.45" customHeight="1" x14ac:dyDescent="0.25">
      <c r="A13" s="19" t="s">
        <v>13</v>
      </c>
      <c r="B13" s="20">
        <v>100603.4</v>
      </c>
      <c r="C13" s="20">
        <v>114187.6</v>
      </c>
      <c r="D13" s="20">
        <v>121777.5</v>
      </c>
      <c r="E13" s="20">
        <v>131468.6</v>
      </c>
      <c r="F13" s="20">
        <v>132446.5</v>
      </c>
      <c r="G13" s="21">
        <v>150001</v>
      </c>
      <c r="H13" s="20">
        <v>170366.4</v>
      </c>
      <c r="I13" s="20">
        <v>194577.2</v>
      </c>
      <c r="J13" s="20">
        <v>202800.2</v>
      </c>
      <c r="K13" s="20">
        <v>222404.8</v>
      </c>
      <c r="L13" s="20">
        <v>252930.3</v>
      </c>
      <c r="M13" s="20">
        <v>296525.59999999998</v>
      </c>
      <c r="N13" s="20">
        <v>333937.2</v>
      </c>
      <c r="O13" s="20">
        <v>386805.1</v>
      </c>
      <c r="P13" s="20">
        <v>336540.8</v>
      </c>
      <c r="Q13" s="21">
        <v>369796</v>
      </c>
      <c r="R13" s="20">
        <v>397457.6</v>
      </c>
      <c r="S13" s="20">
        <v>385671.5</v>
      </c>
      <c r="T13" s="20">
        <v>374629.4</v>
      </c>
      <c r="U13" s="20">
        <v>372688.7</v>
      </c>
      <c r="V13" s="20">
        <v>392787.6</v>
      </c>
      <c r="W13" s="20">
        <v>403907.5</v>
      </c>
      <c r="X13" s="20">
        <v>445762.9</v>
      </c>
      <c r="Y13" s="20">
        <v>484885.1</v>
      </c>
      <c r="Z13" s="20">
        <v>505920.5</v>
      </c>
      <c r="AA13" s="20">
        <v>474024.3</v>
      </c>
      <c r="AB13" s="20">
        <v>546775.69999999995</v>
      </c>
      <c r="AC13" s="20">
        <v>662320.80000000005</v>
      </c>
      <c r="AD13" s="20">
        <v>706405.2</v>
      </c>
      <c r="AE13" s="20">
        <v>705976.7</v>
      </c>
    </row>
    <row r="14" spans="1:31" ht="11.45" customHeight="1" x14ac:dyDescent="0.25">
      <c r="A14" s="19" t="s">
        <v>14</v>
      </c>
      <c r="B14" s="23">
        <v>230019.8</v>
      </c>
      <c r="C14" s="23">
        <v>239327.1</v>
      </c>
      <c r="D14" s="23">
        <v>248135.3</v>
      </c>
      <c r="E14" s="23">
        <v>255378.8</v>
      </c>
      <c r="F14" s="23">
        <v>270984.90000000002</v>
      </c>
      <c r="G14" s="23">
        <v>295904.59999999998</v>
      </c>
      <c r="H14" s="23">
        <v>311351.3</v>
      </c>
      <c r="I14" s="23">
        <v>319094.09999999998</v>
      </c>
      <c r="J14" s="23">
        <v>322326.40000000002</v>
      </c>
      <c r="K14" s="23">
        <v>335873.2</v>
      </c>
      <c r="L14" s="22">
        <v>362981</v>
      </c>
      <c r="M14" s="23">
        <v>392511.3</v>
      </c>
      <c r="N14" s="23">
        <v>415953.2</v>
      </c>
      <c r="O14" s="23">
        <v>438721.7</v>
      </c>
      <c r="P14" s="23">
        <v>404759.6</v>
      </c>
      <c r="Q14" s="23">
        <v>419961.1</v>
      </c>
      <c r="R14" s="23">
        <v>438363.1</v>
      </c>
      <c r="S14" s="22">
        <v>453169</v>
      </c>
      <c r="T14" s="22">
        <v>456335</v>
      </c>
      <c r="U14" s="23">
        <v>466934.6</v>
      </c>
      <c r="V14" s="23">
        <v>478197.7</v>
      </c>
      <c r="W14" s="23">
        <v>492163.6</v>
      </c>
      <c r="X14" s="22">
        <v>516314</v>
      </c>
      <c r="Y14" s="23">
        <v>532646.80000000005</v>
      </c>
      <c r="Z14" s="22">
        <v>547927</v>
      </c>
      <c r="AA14" s="23">
        <v>544046.5</v>
      </c>
      <c r="AB14" s="23">
        <v>606614.19999999995</v>
      </c>
      <c r="AC14" s="23">
        <v>706280.6</v>
      </c>
      <c r="AD14" s="23">
        <v>686495.7</v>
      </c>
      <c r="AE14" s="23">
        <v>714098.4</v>
      </c>
    </row>
    <row r="15" spans="1:31" ht="11.45" customHeight="1" x14ac:dyDescent="0.25">
      <c r="A15" s="19" t="s">
        <v>15</v>
      </c>
      <c r="B15" s="20">
        <v>3363289.1</v>
      </c>
      <c r="C15" s="20">
        <v>3353881.3</v>
      </c>
      <c r="D15" s="20">
        <v>3352643.3</v>
      </c>
      <c r="E15" s="20">
        <v>3457810.3</v>
      </c>
      <c r="F15" s="21">
        <v>3604164</v>
      </c>
      <c r="G15" s="21">
        <v>3785177</v>
      </c>
      <c r="H15" s="21">
        <v>3901673</v>
      </c>
      <c r="I15" s="21">
        <v>3896441</v>
      </c>
      <c r="J15" s="21">
        <v>3963842</v>
      </c>
      <c r="K15" s="21">
        <v>4093053</v>
      </c>
      <c r="L15" s="21">
        <v>4229317</v>
      </c>
      <c r="M15" s="21">
        <v>4473332</v>
      </c>
      <c r="N15" s="21">
        <v>4723700</v>
      </c>
      <c r="O15" s="21">
        <v>4891666</v>
      </c>
      <c r="P15" s="21">
        <v>4555414</v>
      </c>
      <c r="Q15" s="21">
        <v>4875375</v>
      </c>
      <c r="R15" s="21">
        <v>5218900</v>
      </c>
      <c r="S15" s="21">
        <v>5259518</v>
      </c>
      <c r="T15" s="21">
        <v>5307190</v>
      </c>
      <c r="U15" s="21">
        <v>5484187</v>
      </c>
      <c r="V15" s="21">
        <v>5617824</v>
      </c>
      <c r="W15" s="21">
        <v>5765492</v>
      </c>
      <c r="X15" s="21">
        <v>6056270</v>
      </c>
      <c r="Y15" s="21">
        <v>6317725</v>
      </c>
      <c r="Z15" s="21">
        <v>6491932</v>
      </c>
      <c r="AA15" s="21">
        <v>6329832</v>
      </c>
      <c r="AB15" s="21">
        <v>6856211</v>
      </c>
      <c r="AC15" s="21">
        <v>7817428</v>
      </c>
      <c r="AD15" s="21">
        <v>8127610</v>
      </c>
      <c r="AE15" s="21">
        <v>8190679</v>
      </c>
    </row>
    <row r="16" spans="1:31" ht="11.45" customHeight="1" x14ac:dyDescent="0.25">
      <c r="A16" s="19" t="s">
        <v>16</v>
      </c>
      <c r="B16" s="23">
        <v>6184.2</v>
      </c>
      <c r="C16" s="23">
        <v>7514.6</v>
      </c>
      <c r="D16" s="23">
        <v>9282.4</v>
      </c>
      <c r="E16" s="23">
        <v>10523.7</v>
      </c>
      <c r="F16" s="23">
        <v>10868.4</v>
      </c>
      <c r="G16" s="23">
        <v>12760.7</v>
      </c>
      <c r="H16" s="23">
        <v>14597.5</v>
      </c>
      <c r="I16" s="23">
        <v>16202.2</v>
      </c>
      <c r="J16" s="23">
        <v>17801.7</v>
      </c>
      <c r="K16" s="23">
        <v>20023.5</v>
      </c>
      <c r="L16" s="22">
        <v>23113</v>
      </c>
      <c r="M16" s="22">
        <v>27203</v>
      </c>
      <c r="N16" s="23">
        <v>32154.3</v>
      </c>
      <c r="O16" s="23">
        <v>33136.6</v>
      </c>
      <c r="P16" s="23">
        <v>26405.9</v>
      </c>
      <c r="Q16" s="23">
        <v>29429.1</v>
      </c>
      <c r="R16" s="23">
        <v>34476.9</v>
      </c>
      <c r="S16" s="22">
        <v>37094</v>
      </c>
      <c r="T16" s="23">
        <v>39250.9</v>
      </c>
      <c r="U16" s="23">
        <v>40669.4</v>
      </c>
      <c r="V16" s="23">
        <v>41229.699999999997</v>
      </c>
      <c r="W16" s="23">
        <v>43024.2</v>
      </c>
      <c r="X16" s="23">
        <v>47336.3</v>
      </c>
      <c r="Y16" s="23">
        <v>51646.7</v>
      </c>
      <c r="Z16" s="23">
        <v>55399.3</v>
      </c>
      <c r="AA16" s="23">
        <v>53980.6</v>
      </c>
      <c r="AB16" s="23">
        <v>62643.7</v>
      </c>
      <c r="AC16" s="23">
        <v>75694.600000000006</v>
      </c>
      <c r="AD16" s="23">
        <v>77033.100000000006</v>
      </c>
      <c r="AE16" s="23">
        <v>78365.3</v>
      </c>
    </row>
    <row r="17" spans="1:31" ht="11.45" customHeight="1" x14ac:dyDescent="0.25">
      <c r="A17" s="19" t="s">
        <v>17</v>
      </c>
      <c r="B17" s="20">
        <v>110175.2</v>
      </c>
      <c r="C17" s="20">
        <v>122121.4</v>
      </c>
      <c r="D17" s="20">
        <v>150984.1</v>
      </c>
      <c r="E17" s="20">
        <v>169828.1</v>
      </c>
      <c r="F17" s="20">
        <v>191831.3</v>
      </c>
      <c r="G17" s="20">
        <v>223420.3</v>
      </c>
      <c r="H17" s="20">
        <v>253658.1</v>
      </c>
      <c r="I17" s="20">
        <v>272849.8</v>
      </c>
      <c r="J17" s="20">
        <v>294245.2</v>
      </c>
      <c r="K17" s="20">
        <v>314754.7</v>
      </c>
      <c r="L17" s="20">
        <v>345133.1</v>
      </c>
      <c r="M17" s="20">
        <v>386387.5</v>
      </c>
      <c r="N17" s="20">
        <v>419441.3</v>
      </c>
      <c r="O17" s="20">
        <v>421614.9</v>
      </c>
      <c r="P17" s="20">
        <v>373054.1</v>
      </c>
      <c r="Q17" s="20">
        <v>350768.4</v>
      </c>
      <c r="R17" s="20">
        <v>333306.5</v>
      </c>
      <c r="S17" s="20">
        <v>373970.9</v>
      </c>
      <c r="T17" s="20">
        <v>389143.6</v>
      </c>
      <c r="U17" s="20">
        <v>417385.2</v>
      </c>
      <c r="V17" s="20">
        <v>517592.9</v>
      </c>
      <c r="W17" s="20">
        <v>533200.6</v>
      </c>
      <c r="X17" s="20">
        <v>575036.69999999995</v>
      </c>
      <c r="Y17" s="20">
        <v>637837.30000000005</v>
      </c>
      <c r="Z17" s="20">
        <v>684497.2</v>
      </c>
      <c r="AA17" s="20">
        <v>706976.3</v>
      </c>
      <c r="AB17" s="20">
        <v>856316.7</v>
      </c>
      <c r="AC17" s="20">
        <v>1007801.3</v>
      </c>
      <c r="AD17" s="21">
        <v>1020302</v>
      </c>
      <c r="AE17" s="20">
        <v>1127871.2</v>
      </c>
    </row>
    <row r="18" spans="1:31" ht="11.45" customHeight="1" x14ac:dyDescent="0.25">
      <c r="A18" s="19" t="s">
        <v>18</v>
      </c>
      <c r="B18" s="23">
        <v>182994.8</v>
      </c>
      <c r="C18" s="22">
        <v>197461</v>
      </c>
      <c r="D18" s="23">
        <v>209804.5</v>
      </c>
      <c r="E18" s="23">
        <v>212670.3</v>
      </c>
      <c r="F18" s="23">
        <v>228195.4</v>
      </c>
      <c r="G18" s="23">
        <v>238662.8</v>
      </c>
      <c r="H18" s="23">
        <v>252968.4</v>
      </c>
      <c r="I18" s="23">
        <v>271765.2</v>
      </c>
      <c r="J18" s="23">
        <v>290199.5</v>
      </c>
      <c r="K18" s="23">
        <v>314690.40000000002</v>
      </c>
      <c r="L18" s="23">
        <v>322951.90000000002</v>
      </c>
      <c r="M18" s="23">
        <v>356498.7</v>
      </c>
      <c r="N18" s="23">
        <v>379353.59999999998</v>
      </c>
      <c r="O18" s="23">
        <v>386992.6</v>
      </c>
      <c r="P18" s="23">
        <v>375014.2</v>
      </c>
      <c r="Q18" s="23">
        <v>354705.5</v>
      </c>
      <c r="R18" s="23">
        <v>323298.8</v>
      </c>
      <c r="S18" s="23">
        <v>304175.59999999998</v>
      </c>
      <c r="T18" s="23">
        <v>297188.90000000002</v>
      </c>
      <c r="U18" s="23">
        <v>292166.2</v>
      </c>
      <c r="V18" s="23">
        <v>289314.40000000002</v>
      </c>
      <c r="W18" s="23">
        <v>278659.7</v>
      </c>
      <c r="X18" s="23">
        <v>288662.7</v>
      </c>
      <c r="Y18" s="23">
        <v>298369.5</v>
      </c>
      <c r="Z18" s="23">
        <v>308200.40000000002</v>
      </c>
      <c r="AA18" s="22">
        <v>268864</v>
      </c>
      <c r="AB18" s="23">
        <v>311808.90000000002</v>
      </c>
      <c r="AC18" s="23">
        <v>379821.5</v>
      </c>
      <c r="AD18" s="23">
        <v>398175.9</v>
      </c>
      <c r="AE18" s="23">
        <v>413353.1</v>
      </c>
    </row>
    <row r="19" spans="1:31" ht="11.45" customHeight="1" x14ac:dyDescent="0.25">
      <c r="A19" s="19" t="s">
        <v>19</v>
      </c>
      <c r="B19" s="20">
        <v>832054.4</v>
      </c>
      <c r="C19" s="20">
        <v>900963.8</v>
      </c>
      <c r="D19" s="20">
        <v>934207.6</v>
      </c>
      <c r="E19" s="20">
        <v>995474.3</v>
      </c>
      <c r="F19" s="21">
        <v>1085147</v>
      </c>
      <c r="G19" s="21">
        <v>1210179</v>
      </c>
      <c r="H19" s="21">
        <v>1315527</v>
      </c>
      <c r="I19" s="21">
        <v>1428956</v>
      </c>
      <c r="J19" s="21">
        <v>1531685</v>
      </c>
      <c r="K19" s="21">
        <v>1656301</v>
      </c>
      <c r="L19" s="21">
        <v>1819373</v>
      </c>
      <c r="M19" s="21">
        <v>2002881</v>
      </c>
      <c r="N19" s="21">
        <v>2151601</v>
      </c>
      <c r="O19" s="21">
        <v>2182913</v>
      </c>
      <c r="P19" s="21">
        <v>1994019</v>
      </c>
      <c r="Q19" s="21">
        <v>1973881</v>
      </c>
      <c r="R19" s="21">
        <v>1966146</v>
      </c>
      <c r="S19" s="21">
        <v>1897530</v>
      </c>
      <c r="T19" s="21">
        <v>1852544</v>
      </c>
      <c r="U19" s="21">
        <v>1884381</v>
      </c>
      <c r="V19" s="21">
        <v>1939466</v>
      </c>
      <c r="W19" s="21">
        <v>1969898</v>
      </c>
      <c r="X19" s="21">
        <v>2077118</v>
      </c>
      <c r="Y19" s="21">
        <v>2171029</v>
      </c>
      <c r="Z19" s="21">
        <v>2255859</v>
      </c>
      <c r="AA19" s="21">
        <v>2030323</v>
      </c>
      <c r="AB19" s="21">
        <v>2280636</v>
      </c>
      <c r="AC19" s="21">
        <v>2664587</v>
      </c>
      <c r="AD19" s="21">
        <v>2787473</v>
      </c>
      <c r="AE19" s="21">
        <v>2946682</v>
      </c>
    </row>
    <row r="20" spans="1:31" ht="11.45" customHeight="1" x14ac:dyDescent="0.25">
      <c r="A20" s="19" t="s">
        <v>20</v>
      </c>
      <c r="B20" s="23">
        <v>2079657.8</v>
      </c>
      <c r="C20" s="23">
        <v>2135117.6</v>
      </c>
      <c r="D20" s="23">
        <v>2181019.7999999998</v>
      </c>
      <c r="E20" s="22">
        <v>2282387</v>
      </c>
      <c r="F20" s="23">
        <v>2413850.7999999998</v>
      </c>
      <c r="G20" s="23">
        <v>2622461.7000000002</v>
      </c>
      <c r="H20" s="22">
        <v>2743180</v>
      </c>
      <c r="I20" s="23">
        <v>2802455.5</v>
      </c>
      <c r="J20" s="22">
        <v>2849038</v>
      </c>
      <c r="K20" s="23">
        <v>2981543.3</v>
      </c>
      <c r="L20" s="23">
        <v>3124467.8</v>
      </c>
      <c r="M20" s="23">
        <v>3301823.7</v>
      </c>
      <c r="N20" s="23">
        <v>3480607.2</v>
      </c>
      <c r="O20" s="23">
        <v>3589021.3</v>
      </c>
      <c r="P20" s="23">
        <v>3405041.2</v>
      </c>
      <c r="Q20" s="22">
        <v>3562583</v>
      </c>
      <c r="R20" s="23">
        <v>3710048.8</v>
      </c>
      <c r="S20" s="23">
        <v>3757021.1</v>
      </c>
      <c r="T20" s="23">
        <v>3782756.6</v>
      </c>
      <c r="U20" s="22">
        <v>3824657</v>
      </c>
      <c r="V20" s="22">
        <v>3874959</v>
      </c>
      <c r="W20" s="23">
        <v>3916430.5</v>
      </c>
      <c r="X20" s="23">
        <v>4081058.4</v>
      </c>
      <c r="Y20" s="23">
        <v>4218828.5</v>
      </c>
      <c r="Z20" s="23">
        <v>4351548.9000000004</v>
      </c>
      <c r="AA20" s="23">
        <v>4075011.5</v>
      </c>
      <c r="AB20" s="23">
        <v>4520881.4000000004</v>
      </c>
      <c r="AC20" s="23">
        <v>5111526.8</v>
      </c>
      <c r="AD20" s="23">
        <v>5309979.5</v>
      </c>
      <c r="AE20" s="23">
        <v>5386541.5999999996</v>
      </c>
    </row>
    <row r="21" spans="1:31" ht="11.45" customHeight="1" x14ac:dyDescent="0.25">
      <c r="A21" s="19" t="s">
        <v>21</v>
      </c>
      <c r="B21" s="20">
        <v>32396.799999999999</v>
      </c>
      <c r="C21" s="21">
        <v>35281</v>
      </c>
      <c r="D21" s="20">
        <v>39704.800000000003</v>
      </c>
      <c r="E21" s="21">
        <v>39475</v>
      </c>
      <c r="F21" s="20">
        <v>37954.800000000003</v>
      </c>
      <c r="G21" s="20">
        <v>40104.1</v>
      </c>
      <c r="H21" s="20">
        <v>44063.7</v>
      </c>
      <c r="I21" s="20">
        <v>49086.3</v>
      </c>
      <c r="J21" s="20">
        <v>53556.1</v>
      </c>
      <c r="K21" s="20">
        <v>58924.5</v>
      </c>
      <c r="L21" s="20">
        <v>65293.9</v>
      </c>
      <c r="M21" s="20">
        <v>72846.2</v>
      </c>
      <c r="N21" s="20">
        <v>80016.7</v>
      </c>
      <c r="O21" s="20">
        <v>86574.399999999994</v>
      </c>
      <c r="P21" s="20">
        <v>79511.199999999997</v>
      </c>
      <c r="Q21" s="20">
        <v>78010.399999999994</v>
      </c>
      <c r="R21" s="20">
        <v>78937.2</v>
      </c>
      <c r="S21" s="21">
        <v>77220</v>
      </c>
      <c r="T21" s="20">
        <v>75435.3</v>
      </c>
      <c r="U21" s="20">
        <v>74268.100000000006</v>
      </c>
      <c r="V21" s="20">
        <v>75870.2</v>
      </c>
      <c r="W21" s="20">
        <v>79248.5</v>
      </c>
      <c r="X21" s="20">
        <v>84003.8</v>
      </c>
      <c r="Y21" s="20">
        <v>89307.3</v>
      </c>
      <c r="Z21" s="20">
        <v>92202.7</v>
      </c>
      <c r="AA21" s="20">
        <v>84455.6</v>
      </c>
      <c r="AB21" s="20">
        <v>98916.1</v>
      </c>
      <c r="AC21" s="21">
        <v>119401</v>
      </c>
      <c r="AD21" s="20">
        <v>135621.5</v>
      </c>
      <c r="AE21" s="20">
        <v>144486.1</v>
      </c>
    </row>
    <row r="22" spans="1:31" ht="11.45" customHeight="1" x14ac:dyDescent="0.25">
      <c r="A22" s="19" t="s">
        <v>22</v>
      </c>
      <c r="B22" s="23">
        <v>1689236.4</v>
      </c>
      <c r="C22" s="23">
        <v>1921710.3</v>
      </c>
      <c r="D22" s="23">
        <v>2057225.1</v>
      </c>
      <c r="E22" s="23">
        <v>2131864.6</v>
      </c>
      <c r="F22" s="22">
        <v>2232927</v>
      </c>
      <c r="G22" s="23">
        <v>2422097.7000000002</v>
      </c>
      <c r="H22" s="23">
        <v>2549028.7000000002</v>
      </c>
      <c r="I22" s="23">
        <v>2625343.2999999998</v>
      </c>
      <c r="J22" s="23">
        <v>2703390.5</v>
      </c>
      <c r="K22" s="23">
        <v>2819948.6</v>
      </c>
      <c r="L22" s="23">
        <v>2931928.5</v>
      </c>
      <c r="M22" s="23">
        <v>3085946.7</v>
      </c>
      <c r="N22" s="23">
        <v>3244429.3</v>
      </c>
      <c r="O22" s="23">
        <v>3301594.3</v>
      </c>
      <c r="P22" s="23">
        <v>3015552.9</v>
      </c>
      <c r="Q22" s="23">
        <v>3155119.4</v>
      </c>
      <c r="R22" s="22">
        <v>3255592</v>
      </c>
      <c r="S22" s="23">
        <v>3170631.6</v>
      </c>
      <c r="T22" s="23">
        <v>3115726.7</v>
      </c>
      <c r="U22" s="22">
        <v>3121624</v>
      </c>
      <c r="V22" s="22">
        <v>3154746</v>
      </c>
      <c r="W22" s="23">
        <v>3169127.2</v>
      </c>
      <c r="X22" s="23">
        <v>3290293.7</v>
      </c>
      <c r="Y22" s="23">
        <v>3373399.2</v>
      </c>
      <c r="Z22" s="23">
        <v>3409334.4</v>
      </c>
      <c r="AA22" s="23">
        <v>3143279.3</v>
      </c>
      <c r="AB22" s="23">
        <v>3604862.5</v>
      </c>
      <c r="AC22" s="22">
        <v>4124091</v>
      </c>
      <c r="AD22" s="23">
        <v>4262430.4000000004</v>
      </c>
      <c r="AE22" s="23">
        <v>4296312.4000000004</v>
      </c>
    </row>
    <row r="23" spans="1:31" ht="11.45" customHeight="1" x14ac:dyDescent="0.25">
      <c r="A23" s="19" t="s">
        <v>23</v>
      </c>
      <c r="B23" s="20">
        <v>14174.4</v>
      </c>
      <c r="C23" s="20">
        <v>14912.4</v>
      </c>
      <c r="D23" s="20">
        <v>15872.8</v>
      </c>
      <c r="E23" s="20">
        <v>17271.8</v>
      </c>
      <c r="F23" s="20">
        <v>18388.5</v>
      </c>
      <c r="G23" s="20">
        <v>20230.400000000001</v>
      </c>
      <c r="H23" s="21">
        <v>21353</v>
      </c>
      <c r="I23" s="20">
        <v>22281.7</v>
      </c>
      <c r="J23" s="20">
        <v>23339.5</v>
      </c>
      <c r="K23" s="20">
        <v>24658.5</v>
      </c>
      <c r="L23" s="20">
        <v>26430.3</v>
      </c>
      <c r="M23" s="20">
        <v>28829.8</v>
      </c>
      <c r="N23" s="20">
        <v>31363.599999999999</v>
      </c>
      <c r="O23" s="20">
        <v>34306.699999999997</v>
      </c>
      <c r="P23" s="20">
        <v>34140.9</v>
      </c>
      <c r="Q23" s="20">
        <v>34768.699999999997</v>
      </c>
      <c r="R23" s="20">
        <v>35176.1</v>
      </c>
      <c r="S23" s="20">
        <v>34187.199999999997</v>
      </c>
      <c r="T23" s="20">
        <v>31823.7</v>
      </c>
      <c r="U23" s="20">
        <v>30990.3</v>
      </c>
      <c r="V23" s="20">
        <v>32492.6</v>
      </c>
      <c r="W23" s="20">
        <v>34630.6</v>
      </c>
      <c r="X23" s="20">
        <v>37661.5</v>
      </c>
      <c r="Y23" s="20">
        <v>40473.699999999997</v>
      </c>
      <c r="Z23" s="20">
        <v>44975.6</v>
      </c>
      <c r="AA23" s="20">
        <v>45526.400000000001</v>
      </c>
      <c r="AB23" s="20">
        <v>53420.800000000003</v>
      </c>
      <c r="AC23" s="20">
        <v>64381.7</v>
      </c>
      <c r="AD23" s="20">
        <v>66406.600000000006</v>
      </c>
      <c r="AE23" s="21">
        <v>71483</v>
      </c>
    </row>
    <row r="24" spans="1:31" ht="11.45" customHeight="1" x14ac:dyDescent="0.25">
      <c r="A24" s="19" t="s">
        <v>24</v>
      </c>
      <c r="B24" s="22">
        <v>7489</v>
      </c>
      <c r="C24" s="22">
        <v>8604</v>
      </c>
      <c r="D24" s="23">
        <v>10774.6</v>
      </c>
      <c r="E24" s="23">
        <v>12068.9</v>
      </c>
      <c r="F24" s="23">
        <v>12964.6</v>
      </c>
      <c r="G24" s="23">
        <v>16908.400000000001</v>
      </c>
      <c r="H24" s="23">
        <v>18213.400000000001</v>
      </c>
      <c r="I24" s="23">
        <v>19218.5</v>
      </c>
      <c r="J24" s="23">
        <v>20068.5</v>
      </c>
      <c r="K24" s="23">
        <v>22921.4</v>
      </c>
      <c r="L24" s="23">
        <v>26922.7</v>
      </c>
      <c r="M24" s="23">
        <v>34758.5</v>
      </c>
      <c r="N24" s="23">
        <v>44024.4</v>
      </c>
      <c r="O24" s="22">
        <v>47689</v>
      </c>
      <c r="P24" s="23">
        <v>36831.4</v>
      </c>
      <c r="Q24" s="23">
        <v>36854.1</v>
      </c>
      <c r="R24" s="23">
        <v>41101.800000000003</v>
      </c>
      <c r="S24" s="23">
        <v>45160.1</v>
      </c>
      <c r="T24" s="23">
        <v>46291.7</v>
      </c>
      <c r="U24" s="23">
        <v>46159.199999999997</v>
      </c>
      <c r="V24" s="23">
        <v>46292.3</v>
      </c>
      <c r="W24" s="23">
        <v>45398.3</v>
      </c>
      <c r="X24" s="23">
        <v>48718.3</v>
      </c>
      <c r="Y24" s="23">
        <v>52756.4</v>
      </c>
      <c r="Z24" s="22">
        <v>54762</v>
      </c>
      <c r="AA24" s="23">
        <v>52295.5</v>
      </c>
      <c r="AB24" s="23">
        <v>59747.6</v>
      </c>
      <c r="AC24" s="23">
        <v>72408.800000000003</v>
      </c>
      <c r="AD24" s="23">
        <v>73228.399999999994</v>
      </c>
      <c r="AE24" s="23">
        <v>73369.5</v>
      </c>
    </row>
    <row r="25" spans="1:31" ht="11.45" customHeight="1" x14ac:dyDescent="0.25">
      <c r="A25" s="19" t="s">
        <v>25</v>
      </c>
      <c r="B25" s="20">
        <v>9968.9</v>
      </c>
      <c r="C25" s="20">
        <v>12626.6</v>
      </c>
      <c r="D25" s="20">
        <v>15873.9</v>
      </c>
      <c r="E25" s="20">
        <v>17511.3</v>
      </c>
      <c r="F25" s="20">
        <v>17199.7</v>
      </c>
      <c r="G25" s="20">
        <v>20988.9</v>
      </c>
      <c r="H25" s="20">
        <v>22998.7</v>
      </c>
      <c r="I25" s="20">
        <v>25481.1</v>
      </c>
      <c r="J25" s="20">
        <v>27754.1</v>
      </c>
      <c r="K25" s="20">
        <v>31072.5</v>
      </c>
      <c r="L25" s="20">
        <v>36562.5</v>
      </c>
      <c r="M25" s="20">
        <v>42463.7</v>
      </c>
      <c r="N25" s="20">
        <v>49935.7</v>
      </c>
      <c r="O25" s="20">
        <v>59105.1</v>
      </c>
      <c r="P25" s="20">
        <v>45805.7</v>
      </c>
      <c r="Q25" s="20">
        <v>47962.2</v>
      </c>
      <c r="R25" s="20">
        <v>54731.7</v>
      </c>
      <c r="S25" s="20">
        <v>58639.199999999997</v>
      </c>
      <c r="T25" s="20">
        <v>61610.3</v>
      </c>
      <c r="U25" s="20">
        <v>63238.400000000001</v>
      </c>
      <c r="V25" s="20">
        <v>64406.6</v>
      </c>
      <c r="W25" s="20">
        <v>65747.399999999994</v>
      </c>
      <c r="X25" s="20">
        <v>72353.399999999994</v>
      </c>
      <c r="Y25" s="20">
        <v>80417.3</v>
      </c>
      <c r="Z25" s="20">
        <v>87148.7</v>
      </c>
      <c r="AA25" s="20">
        <v>87379.8</v>
      </c>
      <c r="AB25" s="20">
        <v>105434.7</v>
      </c>
      <c r="AC25" s="20">
        <v>131204.6</v>
      </c>
      <c r="AD25" s="20">
        <v>134656.6</v>
      </c>
      <c r="AE25" s="20">
        <v>141005.20000000001</v>
      </c>
    </row>
    <row r="26" spans="1:31" ht="11.45" customHeight="1" x14ac:dyDescent="0.25">
      <c r="A26" s="19" t="s">
        <v>26</v>
      </c>
      <c r="B26" s="23">
        <v>29489.9</v>
      </c>
      <c r="C26" s="23">
        <v>30814.6</v>
      </c>
      <c r="D26" s="23">
        <v>33526.800000000003</v>
      </c>
      <c r="E26" s="23">
        <v>37635.4</v>
      </c>
      <c r="F26" s="23">
        <v>44314.7</v>
      </c>
      <c r="G26" s="23">
        <v>54871.6</v>
      </c>
      <c r="H26" s="23">
        <v>57384.2</v>
      </c>
      <c r="I26" s="23">
        <v>57505.2</v>
      </c>
      <c r="J26" s="23">
        <v>60449.599999999999</v>
      </c>
      <c r="K26" s="23">
        <v>67800.5</v>
      </c>
      <c r="L26" s="23">
        <v>77189.3</v>
      </c>
      <c r="M26" s="23">
        <v>94020.5</v>
      </c>
      <c r="N26" s="23">
        <v>105601.60000000001</v>
      </c>
      <c r="O26" s="23">
        <v>106863.8</v>
      </c>
      <c r="P26" s="23">
        <v>97965.4</v>
      </c>
      <c r="Q26" s="22">
        <v>115860</v>
      </c>
      <c r="R26" s="23">
        <v>123368.3</v>
      </c>
      <c r="S26" s="22">
        <v>131114</v>
      </c>
      <c r="T26" s="23">
        <v>143169.5</v>
      </c>
      <c r="U26" s="23">
        <v>158780.20000000001</v>
      </c>
      <c r="V26" s="22">
        <v>178209</v>
      </c>
      <c r="W26" s="23">
        <v>181328.6</v>
      </c>
      <c r="X26" s="23">
        <v>192238.4</v>
      </c>
      <c r="Y26" s="23">
        <v>202805.5</v>
      </c>
      <c r="Z26" s="23">
        <v>217924.5</v>
      </c>
      <c r="AA26" s="23">
        <v>226022.2</v>
      </c>
      <c r="AB26" s="23">
        <v>266892.59999999998</v>
      </c>
      <c r="AC26" s="23">
        <v>279168.90000000002</v>
      </c>
      <c r="AD26" s="23">
        <v>291486.5</v>
      </c>
      <c r="AE26" s="23">
        <v>283329.5</v>
      </c>
    </row>
    <row r="27" spans="1:31" ht="11.45" customHeight="1" x14ac:dyDescent="0.25">
      <c r="A27" s="19" t="s">
        <v>27</v>
      </c>
      <c r="B27" s="20">
        <v>68089.8</v>
      </c>
      <c r="C27" s="20">
        <v>71623.5</v>
      </c>
      <c r="D27" s="20">
        <v>82033.3</v>
      </c>
      <c r="E27" s="20">
        <v>86077.5</v>
      </c>
      <c r="F27" s="20">
        <v>93375.2</v>
      </c>
      <c r="G27" s="20">
        <v>106735.2</v>
      </c>
      <c r="H27" s="20">
        <v>123417.7</v>
      </c>
      <c r="I27" s="20">
        <v>142617.20000000001</v>
      </c>
      <c r="J27" s="20">
        <v>148885.20000000001</v>
      </c>
      <c r="K27" s="21">
        <v>164369</v>
      </c>
      <c r="L27" s="20">
        <v>183748.9</v>
      </c>
      <c r="M27" s="20">
        <v>191634.3</v>
      </c>
      <c r="N27" s="20">
        <v>209812.3</v>
      </c>
      <c r="O27" s="20">
        <v>224253.3</v>
      </c>
      <c r="P27" s="20">
        <v>187770.1</v>
      </c>
      <c r="Q27" s="20">
        <v>201239.8</v>
      </c>
      <c r="R27" s="20">
        <v>210108.3</v>
      </c>
      <c r="S27" s="20">
        <v>201470.8</v>
      </c>
      <c r="T27" s="20">
        <v>205505.4</v>
      </c>
      <c r="U27" s="20">
        <v>212480.7</v>
      </c>
      <c r="V27" s="21">
        <v>223241</v>
      </c>
      <c r="W27" s="20">
        <v>229977.9</v>
      </c>
      <c r="X27" s="20">
        <v>249636.1</v>
      </c>
      <c r="Y27" s="20">
        <v>267276.09999999998</v>
      </c>
      <c r="Z27" s="20">
        <v>288530.40000000002</v>
      </c>
      <c r="AA27" s="20">
        <v>268109.59999999998</v>
      </c>
      <c r="AB27" s="20">
        <v>307016.2</v>
      </c>
      <c r="AC27" s="20">
        <v>359669.5</v>
      </c>
      <c r="AD27" s="20">
        <v>392283.4</v>
      </c>
      <c r="AE27" s="20">
        <v>394184.9</v>
      </c>
    </row>
    <row r="28" spans="1:31" ht="11.45" customHeight="1" x14ac:dyDescent="0.25">
      <c r="A28" s="19" t="s">
        <v>28</v>
      </c>
      <c r="B28" s="23">
        <v>5484.8</v>
      </c>
      <c r="C28" s="23">
        <v>5650.7</v>
      </c>
      <c r="D28" s="23">
        <v>6113.6</v>
      </c>
      <c r="E28" s="23">
        <v>6677.2</v>
      </c>
      <c r="F28" s="23">
        <v>7167.7</v>
      </c>
      <c r="G28" s="23">
        <v>8725.6</v>
      </c>
      <c r="H28" s="23">
        <v>8533.1</v>
      </c>
      <c r="I28" s="23">
        <v>8699.2000000000007</v>
      </c>
      <c r="J28" s="23">
        <v>8868.7000000000007</v>
      </c>
      <c r="K28" s="23">
        <v>9112.4</v>
      </c>
      <c r="L28" s="23">
        <v>9632.5</v>
      </c>
      <c r="M28" s="23">
        <v>10766.2</v>
      </c>
      <c r="N28" s="23">
        <v>11593.5</v>
      </c>
      <c r="O28" s="23">
        <v>12710.4</v>
      </c>
      <c r="P28" s="23">
        <v>12528.5</v>
      </c>
      <c r="Q28" s="23">
        <v>13755.3</v>
      </c>
      <c r="R28" s="23">
        <v>14908.7</v>
      </c>
      <c r="S28" s="23">
        <v>16170.1</v>
      </c>
      <c r="T28" s="23">
        <v>17150.400000000001</v>
      </c>
      <c r="U28" s="23">
        <v>18780.2</v>
      </c>
      <c r="V28" s="23">
        <v>22233.4</v>
      </c>
      <c r="W28" s="23">
        <v>24041.4</v>
      </c>
      <c r="X28" s="23">
        <v>27341.8</v>
      </c>
      <c r="Y28" s="23">
        <v>31070.799999999999</v>
      </c>
      <c r="Z28" s="23">
        <v>34230.800000000003</v>
      </c>
      <c r="AA28" s="23">
        <v>35585.599999999999</v>
      </c>
      <c r="AB28" s="23">
        <v>40537.4</v>
      </c>
      <c r="AC28" s="23">
        <v>46908.800000000003</v>
      </c>
      <c r="AD28" s="23">
        <v>53348.9</v>
      </c>
      <c r="AE28" s="23">
        <v>58318.6</v>
      </c>
    </row>
    <row r="29" spans="1:31" ht="11.45" customHeight="1" x14ac:dyDescent="0.25">
      <c r="A29" s="19" t="s">
        <v>29</v>
      </c>
      <c r="B29" s="20">
        <v>622243.30000000005</v>
      </c>
      <c r="C29" s="20">
        <v>646882.9</v>
      </c>
      <c r="D29" s="20">
        <v>675054.5</v>
      </c>
      <c r="E29" s="20">
        <v>715976.4</v>
      </c>
      <c r="F29" s="21">
        <v>768810</v>
      </c>
      <c r="G29" s="21">
        <v>844418</v>
      </c>
      <c r="H29" s="21">
        <v>894163</v>
      </c>
      <c r="I29" s="21">
        <v>916457</v>
      </c>
      <c r="J29" s="21">
        <v>930561</v>
      </c>
      <c r="K29" s="21">
        <v>964259</v>
      </c>
      <c r="L29" s="21">
        <v>1014469</v>
      </c>
      <c r="M29" s="21">
        <v>1075574</v>
      </c>
      <c r="N29" s="21">
        <v>1144773</v>
      </c>
      <c r="O29" s="21">
        <v>1204623</v>
      </c>
      <c r="P29" s="21">
        <v>1153249</v>
      </c>
      <c r="Q29" s="21">
        <v>1192983</v>
      </c>
      <c r="R29" s="21">
        <v>1262956</v>
      </c>
      <c r="S29" s="21">
        <v>1284508</v>
      </c>
      <c r="T29" s="21">
        <v>1290536</v>
      </c>
      <c r="U29" s="21">
        <v>1315224</v>
      </c>
      <c r="V29" s="21">
        <v>1357585</v>
      </c>
      <c r="W29" s="21">
        <v>1386436</v>
      </c>
      <c r="X29" s="21">
        <v>1463821</v>
      </c>
      <c r="Y29" s="21">
        <v>1558226</v>
      </c>
      <c r="Z29" s="21">
        <v>1622350</v>
      </c>
      <c r="AA29" s="21">
        <v>1573914</v>
      </c>
      <c r="AB29" s="21">
        <v>1740104</v>
      </c>
      <c r="AC29" s="21">
        <v>2010010</v>
      </c>
      <c r="AD29" s="21">
        <v>2073763</v>
      </c>
      <c r="AE29" s="21">
        <v>2159506</v>
      </c>
    </row>
    <row r="30" spans="1:31" ht="11.45" customHeight="1" x14ac:dyDescent="0.25">
      <c r="A30" s="19" t="s">
        <v>30</v>
      </c>
      <c r="B30" s="23">
        <v>300057.3</v>
      </c>
      <c r="C30" s="23">
        <v>304617.7</v>
      </c>
      <c r="D30" s="23">
        <v>308387.3</v>
      </c>
      <c r="E30" s="23">
        <v>321367.40000000002</v>
      </c>
      <c r="F30" s="23">
        <v>336077.6</v>
      </c>
      <c r="G30" s="22">
        <v>359526</v>
      </c>
      <c r="H30" s="23">
        <v>376712.4</v>
      </c>
      <c r="I30" s="22">
        <v>386587</v>
      </c>
      <c r="J30" s="23">
        <v>399975.4</v>
      </c>
      <c r="K30" s="23">
        <v>422399.1</v>
      </c>
      <c r="L30" s="22">
        <v>450524</v>
      </c>
      <c r="M30" s="23">
        <v>484205.5</v>
      </c>
      <c r="N30" s="22">
        <v>516000</v>
      </c>
      <c r="O30" s="23">
        <v>546735.69999999995</v>
      </c>
      <c r="P30" s="22">
        <v>521595</v>
      </c>
      <c r="Q30" s="23">
        <v>545635.19999999995</v>
      </c>
      <c r="R30" s="22">
        <v>582506</v>
      </c>
      <c r="S30" s="23">
        <v>601201.5</v>
      </c>
      <c r="T30" s="23">
        <v>609841.5</v>
      </c>
      <c r="U30" s="23">
        <v>616214.6</v>
      </c>
      <c r="V30" s="22">
        <v>629990</v>
      </c>
      <c r="W30" s="23">
        <v>641883.5</v>
      </c>
      <c r="X30" s="23">
        <v>673999.2</v>
      </c>
      <c r="Y30" s="23">
        <v>711724.8</v>
      </c>
      <c r="Z30" s="22">
        <v>734589</v>
      </c>
      <c r="AA30" s="23">
        <v>698578.3</v>
      </c>
      <c r="AB30" s="22">
        <v>775918</v>
      </c>
      <c r="AC30" s="23">
        <v>912781.2</v>
      </c>
      <c r="AD30" s="23">
        <v>949103.5</v>
      </c>
      <c r="AE30" s="23">
        <v>938818.2</v>
      </c>
    </row>
    <row r="31" spans="1:31" ht="11.45" customHeight="1" x14ac:dyDescent="0.25">
      <c r="A31" s="19" t="s">
        <v>31</v>
      </c>
      <c r="B31" s="20">
        <v>204613.2</v>
      </c>
      <c r="C31" s="21">
        <v>237452</v>
      </c>
      <c r="D31" s="20">
        <v>266447.59999999998</v>
      </c>
      <c r="E31" s="20">
        <v>294773.59999999998</v>
      </c>
      <c r="F31" s="20">
        <v>302563.3</v>
      </c>
      <c r="G31" s="20">
        <v>364157.5</v>
      </c>
      <c r="H31" s="20">
        <v>418620.1</v>
      </c>
      <c r="I31" s="20">
        <v>408503.9</v>
      </c>
      <c r="J31" s="20">
        <v>376595.8</v>
      </c>
      <c r="K31" s="20">
        <v>413648.9</v>
      </c>
      <c r="L31" s="21">
        <v>489654</v>
      </c>
      <c r="M31" s="20">
        <v>558651.9</v>
      </c>
      <c r="N31" s="21">
        <v>649788</v>
      </c>
      <c r="O31" s="21">
        <v>761004</v>
      </c>
      <c r="P31" s="20">
        <v>630589.19999999995</v>
      </c>
      <c r="Q31" s="20">
        <v>724110.2</v>
      </c>
      <c r="R31" s="20">
        <v>774577.2</v>
      </c>
      <c r="S31" s="20">
        <v>787181.4</v>
      </c>
      <c r="T31" s="20">
        <v>792565.1</v>
      </c>
      <c r="U31" s="20">
        <v>820346.5</v>
      </c>
      <c r="V31" s="20">
        <v>860020.1</v>
      </c>
      <c r="W31" s="20">
        <v>855679.5</v>
      </c>
      <c r="X31" s="20">
        <v>944421.7</v>
      </c>
      <c r="Y31" s="20">
        <v>1015584.7</v>
      </c>
      <c r="Z31" s="20">
        <v>1083720.7</v>
      </c>
      <c r="AA31" s="20">
        <v>1046838.2</v>
      </c>
      <c r="AB31" s="20">
        <v>1188333.3</v>
      </c>
      <c r="AC31" s="20">
        <v>1443734.4</v>
      </c>
      <c r="AD31" s="20">
        <v>1576174.2</v>
      </c>
      <c r="AE31" s="20">
        <v>1686035.6</v>
      </c>
    </row>
    <row r="32" spans="1:31" ht="11.45" customHeight="1" x14ac:dyDescent="0.25">
      <c r="A32" s="19" t="s">
        <v>32</v>
      </c>
      <c r="B32" s="23">
        <v>175135.7</v>
      </c>
      <c r="C32" s="23">
        <v>187360.4</v>
      </c>
      <c r="D32" s="23">
        <v>200069.9</v>
      </c>
      <c r="E32" s="22">
        <v>211606</v>
      </c>
      <c r="F32" s="23">
        <v>224528.4</v>
      </c>
      <c r="G32" s="23">
        <v>245036.7</v>
      </c>
      <c r="H32" s="23">
        <v>258906.4</v>
      </c>
      <c r="I32" s="23">
        <v>264970.09999999998</v>
      </c>
      <c r="J32" s="23">
        <v>268483.40000000002</v>
      </c>
      <c r="K32" s="23">
        <v>282224.7</v>
      </c>
      <c r="L32" s="23">
        <v>293495.7</v>
      </c>
      <c r="M32" s="23">
        <v>305638.40000000002</v>
      </c>
      <c r="N32" s="23">
        <v>324240.09999999998</v>
      </c>
      <c r="O32" s="23">
        <v>337446.6</v>
      </c>
      <c r="P32" s="23">
        <v>318054.3</v>
      </c>
      <c r="Q32" s="23">
        <v>328270.7</v>
      </c>
      <c r="R32" s="23">
        <v>326723.90000000002</v>
      </c>
      <c r="S32" s="23">
        <v>309526.09999999998</v>
      </c>
      <c r="T32" s="22">
        <v>307911</v>
      </c>
      <c r="U32" s="22">
        <v>310120</v>
      </c>
      <c r="V32" s="23">
        <v>317828.40000000002</v>
      </c>
      <c r="W32" s="23">
        <v>324827.5</v>
      </c>
      <c r="X32" s="23">
        <v>347272.2</v>
      </c>
      <c r="Y32" s="23">
        <v>366244.7</v>
      </c>
      <c r="Z32" s="23">
        <v>381193.5</v>
      </c>
      <c r="AA32" s="23">
        <v>352871.3</v>
      </c>
      <c r="AB32" s="23">
        <v>395951.7</v>
      </c>
      <c r="AC32" s="22">
        <v>473336</v>
      </c>
      <c r="AD32" s="23">
        <v>504302.1</v>
      </c>
      <c r="AE32" s="23">
        <v>528086.6</v>
      </c>
    </row>
    <row r="33" spans="1:31" ht="11.45" customHeight="1" x14ac:dyDescent="0.25">
      <c r="A33" s="19" t="s">
        <v>33</v>
      </c>
      <c r="B33" s="20">
        <v>60118.3</v>
      </c>
      <c r="C33" s="20">
        <v>64646.6</v>
      </c>
      <c r="D33" s="20">
        <v>67052.7</v>
      </c>
      <c r="E33" s="20">
        <v>71453.399999999994</v>
      </c>
      <c r="F33" s="20">
        <v>66608.7</v>
      </c>
      <c r="G33" s="20">
        <v>78773.399999999994</v>
      </c>
      <c r="H33" s="20">
        <v>87998.2</v>
      </c>
      <c r="I33" s="20">
        <v>94484.7</v>
      </c>
      <c r="J33" s="20">
        <v>100195.9</v>
      </c>
      <c r="K33" s="20">
        <v>118384.6</v>
      </c>
      <c r="L33" s="20">
        <v>150205.70000000001</v>
      </c>
      <c r="M33" s="20">
        <v>185412.8</v>
      </c>
      <c r="N33" s="20">
        <v>235653.1</v>
      </c>
      <c r="O33" s="20">
        <v>271673.09999999998</v>
      </c>
      <c r="P33" s="20">
        <v>234006.9</v>
      </c>
      <c r="Q33" s="20">
        <v>253358.6</v>
      </c>
      <c r="R33" s="20">
        <v>277830.3</v>
      </c>
      <c r="S33" s="20">
        <v>279738.2</v>
      </c>
      <c r="T33" s="20">
        <v>289214.09999999998</v>
      </c>
      <c r="U33" s="20">
        <v>302099.90000000002</v>
      </c>
      <c r="V33" s="20">
        <v>313048.7</v>
      </c>
      <c r="W33" s="20">
        <v>322266.40000000002</v>
      </c>
      <c r="X33" s="21">
        <v>353359</v>
      </c>
      <c r="Y33" s="20">
        <v>387692.7</v>
      </c>
      <c r="Z33" s="20">
        <v>418795.7</v>
      </c>
      <c r="AA33" s="21">
        <v>403651</v>
      </c>
      <c r="AB33" s="20">
        <v>454537.9</v>
      </c>
      <c r="AC33" s="20">
        <v>558300.30000000005</v>
      </c>
      <c r="AD33" s="20">
        <v>606094.5</v>
      </c>
      <c r="AE33" s="20">
        <v>644502.19999999995</v>
      </c>
    </row>
    <row r="34" spans="1:31" ht="11.45" customHeight="1" x14ac:dyDescent="0.25">
      <c r="A34" s="19" t="s">
        <v>34</v>
      </c>
      <c r="B34" s="23">
        <v>31363.3</v>
      </c>
      <c r="C34" s="23">
        <v>32584.1</v>
      </c>
      <c r="D34" s="23">
        <v>35112.5</v>
      </c>
      <c r="E34" s="23">
        <v>37588.6</v>
      </c>
      <c r="F34" s="22">
        <v>39535</v>
      </c>
      <c r="G34" s="23">
        <v>41827.800000000003</v>
      </c>
      <c r="H34" s="23">
        <v>43900.1</v>
      </c>
      <c r="I34" s="23">
        <v>46861.2</v>
      </c>
      <c r="J34" s="23">
        <v>48955.4</v>
      </c>
      <c r="K34" s="23">
        <v>52439.199999999997</v>
      </c>
      <c r="L34" s="23">
        <v>55960.1</v>
      </c>
      <c r="M34" s="22">
        <v>61928</v>
      </c>
      <c r="N34" s="22">
        <v>70528</v>
      </c>
      <c r="O34" s="23">
        <v>76086.600000000006</v>
      </c>
      <c r="P34" s="23">
        <v>68334.100000000006</v>
      </c>
      <c r="Q34" s="23">
        <v>70378.2</v>
      </c>
      <c r="R34" s="22">
        <v>71859</v>
      </c>
      <c r="S34" s="23">
        <v>69587.600000000006</v>
      </c>
      <c r="T34" s="23">
        <v>68976.5</v>
      </c>
      <c r="U34" s="23">
        <v>71032.100000000006</v>
      </c>
      <c r="V34" s="23">
        <v>72881.2</v>
      </c>
      <c r="W34" s="23">
        <v>74804.5</v>
      </c>
      <c r="X34" s="23">
        <v>81291.899999999994</v>
      </c>
      <c r="Y34" s="23">
        <v>87408.8</v>
      </c>
      <c r="Z34" s="23">
        <v>91046.6</v>
      </c>
      <c r="AA34" s="23">
        <v>86660.5</v>
      </c>
      <c r="AB34" s="23">
        <v>100082.7</v>
      </c>
      <c r="AC34" s="23">
        <v>115115.5</v>
      </c>
      <c r="AD34" s="23">
        <v>123763.4</v>
      </c>
      <c r="AE34" s="23">
        <v>127441.2</v>
      </c>
    </row>
    <row r="35" spans="1:31" ht="11.45" customHeight="1" x14ac:dyDescent="0.25">
      <c r="A35" s="19" t="s">
        <v>35</v>
      </c>
      <c r="B35" s="20">
        <v>34206.800000000003</v>
      </c>
      <c r="C35" s="20">
        <v>38739.1</v>
      </c>
      <c r="D35" s="20">
        <v>43690.1</v>
      </c>
      <c r="E35" s="20">
        <v>45459.4</v>
      </c>
      <c r="F35" s="20">
        <v>42387.199999999997</v>
      </c>
      <c r="G35" s="20">
        <v>50106.2</v>
      </c>
      <c r="H35" s="20">
        <v>53208.6</v>
      </c>
      <c r="I35" s="20">
        <v>58554.6</v>
      </c>
      <c r="J35" s="20">
        <v>66418.3</v>
      </c>
      <c r="K35" s="20">
        <v>73298.7</v>
      </c>
      <c r="L35" s="20">
        <v>82683.899999999994</v>
      </c>
      <c r="M35" s="20">
        <v>99114.1</v>
      </c>
      <c r="N35" s="21">
        <v>122801</v>
      </c>
      <c r="O35" s="20">
        <v>146924.9</v>
      </c>
      <c r="P35" s="20">
        <v>135549.4</v>
      </c>
      <c r="Q35" s="20">
        <v>144715.79999999999</v>
      </c>
      <c r="R35" s="20">
        <v>155688.79999999999</v>
      </c>
      <c r="S35" s="21">
        <v>161033</v>
      </c>
      <c r="T35" s="20">
        <v>161028.70000000001</v>
      </c>
      <c r="U35" s="20">
        <v>166717.6</v>
      </c>
      <c r="V35" s="20">
        <v>177923.9</v>
      </c>
      <c r="W35" s="20">
        <v>183007.3</v>
      </c>
      <c r="X35" s="21">
        <v>191294</v>
      </c>
      <c r="Y35" s="21">
        <v>206044</v>
      </c>
      <c r="Z35" s="20">
        <v>211103.2</v>
      </c>
      <c r="AA35" s="20">
        <v>201023.9</v>
      </c>
      <c r="AB35" s="20">
        <v>223381.6</v>
      </c>
      <c r="AC35" s="20">
        <v>263969.7</v>
      </c>
      <c r="AD35" s="20">
        <v>279826.40000000002</v>
      </c>
      <c r="AE35" s="20">
        <v>278414.90000000002</v>
      </c>
    </row>
    <row r="36" spans="1:31" ht="11.45" customHeight="1" x14ac:dyDescent="0.25">
      <c r="A36" s="19" t="s">
        <v>36</v>
      </c>
      <c r="B36" s="23">
        <v>184135.4</v>
      </c>
      <c r="C36" s="23">
        <v>188467.6</v>
      </c>
      <c r="D36" s="23">
        <v>203426.9</v>
      </c>
      <c r="E36" s="23">
        <v>215740.5</v>
      </c>
      <c r="F36" s="22">
        <v>228610</v>
      </c>
      <c r="G36" s="22">
        <v>255823</v>
      </c>
      <c r="H36" s="22">
        <v>263466</v>
      </c>
      <c r="I36" s="22">
        <v>268482</v>
      </c>
      <c r="J36" s="22">
        <v>274427</v>
      </c>
      <c r="K36" s="22">
        <v>290473</v>
      </c>
      <c r="L36" s="22">
        <v>306782</v>
      </c>
      <c r="M36" s="22">
        <v>331110</v>
      </c>
      <c r="N36" s="22">
        <v>357847</v>
      </c>
      <c r="O36" s="22">
        <v>376845</v>
      </c>
      <c r="P36" s="22">
        <v>336818</v>
      </c>
      <c r="Q36" s="22">
        <v>352258</v>
      </c>
      <c r="R36" s="22">
        <v>377031</v>
      </c>
      <c r="S36" s="22">
        <v>383022</v>
      </c>
      <c r="T36" s="22">
        <v>382340</v>
      </c>
      <c r="U36" s="22">
        <v>383946</v>
      </c>
      <c r="V36" s="22">
        <v>381681</v>
      </c>
      <c r="W36" s="22">
        <v>390252</v>
      </c>
      <c r="X36" s="22">
        <v>410962</v>
      </c>
      <c r="Y36" s="22">
        <v>430326</v>
      </c>
      <c r="Z36" s="22">
        <v>445438</v>
      </c>
      <c r="AA36" s="22">
        <v>431990</v>
      </c>
      <c r="AB36" s="22">
        <v>466804</v>
      </c>
      <c r="AC36" s="22">
        <v>525392</v>
      </c>
      <c r="AD36" s="22">
        <v>525630</v>
      </c>
      <c r="AE36" s="22">
        <v>524403</v>
      </c>
    </row>
    <row r="37" spans="1:31" ht="11.45" customHeight="1" x14ac:dyDescent="0.25">
      <c r="A37" s="19" t="s">
        <v>37</v>
      </c>
      <c r="B37" s="20">
        <v>368544.3</v>
      </c>
      <c r="C37" s="20">
        <v>412644.5</v>
      </c>
      <c r="D37" s="20">
        <v>429720.5</v>
      </c>
      <c r="E37" s="21">
        <v>437338</v>
      </c>
      <c r="F37" s="20">
        <v>466188.7</v>
      </c>
      <c r="G37" s="20">
        <v>525677.19999999995</v>
      </c>
      <c r="H37" s="20">
        <v>500504.4</v>
      </c>
      <c r="I37" s="21">
        <v>515703</v>
      </c>
      <c r="J37" s="21">
        <v>530626</v>
      </c>
      <c r="K37" s="20">
        <v>560594.5</v>
      </c>
      <c r="L37" s="20">
        <v>579548.5</v>
      </c>
      <c r="M37" s="20">
        <v>624812.19999999995</v>
      </c>
      <c r="N37" s="20">
        <v>670604.1</v>
      </c>
      <c r="O37" s="20">
        <v>670699.6</v>
      </c>
      <c r="P37" s="20">
        <v>573297.19999999995</v>
      </c>
      <c r="Q37" s="20">
        <v>681498.6</v>
      </c>
      <c r="R37" s="21">
        <v>759859</v>
      </c>
      <c r="S37" s="20">
        <v>791822.1</v>
      </c>
      <c r="T37" s="20">
        <v>800335.7</v>
      </c>
      <c r="U37" s="20">
        <v>789519.4</v>
      </c>
      <c r="V37" s="20">
        <v>810028.7</v>
      </c>
      <c r="W37" s="20">
        <v>827849.4</v>
      </c>
      <c r="X37" s="20">
        <v>858849.9</v>
      </c>
      <c r="Y37" s="20">
        <v>855808.4</v>
      </c>
      <c r="Z37" s="20">
        <v>869292.4</v>
      </c>
      <c r="AA37" s="20">
        <v>859632.2</v>
      </c>
      <c r="AB37" s="20">
        <v>971889.9</v>
      </c>
      <c r="AC37" s="20">
        <v>1052123.8999999999</v>
      </c>
      <c r="AD37" s="20">
        <v>1033078.5</v>
      </c>
      <c r="AE37" s="20">
        <v>1075981.3999999999</v>
      </c>
    </row>
    <row r="38" spans="1:31" ht="11.45" customHeight="1" x14ac:dyDescent="0.25">
      <c r="A38" s="19" t="s">
        <v>38</v>
      </c>
      <c r="B38" s="23">
        <v>9106.5</v>
      </c>
      <c r="C38" s="23">
        <v>10069.200000000001</v>
      </c>
      <c r="D38" s="23">
        <v>11054.8</v>
      </c>
      <c r="E38" s="23">
        <v>12429.3</v>
      </c>
      <c r="F38" s="23">
        <v>13986.6</v>
      </c>
      <c r="G38" s="23">
        <v>16843.5</v>
      </c>
      <c r="H38" s="23">
        <v>15831.3</v>
      </c>
      <c r="I38" s="23">
        <v>17006.599999999999</v>
      </c>
      <c r="J38" s="23">
        <v>17707.599999999999</v>
      </c>
      <c r="K38" s="23">
        <v>19716.400000000001</v>
      </c>
      <c r="L38" s="22">
        <v>24460</v>
      </c>
      <c r="M38" s="23">
        <v>25887.599999999999</v>
      </c>
      <c r="N38" s="23">
        <v>29963.9</v>
      </c>
      <c r="O38" s="22">
        <v>20543</v>
      </c>
      <c r="P38" s="23">
        <v>16864.900000000001</v>
      </c>
      <c r="Q38" s="23">
        <v>19168.7</v>
      </c>
      <c r="R38" s="23">
        <v>20614.8</v>
      </c>
      <c r="S38" s="23">
        <v>22010.799999999999</v>
      </c>
      <c r="T38" s="23">
        <v>22946.6</v>
      </c>
      <c r="U38" s="23">
        <v>25254.2</v>
      </c>
      <c r="V38" s="23">
        <v>29222.1</v>
      </c>
      <c r="W38" s="23">
        <v>34151.599999999999</v>
      </c>
      <c r="X38" s="23">
        <v>39923.800000000003</v>
      </c>
      <c r="Y38" s="23">
        <v>40805.5</v>
      </c>
      <c r="Z38" s="23">
        <v>38995.9</v>
      </c>
      <c r="AA38" s="23">
        <v>33103.9</v>
      </c>
      <c r="AB38" s="23">
        <v>39865.699999999997</v>
      </c>
      <c r="AC38" s="23">
        <v>50697.2</v>
      </c>
      <c r="AD38" s="23">
        <v>54055.9</v>
      </c>
      <c r="AE38" s="24" t="s">
        <v>8</v>
      </c>
    </row>
    <row r="39" spans="1:31" ht="11.45" customHeight="1" x14ac:dyDescent="0.25">
      <c r="A39" s="19" t="s">
        <v>39</v>
      </c>
      <c r="B39" s="25" t="s">
        <v>8</v>
      </c>
      <c r="C39" s="25" t="s">
        <v>8</v>
      </c>
      <c r="D39" s="25" t="s">
        <v>8</v>
      </c>
      <c r="E39" s="25" t="s">
        <v>8</v>
      </c>
      <c r="F39" s="25" t="s">
        <v>8</v>
      </c>
      <c r="G39" s="25" t="s">
        <v>8</v>
      </c>
      <c r="H39" s="25" t="s">
        <v>8</v>
      </c>
      <c r="I39" s="25" t="s">
        <v>8</v>
      </c>
      <c r="J39" s="25" t="s">
        <v>8</v>
      </c>
      <c r="K39" s="25" t="s">
        <v>8</v>
      </c>
      <c r="L39" s="25" t="s">
        <v>8</v>
      </c>
      <c r="M39" s="25" t="s">
        <v>8</v>
      </c>
      <c r="N39" s="25" t="s">
        <v>8</v>
      </c>
      <c r="O39" s="25" t="s">
        <v>8</v>
      </c>
      <c r="P39" s="25" t="s">
        <v>8</v>
      </c>
      <c r="Q39" s="25" t="s">
        <v>8</v>
      </c>
      <c r="R39" s="25" t="s">
        <v>8</v>
      </c>
      <c r="S39" s="25" t="s">
        <v>8</v>
      </c>
      <c r="T39" s="20">
        <v>11935.2</v>
      </c>
      <c r="U39" s="20">
        <v>12611.1</v>
      </c>
      <c r="V39" s="20">
        <v>13813.2</v>
      </c>
      <c r="W39" s="20">
        <v>15296.4</v>
      </c>
      <c r="X39" s="21">
        <v>14044</v>
      </c>
      <c r="Y39" s="20">
        <v>14288.2</v>
      </c>
      <c r="Z39" s="21">
        <v>14844</v>
      </c>
      <c r="AA39" s="20">
        <v>14050.5</v>
      </c>
      <c r="AB39" s="21">
        <v>15376</v>
      </c>
      <c r="AC39" s="20">
        <v>19622.3</v>
      </c>
      <c r="AD39" s="25" t="s">
        <v>8</v>
      </c>
      <c r="AE39" s="25" t="s">
        <v>8</v>
      </c>
    </row>
    <row r="40" spans="1:31" ht="11.45" customHeight="1" x14ac:dyDescent="0.25">
      <c r="A40" s="19" t="s">
        <v>40</v>
      </c>
      <c r="B40" s="23">
        <v>190954.9</v>
      </c>
      <c r="C40" s="23">
        <v>210453.8</v>
      </c>
      <c r="D40" s="23">
        <v>235039.5</v>
      </c>
      <c r="E40" s="23">
        <v>233423.4</v>
      </c>
      <c r="F40" s="23">
        <v>255701.5</v>
      </c>
      <c r="G40" s="23">
        <v>299346.8</v>
      </c>
      <c r="H40" s="23">
        <v>316678.8</v>
      </c>
      <c r="I40" s="23">
        <v>340756.5</v>
      </c>
      <c r="J40" s="23">
        <v>330086.2</v>
      </c>
      <c r="K40" s="23">
        <v>343823.9</v>
      </c>
      <c r="L40" s="23">
        <v>398552.9</v>
      </c>
      <c r="M40" s="23">
        <v>445406.6</v>
      </c>
      <c r="N40" s="23">
        <v>485865.7</v>
      </c>
      <c r="O40" s="23">
        <v>528015.69999999995</v>
      </c>
      <c r="P40" s="23">
        <v>462910.6</v>
      </c>
      <c r="Q40" s="23">
        <v>527903.80000000005</v>
      </c>
      <c r="R40" s="23">
        <v>585819.69999999995</v>
      </c>
      <c r="S40" s="23">
        <v>647598.4</v>
      </c>
      <c r="T40" s="23">
        <v>645687.69999999995</v>
      </c>
      <c r="U40" s="23">
        <v>625388.4</v>
      </c>
      <c r="V40" s="23">
        <v>583232.5</v>
      </c>
      <c r="W40" s="23">
        <v>557733.69999999995</v>
      </c>
      <c r="X40" s="23">
        <v>586488.80000000005</v>
      </c>
      <c r="Y40" s="23">
        <v>614515.4</v>
      </c>
      <c r="Z40" s="23">
        <v>614230.1</v>
      </c>
      <c r="AA40" s="23">
        <v>545143.69999999995</v>
      </c>
      <c r="AB40" s="23">
        <v>687163.8</v>
      </c>
      <c r="AC40" s="23">
        <v>876587.5</v>
      </c>
      <c r="AD40" s="22">
        <v>736388</v>
      </c>
      <c r="AE40" s="23">
        <v>740528.4</v>
      </c>
    </row>
    <row r="41" spans="1:31" ht="11.45" customHeight="1" x14ac:dyDescent="0.25">
      <c r="A41" s="19" t="s">
        <v>41</v>
      </c>
      <c r="B41" s="20">
        <v>531318.80000000005</v>
      </c>
      <c r="C41" s="20">
        <v>532674.30000000005</v>
      </c>
      <c r="D41" s="20">
        <v>519937.3</v>
      </c>
      <c r="E41" s="20">
        <v>542393.9</v>
      </c>
      <c r="F41" s="20">
        <v>560182.30000000005</v>
      </c>
      <c r="G41" s="20">
        <v>601154.80000000005</v>
      </c>
      <c r="H41" s="20">
        <v>633334.9</v>
      </c>
      <c r="I41" s="20">
        <v>659186.1</v>
      </c>
      <c r="J41" s="20">
        <v>638594.80000000005</v>
      </c>
      <c r="K41" s="20">
        <v>655735.19999999995</v>
      </c>
      <c r="L41" s="20">
        <v>680197.7</v>
      </c>
      <c r="M41" s="20">
        <v>713784.2</v>
      </c>
      <c r="N41" s="20">
        <v>732159.9</v>
      </c>
      <c r="O41" s="21">
        <v>799076</v>
      </c>
      <c r="P41" s="20">
        <v>820626.2</v>
      </c>
      <c r="Q41" s="20">
        <v>920985.4</v>
      </c>
      <c r="R41" s="20">
        <v>1047296.9</v>
      </c>
      <c r="S41" s="20">
        <v>1094687.8</v>
      </c>
      <c r="T41" s="20">
        <v>1087195.6000000001</v>
      </c>
      <c r="U41" s="20">
        <v>1118684.2</v>
      </c>
      <c r="V41" s="20">
        <v>1263984.1000000001</v>
      </c>
      <c r="W41" s="20">
        <v>1254465.3999999999</v>
      </c>
      <c r="X41" s="20">
        <v>1266488.7</v>
      </c>
      <c r="Y41" s="21">
        <v>1282274</v>
      </c>
      <c r="Z41" s="20">
        <v>1358918.4</v>
      </c>
      <c r="AA41" s="20">
        <v>1347336.8</v>
      </c>
      <c r="AB41" s="20">
        <v>1514649.3</v>
      </c>
      <c r="AC41" s="20">
        <v>1795339.9</v>
      </c>
      <c r="AD41" s="20">
        <v>1868804.1</v>
      </c>
      <c r="AE41" s="25" t="s">
        <v>8</v>
      </c>
    </row>
    <row r="42" spans="1:31" ht="11.45" customHeight="1" x14ac:dyDescent="0.25">
      <c r="A42" s="19" t="s">
        <v>42</v>
      </c>
      <c r="B42" s="23">
        <v>1729300.5</v>
      </c>
      <c r="C42" s="23">
        <v>1880723.8</v>
      </c>
      <c r="D42" s="23">
        <v>2325497.6</v>
      </c>
      <c r="E42" s="22">
        <v>2504200</v>
      </c>
      <c r="F42" s="23">
        <v>2671635.2000000002</v>
      </c>
      <c r="G42" s="23">
        <v>3038795.4</v>
      </c>
      <c r="H42" s="23">
        <v>3107739.6</v>
      </c>
      <c r="I42" s="23">
        <v>3203600.3</v>
      </c>
      <c r="J42" s="23">
        <v>3056198.8</v>
      </c>
      <c r="K42" s="23">
        <v>3289218.5</v>
      </c>
      <c r="L42" s="23">
        <v>3420672.7</v>
      </c>
      <c r="M42" s="23">
        <v>3684785.8</v>
      </c>
      <c r="N42" s="23">
        <v>3890988.4</v>
      </c>
      <c r="O42" s="23">
        <v>3458468.1</v>
      </c>
      <c r="P42" s="23">
        <v>3024495.5</v>
      </c>
      <c r="Q42" s="23">
        <v>3244557.3</v>
      </c>
      <c r="R42" s="23">
        <v>3317768.6</v>
      </c>
      <c r="S42" s="23">
        <v>3649882.2</v>
      </c>
      <c r="T42" s="23">
        <v>3632427.1</v>
      </c>
      <c r="U42" s="23">
        <v>3954330.6</v>
      </c>
      <c r="V42" s="23">
        <v>4489000.3</v>
      </c>
      <c r="W42" s="23">
        <v>4111656.2</v>
      </c>
      <c r="X42" s="23">
        <v>4007594.6</v>
      </c>
      <c r="Y42" s="23">
        <v>4123911.8</v>
      </c>
      <c r="Z42" s="23">
        <v>4285954.2</v>
      </c>
      <c r="AA42" s="24" t="s">
        <v>8</v>
      </c>
      <c r="AB42" s="24" t="s">
        <v>8</v>
      </c>
      <c r="AC42" s="24" t="s">
        <v>8</v>
      </c>
      <c r="AD42" s="24" t="s">
        <v>8</v>
      </c>
      <c r="AE42" s="24" t="s">
        <v>8</v>
      </c>
    </row>
    <row r="43" spans="1:31" ht="11.45" customHeight="1" x14ac:dyDescent="0.25">
      <c r="A43" s="19" t="s">
        <v>43</v>
      </c>
      <c r="B43" s="25" t="s">
        <v>8</v>
      </c>
      <c r="C43" s="25" t="s">
        <v>8</v>
      </c>
      <c r="D43" s="25" t="s">
        <v>8</v>
      </c>
      <c r="E43" s="25" t="s">
        <v>8</v>
      </c>
      <c r="F43" s="25" t="s">
        <v>8</v>
      </c>
      <c r="G43" s="20">
        <v>10535.3</v>
      </c>
      <c r="H43" s="20">
        <v>11056.4</v>
      </c>
      <c r="I43" s="20">
        <v>11940.5</v>
      </c>
      <c r="J43" s="20">
        <v>12462.1</v>
      </c>
      <c r="K43" s="20">
        <v>13796.3</v>
      </c>
      <c r="L43" s="20">
        <v>15972.9</v>
      </c>
      <c r="M43" s="20">
        <v>17258.099999999999</v>
      </c>
      <c r="N43" s="20">
        <v>19635.599999999999</v>
      </c>
      <c r="O43" s="21">
        <v>22904</v>
      </c>
      <c r="P43" s="21">
        <v>21173</v>
      </c>
      <c r="Q43" s="20">
        <v>22287.3</v>
      </c>
      <c r="R43" s="20">
        <v>23661.9</v>
      </c>
      <c r="S43" s="20">
        <v>23666.1</v>
      </c>
      <c r="T43" s="20">
        <v>24149.4</v>
      </c>
      <c r="U43" s="20">
        <v>24478.3</v>
      </c>
      <c r="V43" s="20">
        <v>25346.9</v>
      </c>
      <c r="W43" s="20">
        <v>26585.599999999999</v>
      </c>
      <c r="X43" s="21">
        <v>28171</v>
      </c>
      <c r="Y43" s="21">
        <v>29392</v>
      </c>
      <c r="Z43" s="20">
        <v>30233.599999999999</v>
      </c>
      <c r="AA43" s="20">
        <v>28892.9</v>
      </c>
      <c r="AB43" s="20">
        <v>32745.1</v>
      </c>
      <c r="AC43" s="20">
        <v>39106.199999999997</v>
      </c>
      <c r="AD43" s="20">
        <v>41433.699999999997</v>
      </c>
      <c r="AE43" s="25" t="s">
        <v>8</v>
      </c>
    </row>
    <row r="44" spans="1:31" ht="11.45" customHeight="1" x14ac:dyDescent="0.25">
      <c r="A44" s="19" t="s">
        <v>44</v>
      </c>
      <c r="B44" s="24" t="s">
        <v>8</v>
      </c>
      <c r="C44" s="24" t="s">
        <v>8</v>
      </c>
      <c r="D44" s="24" t="s">
        <v>8</v>
      </c>
      <c r="E44" s="24" t="s">
        <v>8</v>
      </c>
      <c r="F44" s="24" t="s">
        <v>8</v>
      </c>
      <c r="G44" s="24" t="s">
        <v>8</v>
      </c>
      <c r="H44" s="24" t="s">
        <v>8</v>
      </c>
      <c r="I44" s="24" t="s">
        <v>8</v>
      </c>
      <c r="J44" s="24" t="s">
        <v>8</v>
      </c>
      <c r="K44" s="24" t="s">
        <v>8</v>
      </c>
      <c r="L44" s="24" t="s">
        <v>8</v>
      </c>
      <c r="M44" s="23">
        <v>4372.2</v>
      </c>
      <c r="N44" s="23">
        <v>5208.8999999999996</v>
      </c>
      <c r="O44" s="23">
        <v>6459.8</v>
      </c>
      <c r="P44" s="22">
        <v>4641</v>
      </c>
      <c r="Q44" s="23">
        <v>5204.2</v>
      </c>
      <c r="R44" s="23">
        <v>5380.4</v>
      </c>
      <c r="S44" s="23">
        <v>5300.4</v>
      </c>
      <c r="T44" s="23">
        <v>5477.4</v>
      </c>
      <c r="U44" s="23">
        <v>5517.4</v>
      </c>
      <c r="V44" s="23">
        <v>5831.8</v>
      </c>
      <c r="W44" s="23">
        <v>6396.2</v>
      </c>
      <c r="X44" s="23">
        <v>7094.4</v>
      </c>
      <c r="Y44" s="23">
        <v>7780.9</v>
      </c>
      <c r="Z44" s="23">
        <v>8155.7</v>
      </c>
      <c r="AA44" s="23">
        <v>6904.5</v>
      </c>
      <c r="AB44" s="23">
        <v>7965.8</v>
      </c>
      <c r="AC44" s="23">
        <v>9553.5</v>
      </c>
      <c r="AD44" s="23">
        <v>11191.6</v>
      </c>
      <c r="AE44" s="23">
        <v>12276.8</v>
      </c>
    </row>
    <row r="45" spans="1:31" ht="11.45" customHeight="1" x14ac:dyDescent="0.25">
      <c r="A45" s="19" t="s">
        <v>45</v>
      </c>
      <c r="B45" s="25" t="s">
        <v>8</v>
      </c>
      <c r="C45" s="25" t="s">
        <v>8</v>
      </c>
      <c r="D45" s="25" t="s">
        <v>8</v>
      </c>
      <c r="E45" s="25" t="s">
        <v>8</v>
      </c>
      <c r="F45" s="25" t="s">
        <v>8</v>
      </c>
      <c r="G45" s="20">
        <v>8291.7000000000007</v>
      </c>
      <c r="H45" s="20">
        <v>8194.6</v>
      </c>
      <c r="I45" s="20">
        <v>8103.6</v>
      </c>
      <c r="J45" s="20">
        <v>8455.2999999999993</v>
      </c>
      <c r="K45" s="20">
        <v>9198.7999999999993</v>
      </c>
      <c r="L45" s="20">
        <v>10070.799999999999</v>
      </c>
      <c r="M45" s="20">
        <v>11156.9</v>
      </c>
      <c r="N45" s="20">
        <v>12667.9</v>
      </c>
      <c r="O45" s="20">
        <v>14250.8</v>
      </c>
      <c r="P45" s="20">
        <v>13114.2</v>
      </c>
      <c r="Q45" s="20">
        <v>13748.6</v>
      </c>
      <c r="R45" s="20">
        <v>14633.1</v>
      </c>
      <c r="S45" s="20">
        <v>14457.7</v>
      </c>
      <c r="T45" s="20">
        <v>15103.4</v>
      </c>
      <c r="U45" s="20">
        <v>15941.4</v>
      </c>
      <c r="V45" s="20">
        <v>16917.3</v>
      </c>
      <c r="W45" s="20">
        <v>17831.599999999999</v>
      </c>
      <c r="X45" s="20">
        <v>18755.2</v>
      </c>
      <c r="Y45" s="21">
        <v>20500</v>
      </c>
      <c r="Z45" s="20">
        <v>21475.9</v>
      </c>
      <c r="AA45" s="20">
        <v>20272.099999999999</v>
      </c>
      <c r="AB45" s="20">
        <v>23087.1</v>
      </c>
      <c r="AC45" s="25" t="s">
        <v>8</v>
      </c>
      <c r="AD45" s="25" t="s">
        <v>8</v>
      </c>
      <c r="AE45" s="25" t="s">
        <v>8</v>
      </c>
    </row>
    <row r="46" spans="1:31" ht="11.45" customHeight="1" x14ac:dyDescent="0.25">
      <c r="A46" s="19" t="s">
        <v>46</v>
      </c>
      <c r="B46" s="23">
        <v>3489.4</v>
      </c>
      <c r="C46" s="23">
        <v>3951.4</v>
      </c>
      <c r="D46" s="23">
        <v>3047.4</v>
      </c>
      <c r="E46" s="23">
        <v>3557.8</v>
      </c>
      <c r="F46" s="23">
        <v>4822.6000000000004</v>
      </c>
      <c r="G46" s="23">
        <v>6036.4</v>
      </c>
      <c r="H46" s="22">
        <v>7038</v>
      </c>
      <c r="I46" s="23">
        <v>7429.1</v>
      </c>
      <c r="J46" s="23">
        <v>7664.9</v>
      </c>
      <c r="K46" s="23">
        <v>9131.6</v>
      </c>
      <c r="L46" s="23">
        <v>10177.4</v>
      </c>
      <c r="M46" s="23">
        <v>11124.4</v>
      </c>
      <c r="N46" s="23">
        <v>12454.2</v>
      </c>
      <c r="O46" s="22">
        <v>14292</v>
      </c>
      <c r="P46" s="23">
        <v>14152.2</v>
      </c>
      <c r="Q46" s="23">
        <v>14026.5</v>
      </c>
      <c r="R46" s="23">
        <v>14701.2</v>
      </c>
      <c r="S46" s="23">
        <v>14956.2</v>
      </c>
      <c r="T46" s="23">
        <v>15370.3</v>
      </c>
      <c r="U46" s="23">
        <v>15493.8</v>
      </c>
      <c r="V46" s="23">
        <v>16002.8</v>
      </c>
      <c r="W46" s="23">
        <v>16757.599999999999</v>
      </c>
      <c r="X46" s="23">
        <v>17808.7</v>
      </c>
      <c r="Y46" s="23">
        <v>19469.400000000001</v>
      </c>
      <c r="Z46" s="23">
        <v>20504.599999999999</v>
      </c>
      <c r="AA46" s="23">
        <v>19907.400000000001</v>
      </c>
      <c r="AB46" s="22">
        <v>22803</v>
      </c>
      <c r="AC46" s="23">
        <v>26395.200000000001</v>
      </c>
      <c r="AD46" s="23">
        <v>31394.799999999999</v>
      </c>
      <c r="AE46" s="23">
        <v>36326.5</v>
      </c>
    </row>
    <row r="47" spans="1:31" ht="11.45" customHeight="1" x14ac:dyDescent="0.25">
      <c r="A47" s="19" t="s">
        <v>47</v>
      </c>
      <c r="B47" s="21">
        <v>76554</v>
      </c>
      <c r="C47" s="20">
        <v>54182.2</v>
      </c>
      <c r="D47" s="20">
        <v>68422.100000000006</v>
      </c>
      <c r="E47" s="20">
        <v>54253.4</v>
      </c>
      <c r="F47" s="21">
        <v>56315</v>
      </c>
      <c r="G47" s="20">
        <v>87708.1</v>
      </c>
      <c r="H47" s="20">
        <v>40179.300000000003</v>
      </c>
      <c r="I47" s="21">
        <v>47813</v>
      </c>
      <c r="J47" s="20">
        <v>50146.8</v>
      </c>
      <c r="K47" s="20">
        <v>53306.3</v>
      </c>
      <c r="L47" s="20">
        <v>57273.7</v>
      </c>
      <c r="M47" s="20">
        <v>66056.600000000006</v>
      </c>
      <c r="N47" s="20">
        <v>79027.399999999994</v>
      </c>
      <c r="O47" s="20">
        <v>86018.9</v>
      </c>
      <c r="P47" s="20">
        <v>72130.7</v>
      </c>
      <c r="Q47" s="20">
        <v>71830.399999999994</v>
      </c>
      <c r="R47" s="20">
        <v>80930.600000000006</v>
      </c>
      <c r="S47" s="20">
        <v>76624.899999999994</v>
      </c>
      <c r="T47" s="20">
        <v>82522.100000000006</v>
      </c>
      <c r="U47" s="20">
        <v>77882.7</v>
      </c>
      <c r="V47" s="20">
        <v>79322.8</v>
      </c>
      <c r="W47" s="20">
        <v>81055.199999999997</v>
      </c>
      <c r="X47" s="20">
        <v>86428.800000000003</v>
      </c>
      <c r="Y47" s="20">
        <v>94110.1</v>
      </c>
      <c r="Z47" s="20">
        <v>101333.2</v>
      </c>
      <c r="AA47" s="20">
        <v>101133.6</v>
      </c>
      <c r="AB47" s="20">
        <v>116756.8</v>
      </c>
      <c r="AC47" s="20">
        <v>134001.29999999999</v>
      </c>
      <c r="AD47" s="20">
        <v>154012.29999999999</v>
      </c>
      <c r="AE47" s="20">
        <v>167804.79999999999</v>
      </c>
    </row>
    <row r="48" spans="1:31" ht="11.45" customHeight="1" x14ac:dyDescent="0.25">
      <c r="A48" s="19" t="s">
        <v>48</v>
      </c>
      <c r="B48" s="24" t="s">
        <v>8</v>
      </c>
      <c r="C48" s="24" t="s">
        <v>8</v>
      </c>
      <c r="D48" s="24" t="s">
        <v>8</v>
      </c>
      <c r="E48" s="24" t="s">
        <v>8</v>
      </c>
      <c r="F48" s="24" t="s">
        <v>8</v>
      </c>
      <c r="G48" s="24" t="s">
        <v>8</v>
      </c>
      <c r="H48" s="24" t="s">
        <v>8</v>
      </c>
      <c r="I48" s="24" t="s">
        <v>8</v>
      </c>
      <c r="J48" s="24" t="s">
        <v>8</v>
      </c>
      <c r="K48" s="24" t="s">
        <v>8</v>
      </c>
      <c r="L48" s="24" t="s">
        <v>8</v>
      </c>
      <c r="M48" s="24" t="s">
        <v>8</v>
      </c>
      <c r="N48" s="24" t="s">
        <v>8</v>
      </c>
      <c r="O48" s="24" t="s">
        <v>8</v>
      </c>
      <c r="P48" s="24" t="s">
        <v>8</v>
      </c>
      <c r="Q48" s="24" t="s">
        <v>8</v>
      </c>
      <c r="R48" s="24" t="s">
        <v>8</v>
      </c>
      <c r="S48" s="24" t="s">
        <v>8</v>
      </c>
      <c r="T48" s="24" t="s">
        <v>8</v>
      </c>
      <c r="U48" s="24" t="s">
        <v>8</v>
      </c>
      <c r="V48" s="24" t="s">
        <v>8</v>
      </c>
      <c r="W48" s="24" t="s">
        <v>8</v>
      </c>
      <c r="X48" s="24" t="s">
        <v>8</v>
      </c>
      <c r="Y48" s="24" t="s">
        <v>8</v>
      </c>
      <c r="Z48" s="24" t="s">
        <v>8</v>
      </c>
      <c r="AA48" s="24" t="s">
        <v>8</v>
      </c>
      <c r="AB48" s="24" t="s">
        <v>8</v>
      </c>
      <c r="AC48" s="24" t="s">
        <v>8</v>
      </c>
      <c r="AD48" s="23">
        <v>2032369.2</v>
      </c>
      <c r="AE48" s="24" t="s">
        <v>8</v>
      </c>
    </row>
    <row r="49" spans="1:31" ht="11.45" customHeight="1" x14ac:dyDescent="0.25">
      <c r="A49" s="19" t="s">
        <v>49</v>
      </c>
      <c r="B49" s="25" t="s">
        <v>8</v>
      </c>
      <c r="C49" s="25" t="s">
        <v>8</v>
      </c>
      <c r="D49" s="25" t="s">
        <v>8</v>
      </c>
      <c r="E49" s="25" t="s">
        <v>8</v>
      </c>
      <c r="F49" s="25" t="s">
        <v>8</v>
      </c>
      <c r="G49" s="25" t="s">
        <v>8</v>
      </c>
      <c r="H49" s="25" t="s">
        <v>8</v>
      </c>
      <c r="I49" s="25" t="s">
        <v>8</v>
      </c>
      <c r="J49" s="25" t="s">
        <v>8</v>
      </c>
      <c r="K49" s="25" t="s">
        <v>8</v>
      </c>
      <c r="L49" s="25" t="s">
        <v>8</v>
      </c>
      <c r="M49" s="25" t="s">
        <v>8</v>
      </c>
      <c r="N49" s="25" t="s">
        <v>8</v>
      </c>
      <c r="O49" s="25" t="s">
        <v>8</v>
      </c>
      <c r="P49" s="25" t="s">
        <v>8</v>
      </c>
      <c r="Q49" s="25" t="s">
        <v>8</v>
      </c>
      <c r="R49" s="25" t="s">
        <v>8</v>
      </c>
      <c r="S49" s="25" t="s">
        <v>8</v>
      </c>
      <c r="T49" s="25" t="s">
        <v>8</v>
      </c>
      <c r="U49" s="25" t="s">
        <v>8</v>
      </c>
      <c r="V49" s="25" t="s">
        <v>8</v>
      </c>
      <c r="W49" s="25" t="s">
        <v>8</v>
      </c>
      <c r="X49" s="25" t="s">
        <v>8</v>
      </c>
      <c r="Y49" s="25" t="s">
        <v>8</v>
      </c>
      <c r="Z49" s="25" t="s">
        <v>8</v>
      </c>
      <c r="AA49" s="25" t="s">
        <v>8</v>
      </c>
      <c r="AB49" s="25" t="s">
        <v>8</v>
      </c>
      <c r="AC49" s="25" t="s">
        <v>8</v>
      </c>
      <c r="AD49" s="25" t="s">
        <v>8</v>
      </c>
      <c r="AE49" s="25" t="s">
        <v>8</v>
      </c>
    </row>
    <row r="51" spans="1:31" ht="11.45" customHeight="1" x14ac:dyDescent="0.25">
      <c r="A51" s="16" t="s">
        <v>50</v>
      </c>
    </row>
    <row r="52" spans="1:31" ht="11.45" customHeight="1" x14ac:dyDescent="0.25">
      <c r="A52" s="16" t="s">
        <v>8</v>
      </c>
    </row>
    <row r="53" spans="1:31" ht="11.45" customHeight="1" x14ac:dyDescent="0.25">
      <c r="A53" s="16" t="s">
        <v>51</v>
      </c>
    </row>
    <row r="54" spans="1:31" ht="11.45" customHeight="1" x14ac:dyDescent="0.25">
      <c r="A54" s="16" t="s">
        <v>10</v>
      </c>
    </row>
    <row r="55" spans="1:31" ht="11.45" customHeight="1" x14ac:dyDescent="0.25">
      <c r="A55" s="16" t="s">
        <v>53</v>
      </c>
    </row>
    <row r="56" spans="1:31" ht="11.45" customHeight="1" x14ac:dyDescent="0.25">
      <c r="A56" s="16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C4BDF-0745-4016-A786-D31815F0FD9D}">
  <dimension ref="A1:AE47"/>
  <sheetViews>
    <sheetView showGridLines="0" topLeftCell="M1" workbookViewId="0">
      <selection activeCell="AE3" sqref="AE3"/>
    </sheetView>
  </sheetViews>
  <sheetFormatPr defaultRowHeight="11.45" customHeight="1" x14ac:dyDescent="0.25"/>
  <cols>
    <col min="1" max="1" width="22.5703125" bestFit="1" customWidth="1"/>
    <col min="2" max="31" width="13.28515625" bestFit="1" customWidth="1"/>
  </cols>
  <sheetData>
    <row r="1" spans="1:31" s="28" customFormat="1" ht="15" x14ac:dyDescent="0.25">
      <c r="A1" s="30"/>
      <c r="B1" s="29">
        <v>1995</v>
      </c>
      <c r="C1" s="26">
        <v>1996</v>
      </c>
      <c r="D1" s="26">
        <v>1997</v>
      </c>
      <c r="E1" s="26">
        <v>1998</v>
      </c>
      <c r="F1" s="26">
        <v>1999</v>
      </c>
      <c r="G1" s="26">
        <v>2000</v>
      </c>
      <c r="H1" s="26">
        <v>2001</v>
      </c>
      <c r="I1" s="26">
        <v>2002</v>
      </c>
      <c r="J1" s="26">
        <v>2003</v>
      </c>
      <c r="K1" s="26">
        <v>2004</v>
      </c>
      <c r="L1" s="26">
        <v>2005</v>
      </c>
      <c r="M1" s="26">
        <v>2006</v>
      </c>
      <c r="N1" s="26">
        <v>2007</v>
      </c>
      <c r="O1" s="26">
        <v>2008</v>
      </c>
      <c r="P1" s="26">
        <v>2009</v>
      </c>
      <c r="Q1" s="26">
        <v>2010</v>
      </c>
      <c r="R1" s="26">
        <v>2011</v>
      </c>
      <c r="S1" s="26">
        <v>2012</v>
      </c>
      <c r="T1" s="26">
        <v>2013</v>
      </c>
      <c r="U1" s="26">
        <v>2014</v>
      </c>
      <c r="V1" s="26">
        <v>2015</v>
      </c>
      <c r="W1" s="26">
        <v>2016</v>
      </c>
      <c r="X1" s="26">
        <v>2017</v>
      </c>
      <c r="Y1" s="26">
        <v>2018</v>
      </c>
      <c r="Z1" s="26">
        <v>2019</v>
      </c>
      <c r="AA1" s="26">
        <v>2020</v>
      </c>
      <c r="AB1" s="26">
        <v>2021</v>
      </c>
      <c r="AC1" s="26">
        <v>2022</v>
      </c>
      <c r="AD1" s="26">
        <v>2023</v>
      </c>
      <c r="AE1" s="27">
        <v>2024</v>
      </c>
    </row>
    <row r="2" spans="1:31" ht="15" x14ac:dyDescent="0.25">
      <c r="A2" s="31" t="s">
        <v>9</v>
      </c>
      <c r="B2" s="34">
        <f>+IFERROR(_xlfn.XLOOKUP($A2,'Curr Prices'!$A$11:$A$49,'Curr Prices'!B$11:B$49,,0)*_xlfn.XLOOKUP($A2,'2024 Adj Factor'!$A$11:$A$49,'2024 Adj Factor'!$B$11:$B$49,,0),0)</f>
        <v>538646.35725360271</v>
      </c>
      <c r="C2" s="35">
        <f>+IFERROR(_xlfn.XLOOKUP($A2,'Curr Prices'!$A$11:$A$49,'Curr Prices'!C$11:C$49,,0)*_xlfn.XLOOKUP($A2,'2024 Adj Factor'!$A$11:$A$49,'2024 Adj Factor'!$B$11:$B$49,,0),0)</f>
        <v>541055.62275725789</v>
      </c>
      <c r="D2" s="35">
        <f>+IFERROR(_xlfn.XLOOKUP($A2,'Curr Prices'!$A$11:$A$49,'Curr Prices'!D$11:D$49,,0)*_xlfn.XLOOKUP($A2,'2024 Adj Factor'!$A$11:$A$49,'2024 Adj Factor'!$B$11:$B$49,,0),0)</f>
        <v>556631.95391237468</v>
      </c>
      <c r="E2" s="35">
        <f>+IFERROR(_xlfn.XLOOKUP($A2,'Curr Prices'!$A$11:$A$49,'Curr Prices'!E$11:E$49,,0)*_xlfn.XLOOKUP($A2,'2024 Adj Factor'!$A$11:$A$49,'2024 Adj Factor'!$B$11:$B$49,,0),0)</f>
        <v>580518.61272982997</v>
      </c>
      <c r="F2" s="35">
        <f>+IFERROR(_xlfn.XLOOKUP($A2,'Curr Prices'!$A$11:$A$49,'Curr Prices'!F$11:F$49,,0)*_xlfn.XLOOKUP($A2,'2024 Adj Factor'!$A$11:$A$49,'2024 Adj Factor'!$B$11:$B$49,,0),0)</f>
        <v>613164.56215772568</v>
      </c>
      <c r="G2" s="35">
        <f>+IFERROR(_xlfn.XLOOKUP($A2,'Curr Prices'!$A$11:$A$49,'Curr Prices'!G$11:G$49,,0)*_xlfn.XLOOKUP($A2,'2024 Adj Factor'!$A$11:$A$49,'2024 Adj Factor'!$B$11:$B$49,,0),0)</f>
        <v>657339.49925954023</v>
      </c>
      <c r="H2" s="35">
        <f>+IFERROR(_xlfn.XLOOKUP($A2,'Curr Prices'!$A$11:$A$49,'Curr Prices'!H$11:H$49,,0)*_xlfn.XLOOKUP($A2,'2024 Adj Factor'!$A$11:$A$49,'2024 Adj Factor'!$B$11:$B$49,,0),0)</f>
        <v>683471.467406268</v>
      </c>
      <c r="I2" s="35">
        <f>+IFERROR(_xlfn.XLOOKUP($A2,'Curr Prices'!$A$11:$A$49,'Curr Prices'!I$11:I$49,,0)*_xlfn.XLOOKUP($A2,'2024 Adj Factor'!$A$11:$A$49,'2024 Adj Factor'!$B$11:$B$49,,0),0)</f>
        <v>686139.65012648224</v>
      </c>
      <c r="J2" s="35">
        <f>+IFERROR(_xlfn.XLOOKUP($A2,'Curr Prices'!$A$11:$A$49,'Curr Prices'!J$11:J$49,,0)*_xlfn.XLOOKUP($A2,'2024 Adj Factor'!$A$11:$A$49,'2024 Adj Factor'!$B$11:$B$49,,0),0)</f>
        <v>692626.05808420572</v>
      </c>
      <c r="K2" s="35">
        <f>+IFERROR(_xlfn.XLOOKUP($A2,'Curr Prices'!$A$11:$A$49,'Curr Prices'!K$11:K$49,,0)*_xlfn.XLOOKUP($A2,'2024 Adj Factor'!$A$11:$A$49,'2024 Adj Factor'!$B$11:$B$49,,0),0)</f>
        <v>737091.19514173397</v>
      </c>
      <c r="L2" s="35">
        <f>+IFERROR(_xlfn.XLOOKUP($A2,'Curr Prices'!$A$11:$A$49,'Curr Prices'!L$11:L$49,,0)*_xlfn.XLOOKUP($A2,'2024 Adj Factor'!$A$11:$A$49,'2024 Adj Factor'!$B$11:$B$49,,0),0)</f>
        <v>776065.28412372596</v>
      </c>
      <c r="M2" s="35">
        <f>+IFERROR(_xlfn.XLOOKUP($A2,'Curr Prices'!$A$11:$A$49,'Curr Prices'!M$11:M$49,,0)*_xlfn.XLOOKUP($A2,'2024 Adj Factor'!$A$11:$A$49,'2024 Adj Factor'!$B$11:$B$49,,0),0)</f>
        <v>831326.18101649324</v>
      </c>
      <c r="N2" s="35">
        <f>+IFERROR(_xlfn.XLOOKUP($A2,'Curr Prices'!$A$11:$A$49,'Curr Prices'!N$11:N$49,,0)*_xlfn.XLOOKUP($A2,'2024 Adj Factor'!$A$11:$A$49,'2024 Adj Factor'!$B$11:$B$49,,0),0)</f>
        <v>883204.70901767781</v>
      </c>
      <c r="O2" s="35">
        <f>+IFERROR(_xlfn.XLOOKUP($A2,'Curr Prices'!$A$11:$A$49,'Curr Prices'!O$11:O$49,,0)*_xlfn.XLOOKUP($A2,'2024 Adj Factor'!$A$11:$A$49,'2024 Adj Factor'!$B$11:$B$49,,0),0)</f>
        <v>925354.42878901435</v>
      </c>
      <c r="P2" s="35">
        <f>+IFERROR(_xlfn.XLOOKUP($A2,'Curr Prices'!$A$11:$A$49,'Curr Prices'!P$11:P$49,,0)*_xlfn.XLOOKUP($A2,'2024 Adj Factor'!$A$11:$A$49,'2024 Adj Factor'!$B$11:$B$49,,0),0)</f>
        <v>864071.79007979808</v>
      </c>
      <c r="Q2" s="35">
        <f>+IFERROR(_xlfn.XLOOKUP($A2,'Curr Prices'!$A$11:$A$49,'Curr Prices'!Q$11:Q$49,,0)*_xlfn.XLOOKUP($A2,'2024 Adj Factor'!$A$11:$A$49,'2024 Adj Factor'!$B$11:$B$49,,0),0)</f>
        <v>931849.98663882259</v>
      </c>
      <c r="R2" s="35">
        <f>+IFERROR(_xlfn.XLOOKUP($A2,'Curr Prices'!$A$11:$A$49,'Curr Prices'!R$11:R$49,,0)*_xlfn.XLOOKUP($A2,'2024 Adj Factor'!$A$11:$A$49,'2024 Adj Factor'!$B$11:$B$49,,0),0)</f>
        <v>1002155.408121081</v>
      </c>
      <c r="S2" s="35">
        <f>+IFERROR(_xlfn.XLOOKUP($A2,'Curr Prices'!$A$11:$A$49,'Curr Prices'!S$11:S$49,,0)*_xlfn.XLOOKUP($A2,'2024 Adj Factor'!$A$11:$A$49,'2024 Adj Factor'!$B$11:$B$49,,0),0)</f>
        <v>1022942.2318768664</v>
      </c>
      <c r="T2" s="35">
        <f>+IFERROR(_xlfn.XLOOKUP($A2,'Curr Prices'!$A$11:$A$49,'Curr Prices'!T$11:T$49,,0)*_xlfn.XLOOKUP($A2,'2024 Adj Factor'!$A$11:$A$49,'2024 Adj Factor'!$B$11:$B$49,,0),0)</f>
        <v>1025297.9581471069</v>
      </c>
      <c r="U2" s="35">
        <f>+IFERROR(_xlfn.XLOOKUP($A2,'Curr Prices'!$A$11:$A$49,'Curr Prices'!U$11:U$49,,0)*_xlfn.XLOOKUP($A2,'2024 Adj Factor'!$A$11:$A$49,'2024 Adj Factor'!$B$11:$B$49,,0),0)</f>
        <v>1041720.0360841075</v>
      </c>
      <c r="V2" s="35">
        <f>+IFERROR(_xlfn.XLOOKUP($A2,'Curr Prices'!$A$11:$A$49,'Curr Prices'!V$11:V$49,,0)*_xlfn.XLOOKUP($A2,'2024 Adj Factor'!$A$11:$A$49,'2024 Adj Factor'!$B$11:$B$49,,0),0)</f>
        <v>1053219.5957267268</v>
      </c>
      <c r="W2" s="35">
        <f>+IFERROR(_xlfn.XLOOKUP($A2,'Curr Prices'!$A$11:$A$49,'Curr Prices'!W$11:W$49,,0)*_xlfn.XLOOKUP($A2,'2024 Adj Factor'!$A$11:$A$49,'2024 Adj Factor'!$B$11:$B$49,,0),0)</f>
        <v>1081602.8082678628</v>
      </c>
      <c r="X2" s="35">
        <f>+IFERROR(_xlfn.XLOOKUP($A2,'Curr Prices'!$A$11:$A$49,'Curr Prices'!X$11:X$49,,0)*_xlfn.XLOOKUP($A2,'2024 Adj Factor'!$A$11:$A$49,'2024 Adj Factor'!$B$11:$B$49,,0),0)</f>
        <v>1135218.7029404286</v>
      </c>
      <c r="Y2" s="35">
        <f>+IFERROR(_xlfn.XLOOKUP($A2,'Curr Prices'!$A$11:$A$49,'Curr Prices'!Y$11:Y$49,,0)*_xlfn.XLOOKUP($A2,'2024 Adj Factor'!$A$11:$A$49,'2024 Adj Factor'!$B$11:$B$49,,0),0)</f>
        <v>1186981.1262298897</v>
      </c>
      <c r="Z2" s="35">
        <f>+IFERROR(_xlfn.XLOOKUP($A2,'Curr Prices'!$A$11:$A$49,'Curr Prices'!Z$11:Z$49,,0)*_xlfn.XLOOKUP($A2,'2024 Adj Factor'!$A$11:$A$49,'2024 Adj Factor'!$B$11:$B$49,,0),0)</f>
        <v>1231572.5070687488</v>
      </c>
      <c r="AA2" s="35">
        <f>+IFERROR(_xlfn.XLOOKUP($A2,'Curr Prices'!$A$11:$A$49,'Curr Prices'!AA$11:AA$49,,0)*_xlfn.XLOOKUP($A2,'2024 Adj Factor'!$A$11:$A$49,'2024 Adj Factor'!$B$11:$B$49,,0),0)</f>
        <v>1163510.4165607176</v>
      </c>
      <c r="AB2" s="35">
        <f>+IFERROR(_xlfn.XLOOKUP($A2,'Curr Prices'!$A$11:$A$49,'Curr Prices'!AB$11:AB$49,,0)*_xlfn.XLOOKUP($A2,'2024 Adj Factor'!$A$11:$A$49,'2024 Adj Factor'!$B$11:$B$49,,0),0)</f>
        <v>1351754.6085406865</v>
      </c>
      <c r="AC2" s="35">
        <f>+IFERROR(_xlfn.XLOOKUP($A2,'Curr Prices'!$A$11:$A$49,'Curr Prices'!AC$11:AC$49,,0)*_xlfn.XLOOKUP($A2,'2024 Adj Factor'!$A$11:$A$49,'2024 Adj Factor'!$B$11:$B$49,,0),0)</f>
        <v>1532049.0280653308</v>
      </c>
      <c r="AD2" s="35">
        <f>+IFERROR(_xlfn.XLOOKUP($A2,'Curr Prices'!$A$11:$A$49,'Curr Prices'!AD$11:AD$49,,0)*_xlfn.XLOOKUP($A2,'2024 Adj Factor'!$A$11:$A$49,'2024 Adj Factor'!$B$11:$B$49,,0),0)</f>
        <v>1565489.163396741</v>
      </c>
      <c r="AE2" s="36">
        <f>+IFERROR(_xlfn.XLOOKUP($A2,'Curr Prices'!$A$11:$A$49,'Curr Prices'!AE$11:AE$49,,0)*_xlfn.XLOOKUP($A2,'2024 Adj Factor'!$A$11:$A$49,'2024 Adj Factor'!$B$11:$B$49,,0),0)</f>
        <v>1596648.8735968238</v>
      </c>
    </row>
    <row r="3" spans="1:31" ht="15" x14ac:dyDescent="0.25">
      <c r="A3" s="32" t="s">
        <v>12</v>
      </c>
      <c r="B3" s="37">
        <f>+IFERROR(_xlfn.XLOOKUP($A3,'Curr Prices'!$A$11:$A$49,'Curr Prices'!B$11:B$49,,0)*_xlfn.XLOOKUP($A3,'2024 Adj Factor'!$A$11:$A$49,'2024 Adj Factor'!$B$11:$B$49,,0),0)</f>
        <v>26401</v>
      </c>
      <c r="C3" s="38">
        <f>+IFERROR(_xlfn.XLOOKUP($A3,'Curr Prices'!$A$11:$A$49,'Curr Prices'!C$11:C$49,,0)*_xlfn.XLOOKUP($A3,'2024 Adj Factor'!$A$11:$A$49,'2024 Adj Factor'!$B$11:$B$49,,0),0)</f>
        <v>18128.099999999999</v>
      </c>
      <c r="D3" s="38">
        <f>+IFERROR(_xlfn.XLOOKUP($A3,'Curr Prices'!$A$11:$A$49,'Curr Prices'!D$11:D$49,,0)*_xlfn.XLOOKUP($A3,'2024 Adj Factor'!$A$11:$A$49,'2024 Adj Factor'!$B$11:$B$49,,0),0)</f>
        <v>21181.5</v>
      </c>
      <c r="E3" s="38">
        <f>+IFERROR(_xlfn.XLOOKUP($A3,'Curr Prices'!$A$11:$A$49,'Curr Prices'!E$11:E$49,,0)*_xlfn.XLOOKUP($A3,'2024 Adj Factor'!$A$11:$A$49,'2024 Adj Factor'!$B$11:$B$49,,0),0)</f>
        <v>26727</v>
      </c>
      <c r="F3" s="38">
        <f>+IFERROR(_xlfn.XLOOKUP($A3,'Curr Prices'!$A$11:$A$49,'Curr Prices'!F$11:F$49,,0)*_xlfn.XLOOKUP($A3,'2024 Adj Factor'!$A$11:$A$49,'2024 Adj Factor'!$B$11:$B$49,,0),0)</f>
        <v>24878.799999999999</v>
      </c>
      <c r="G3" s="38">
        <f>+IFERROR(_xlfn.XLOOKUP($A3,'Curr Prices'!$A$11:$A$49,'Curr Prices'!G$11:G$49,,0)*_xlfn.XLOOKUP($A3,'2024 Adj Factor'!$A$11:$A$49,'2024 Adj Factor'!$B$11:$B$49,,0),0)</f>
        <v>28945.599999999999</v>
      </c>
      <c r="H3" s="38">
        <f>+IFERROR(_xlfn.XLOOKUP($A3,'Curr Prices'!$A$11:$A$49,'Curr Prices'!H$11:H$49,,0)*_xlfn.XLOOKUP($A3,'2024 Adj Factor'!$A$11:$A$49,'2024 Adj Factor'!$B$11:$B$49,,0),0)</f>
        <v>32614.400000000001</v>
      </c>
      <c r="I3" s="38">
        <f>+IFERROR(_xlfn.XLOOKUP($A3,'Curr Prices'!$A$11:$A$49,'Curr Prices'!I$11:I$49,,0)*_xlfn.XLOOKUP($A3,'2024 Adj Factor'!$A$11:$A$49,'2024 Adj Factor'!$B$11:$B$49,,0),0)</f>
        <v>35139</v>
      </c>
      <c r="J3" s="38">
        <f>+IFERROR(_xlfn.XLOOKUP($A3,'Curr Prices'!$A$11:$A$49,'Curr Prices'!J$11:J$49,,0)*_xlfn.XLOOKUP($A3,'2024 Adj Factor'!$A$11:$A$49,'2024 Adj Factor'!$B$11:$B$49,,0),0)</f>
        <v>38228.6</v>
      </c>
      <c r="K3" s="38">
        <f>+IFERROR(_xlfn.XLOOKUP($A3,'Curr Prices'!$A$11:$A$49,'Curr Prices'!K$11:K$49,,0)*_xlfn.XLOOKUP($A3,'2024 Adj Factor'!$A$11:$A$49,'2024 Adj Factor'!$B$11:$B$49,,0),0)</f>
        <v>44764</v>
      </c>
      <c r="L3" s="38">
        <f>+IFERROR(_xlfn.XLOOKUP($A3,'Curr Prices'!$A$11:$A$49,'Curr Prices'!L$11:L$49,,0)*_xlfn.XLOOKUP($A3,'2024 Adj Factor'!$A$11:$A$49,'2024 Adj Factor'!$B$11:$B$49,,0),0)</f>
        <v>52007.1</v>
      </c>
      <c r="M3" s="38">
        <f>+IFERROR(_xlfn.XLOOKUP($A3,'Curr Prices'!$A$11:$A$49,'Curr Prices'!M$11:M$49,,0)*_xlfn.XLOOKUP($A3,'2024 Adj Factor'!$A$11:$A$49,'2024 Adj Factor'!$B$11:$B$49,,0),0)</f>
        <v>61037.3</v>
      </c>
      <c r="N3" s="38">
        <f>+IFERROR(_xlfn.XLOOKUP($A3,'Curr Prices'!$A$11:$A$49,'Curr Prices'!N$11:N$49,,0)*_xlfn.XLOOKUP($A3,'2024 Adj Factor'!$A$11:$A$49,'2024 Adj Factor'!$B$11:$B$49,,0),0)</f>
        <v>73357.7</v>
      </c>
      <c r="O3" s="38">
        <f>+IFERROR(_xlfn.XLOOKUP($A3,'Curr Prices'!$A$11:$A$49,'Curr Prices'!O$11:O$49,,0)*_xlfn.XLOOKUP($A3,'2024 Adj Factor'!$A$11:$A$49,'2024 Adj Factor'!$B$11:$B$49,,0),0)</f>
        <v>83038.3</v>
      </c>
      <c r="P3" s="38">
        <f>+IFERROR(_xlfn.XLOOKUP($A3,'Curr Prices'!$A$11:$A$49,'Curr Prices'!P$11:P$49,,0)*_xlfn.XLOOKUP($A3,'2024 Adj Factor'!$A$11:$A$49,'2024 Adj Factor'!$B$11:$B$49,,0),0)</f>
        <v>78573.100000000006</v>
      </c>
      <c r="Q3" s="38">
        <f>+IFERROR(_xlfn.XLOOKUP($A3,'Curr Prices'!$A$11:$A$49,'Curr Prices'!Q$11:Q$49,,0)*_xlfn.XLOOKUP($A3,'2024 Adj Factor'!$A$11:$A$49,'2024 Adj Factor'!$B$11:$B$49,,0),0)</f>
        <v>79100.899999999994</v>
      </c>
      <c r="R3" s="38">
        <f>+IFERROR(_xlfn.XLOOKUP($A3,'Curr Prices'!$A$11:$A$49,'Curr Prices'!R$11:R$49,,0)*_xlfn.XLOOKUP($A3,'2024 Adj Factor'!$A$11:$A$49,'2024 Adj Factor'!$B$11:$B$49,,0),0)</f>
        <v>87229.5</v>
      </c>
      <c r="S3" s="38">
        <f>+IFERROR(_xlfn.XLOOKUP($A3,'Curr Prices'!$A$11:$A$49,'Curr Prices'!S$11:S$49,,0)*_xlfn.XLOOKUP($A3,'2024 Adj Factor'!$A$11:$A$49,'2024 Adj Factor'!$B$11:$B$49,,0),0)</f>
        <v>89273.3</v>
      </c>
      <c r="T3" s="38">
        <f>+IFERROR(_xlfn.XLOOKUP($A3,'Curr Prices'!$A$11:$A$49,'Curr Prices'!T$11:T$49,,0)*_xlfn.XLOOKUP($A3,'2024 Adj Factor'!$A$11:$A$49,'2024 Adj Factor'!$B$11:$B$49,,0),0)</f>
        <v>86835.6</v>
      </c>
      <c r="U3" s="38">
        <f>+IFERROR(_xlfn.XLOOKUP($A3,'Curr Prices'!$A$11:$A$49,'Curr Prices'!U$11:U$49,,0)*_xlfn.XLOOKUP($A3,'2024 Adj Factor'!$A$11:$A$49,'2024 Adj Factor'!$B$11:$B$49,,0),0)</f>
        <v>92181.3</v>
      </c>
      <c r="V3" s="38">
        <f>+IFERROR(_xlfn.XLOOKUP($A3,'Curr Prices'!$A$11:$A$49,'Curr Prices'!V$11:V$49,,0)*_xlfn.XLOOKUP($A3,'2024 Adj Factor'!$A$11:$A$49,'2024 Adj Factor'!$B$11:$B$49,,0),0)</f>
        <v>96466.7</v>
      </c>
      <c r="W3" s="38">
        <f>+IFERROR(_xlfn.XLOOKUP($A3,'Curr Prices'!$A$11:$A$49,'Curr Prices'!W$11:W$49,,0)*_xlfn.XLOOKUP($A3,'2024 Adj Factor'!$A$11:$A$49,'2024 Adj Factor'!$B$11:$B$49,,0),0)</f>
        <v>96102.3</v>
      </c>
      <c r="X3" s="38">
        <f>+IFERROR(_xlfn.XLOOKUP($A3,'Curr Prices'!$A$11:$A$49,'Curr Prices'!X$11:X$49,,0)*_xlfn.XLOOKUP($A3,'2024 Adj Factor'!$A$11:$A$49,'2024 Adj Factor'!$B$11:$B$49,,0),0)</f>
        <v>105334.39999999999</v>
      </c>
      <c r="Y3" s="38">
        <f>+IFERROR(_xlfn.XLOOKUP($A3,'Curr Prices'!$A$11:$A$49,'Curr Prices'!Y$11:Y$49,,0)*_xlfn.XLOOKUP($A3,'2024 Adj Factor'!$A$11:$A$49,'2024 Adj Factor'!$B$11:$B$49,,0),0)</f>
        <v>114437</v>
      </c>
      <c r="Z3" s="38">
        <f>+IFERROR(_xlfn.XLOOKUP($A3,'Curr Prices'!$A$11:$A$49,'Curr Prices'!Z$11:Z$49,,0)*_xlfn.XLOOKUP($A3,'2024 Adj Factor'!$A$11:$A$49,'2024 Adj Factor'!$B$11:$B$49,,0),0)</f>
        <v>122472.3</v>
      </c>
      <c r="AA3" s="38">
        <f>+IFERROR(_xlfn.XLOOKUP($A3,'Curr Prices'!$A$11:$A$49,'Curr Prices'!AA$11:AA$49,,0)*_xlfn.XLOOKUP($A3,'2024 Adj Factor'!$A$11:$A$49,'2024 Adj Factor'!$B$11:$B$49,,0),0)</f>
        <v>121840.5</v>
      </c>
      <c r="AB3" s="38">
        <f>+IFERROR(_xlfn.XLOOKUP($A3,'Curr Prices'!$A$11:$A$49,'Curr Prices'!AB$11:AB$49,,0)*_xlfn.XLOOKUP($A3,'2024 Adj Factor'!$A$11:$A$49,'2024 Adj Factor'!$B$11:$B$49,,0),0)</f>
        <v>142869.6</v>
      </c>
      <c r="AC3" s="38">
        <f>+IFERROR(_xlfn.XLOOKUP($A3,'Curr Prices'!$A$11:$A$49,'Curr Prices'!AC$11:AC$49,,0)*_xlfn.XLOOKUP($A3,'2024 Adj Factor'!$A$11:$A$49,'2024 Adj Factor'!$B$11:$B$49,,0),0)</f>
        <v>181107.1</v>
      </c>
      <c r="AD3" s="38">
        <f>+IFERROR(_xlfn.XLOOKUP($A3,'Curr Prices'!$A$11:$A$49,'Curr Prices'!AD$11:AD$49,,0)*_xlfn.XLOOKUP($A3,'2024 Adj Factor'!$A$11:$A$49,'2024 Adj Factor'!$B$11:$B$49,,0),0)</f>
        <v>186922.5</v>
      </c>
      <c r="AE3" s="39">
        <f>+IFERROR(_xlfn.XLOOKUP($A3,'Curr Prices'!$A$11:$A$49,'Curr Prices'!AE$11:AE$49,,0)*_xlfn.XLOOKUP($A3,'2024 Adj Factor'!$A$11:$A$49,'2024 Adj Factor'!$B$11:$B$49,,0),0)</f>
        <v>199793.7</v>
      </c>
    </row>
    <row r="4" spans="1:31" ht="15" x14ac:dyDescent="0.25">
      <c r="A4" s="32" t="s">
        <v>13</v>
      </c>
      <c r="B4" s="37">
        <f>+IFERROR(_xlfn.XLOOKUP($A4,'Curr Prices'!$A$11:$A$49,'Curr Prices'!B$11:B$49,,0)*_xlfn.XLOOKUP($A4,'2024 Adj Factor'!$A$11:$A$49,'2024 Adj Factor'!$B$11:$B$49,,0),0)</f>
        <v>132675.2646611603</v>
      </c>
      <c r="C4" s="38">
        <f>+IFERROR(_xlfn.XLOOKUP($A4,'Curr Prices'!$A$11:$A$49,'Curr Prices'!C$11:C$49,,0)*_xlfn.XLOOKUP($A4,'2024 Adj Factor'!$A$11:$A$49,'2024 Adj Factor'!$B$11:$B$49,,0),0)</f>
        <v>150590.04020761434</v>
      </c>
      <c r="D4" s="38">
        <f>+IFERROR(_xlfn.XLOOKUP($A4,'Curr Prices'!$A$11:$A$49,'Curr Prices'!D$11:D$49,,0)*_xlfn.XLOOKUP($A4,'2024 Adj Factor'!$A$11:$A$49,'2024 Adj Factor'!$B$11:$B$49,,0),0)</f>
        <v>160599.5626616441</v>
      </c>
      <c r="E4" s="38">
        <f>+IFERROR(_xlfn.XLOOKUP($A4,'Curr Prices'!$A$11:$A$49,'Curr Prices'!E$11:E$49,,0)*_xlfn.XLOOKUP($A4,'2024 Adj Factor'!$A$11:$A$49,'2024 Adj Factor'!$B$11:$B$49,,0),0)</f>
        <v>173380.13724816675</v>
      </c>
      <c r="F4" s="38">
        <f>+IFERROR(_xlfn.XLOOKUP($A4,'Curr Prices'!$A$11:$A$49,'Curr Prices'!F$11:F$49,,0)*_xlfn.XLOOKUP($A4,'2024 Adj Factor'!$A$11:$A$49,'2024 Adj Factor'!$B$11:$B$49,,0),0)</f>
        <v>174669.78691519736</v>
      </c>
      <c r="G4" s="38">
        <f>+IFERROR(_xlfn.XLOOKUP($A4,'Curr Prices'!$A$11:$A$49,'Curr Prices'!G$11:G$49,,0)*_xlfn.XLOOKUP($A4,'2024 Adj Factor'!$A$11:$A$49,'2024 Adj Factor'!$B$11:$B$49,,0),0)</f>
        <v>197820.57439846671</v>
      </c>
      <c r="H4" s="38">
        <f>+IFERROR(_xlfn.XLOOKUP($A4,'Curr Prices'!$A$11:$A$49,'Curr Prices'!H$11:H$49,,0)*_xlfn.XLOOKUP($A4,'2024 Adj Factor'!$A$11:$A$49,'2024 Adj Factor'!$B$11:$B$49,,0),0)</f>
        <v>224678.36285224056</v>
      </c>
      <c r="I4" s="38">
        <f>+IFERROR(_xlfn.XLOOKUP($A4,'Curr Prices'!$A$11:$A$49,'Curr Prices'!I$11:I$49,,0)*_xlfn.XLOOKUP($A4,'2024 Adj Factor'!$A$11:$A$49,'2024 Adj Factor'!$B$11:$B$49,,0),0)</f>
        <v>256607.44574266396</v>
      </c>
      <c r="J4" s="38">
        <f>+IFERROR(_xlfn.XLOOKUP($A4,'Curr Prices'!$A$11:$A$49,'Curr Prices'!J$11:J$49,,0)*_xlfn.XLOOKUP($A4,'2024 Adj Factor'!$A$11:$A$49,'2024 Adj Factor'!$B$11:$B$49,,0),0)</f>
        <v>267451.89733484393</v>
      </c>
      <c r="K4" s="38">
        <f>+IFERROR(_xlfn.XLOOKUP($A4,'Curr Prices'!$A$11:$A$49,'Curr Prices'!K$11:K$49,,0)*_xlfn.XLOOKUP($A4,'2024 Adj Factor'!$A$11:$A$49,'2024 Adj Factor'!$B$11:$B$49,,0),0)</f>
        <v>293306.3465241972</v>
      </c>
      <c r="L4" s="38">
        <f>+IFERROR(_xlfn.XLOOKUP($A4,'Curr Prices'!$A$11:$A$49,'Curr Prices'!L$11:L$49,,0)*_xlfn.XLOOKUP($A4,'2024 Adj Factor'!$A$11:$A$49,'2024 Adj Factor'!$B$11:$B$49,,0),0)</f>
        <v>333563.22443701373</v>
      </c>
      <c r="M4" s="38">
        <f>+IFERROR(_xlfn.XLOOKUP($A4,'Curr Prices'!$A$11:$A$49,'Curr Prices'!M$11:M$49,,0)*_xlfn.XLOOKUP($A4,'2024 Adj Factor'!$A$11:$A$49,'2024 Adj Factor'!$B$11:$B$49,,0),0)</f>
        <v>391056.4897290683</v>
      </c>
      <c r="N4" s="38">
        <f>+IFERROR(_xlfn.XLOOKUP($A4,'Curr Prices'!$A$11:$A$49,'Curr Prices'!N$11:N$49,,0)*_xlfn.XLOOKUP($A4,'2024 Adj Factor'!$A$11:$A$49,'2024 Adj Factor'!$B$11:$B$49,,0),0)</f>
        <v>440394.72214862338</v>
      </c>
      <c r="O4" s="38">
        <f>+IFERROR(_xlfn.XLOOKUP($A4,'Curr Prices'!$A$11:$A$49,'Curr Prices'!O$11:O$49,,0)*_xlfn.XLOOKUP($A4,'2024 Adj Factor'!$A$11:$A$49,'2024 Adj Factor'!$B$11:$B$49,,0),0)</f>
        <v>510116.64630406693</v>
      </c>
      <c r="P4" s="38">
        <f>+IFERROR(_xlfn.XLOOKUP($A4,'Curr Prices'!$A$11:$A$49,'Curr Prices'!P$11:P$49,,0)*_xlfn.XLOOKUP($A4,'2024 Adj Factor'!$A$11:$A$49,'2024 Adj Factor'!$B$11:$B$49,,0),0)</f>
        <v>443828.33690788393</v>
      </c>
      <c r="Q4" s="38">
        <f>+IFERROR(_xlfn.XLOOKUP($A4,'Curr Prices'!$A$11:$A$49,'Curr Prices'!Q$11:Q$49,,0)*_xlfn.XLOOKUP($A4,'2024 Adj Factor'!$A$11:$A$49,'2024 Adj Factor'!$B$11:$B$49,,0),0)</f>
        <v>487685.12963417172</v>
      </c>
      <c r="R4" s="38">
        <f>+IFERROR(_xlfn.XLOOKUP($A4,'Curr Prices'!$A$11:$A$49,'Curr Prices'!R$11:R$49,,0)*_xlfn.XLOOKUP($A4,'2024 Adj Factor'!$A$11:$A$49,'2024 Adj Factor'!$B$11:$B$49,,0),0)</f>
        <v>524165.11043950386</v>
      </c>
      <c r="S4" s="38">
        <f>+IFERROR(_xlfn.XLOOKUP($A4,'Curr Prices'!$A$11:$A$49,'Curr Prices'!S$11:S$49,,0)*_xlfn.XLOOKUP($A4,'2024 Adj Factor'!$A$11:$A$49,'2024 Adj Factor'!$B$11:$B$49,,0),0)</f>
        <v>508621.66024971998</v>
      </c>
      <c r="T4" s="38">
        <f>+IFERROR(_xlfn.XLOOKUP($A4,'Curr Prices'!$A$11:$A$49,'Curr Prices'!T$11:T$49,,0)*_xlfn.XLOOKUP($A4,'2024 Adj Factor'!$A$11:$A$49,'2024 Adj Factor'!$B$11:$B$49,,0),0)</f>
        <v>494059.39356772916</v>
      </c>
      <c r="U4" s="38">
        <f>+IFERROR(_xlfn.XLOOKUP($A4,'Curr Prices'!$A$11:$A$49,'Curr Prices'!U$11:U$49,,0)*_xlfn.XLOOKUP($A4,'2024 Adj Factor'!$A$11:$A$49,'2024 Adj Factor'!$B$11:$B$49,,0),0)</f>
        <v>491500.00803873199</v>
      </c>
      <c r="V4" s="38">
        <f>+IFERROR(_xlfn.XLOOKUP($A4,'Curr Prices'!$A$11:$A$49,'Curr Prices'!V$11:V$49,,0)*_xlfn.XLOOKUP($A4,'2024 Adj Factor'!$A$11:$A$49,'2024 Adj Factor'!$B$11:$B$49,,0),0)</f>
        <v>518006.33761505038</v>
      </c>
      <c r="W4" s="38">
        <f>+IFERROR(_xlfn.XLOOKUP($A4,'Curr Prices'!$A$11:$A$49,'Curr Prices'!W$11:W$49,,0)*_xlfn.XLOOKUP($A4,'2024 Adj Factor'!$A$11:$A$49,'2024 Adj Factor'!$B$11:$B$49,,0),0)</f>
        <v>532671.20655094762</v>
      </c>
      <c r="X4" s="38">
        <f>+IFERROR(_xlfn.XLOOKUP($A4,'Curr Prices'!$A$11:$A$49,'Curr Prices'!X$11:X$49,,0)*_xlfn.XLOOKUP($A4,'2024 Adj Factor'!$A$11:$A$49,'2024 Adj Factor'!$B$11:$B$49,,0),0)</f>
        <v>587869.90035750612</v>
      </c>
      <c r="Y4" s="38">
        <f>+IFERROR(_xlfn.XLOOKUP($A4,'Curr Prices'!$A$11:$A$49,'Curr Prices'!Y$11:Y$49,,0)*_xlfn.XLOOKUP($A4,'2024 Adj Factor'!$A$11:$A$49,'2024 Adj Factor'!$B$11:$B$49,,0),0)</f>
        <v>639464.06356796261</v>
      </c>
      <c r="Z4" s="38">
        <f>+IFERROR(_xlfn.XLOOKUP($A4,'Curr Prices'!$A$11:$A$49,'Curr Prices'!Z$11:Z$49,,0)*_xlfn.XLOOKUP($A4,'2024 Adj Factor'!$A$11:$A$49,'2024 Adj Factor'!$B$11:$B$49,,0),0)</f>
        <v>667205.44469676516</v>
      </c>
      <c r="AA4" s="38">
        <f>+IFERROR(_xlfn.XLOOKUP($A4,'Curr Prices'!$A$11:$A$49,'Curr Prices'!AA$11:AA$49,,0)*_xlfn.XLOOKUP($A4,'2024 Adj Factor'!$A$11:$A$49,'2024 Adj Factor'!$B$11:$B$49,,0),0)</f>
        <v>625140.89442624443</v>
      </c>
      <c r="AB4" s="38">
        <f>+IFERROR(_xlfn.XLOOKUP($A4,'Curr Prices'!$A$11:$A$49,'Curr Prices'!AB$11:AB$49,,0)*_xlfn.XLOOKUP($A4,'2024 Adj Factor'!$A$11:$A$49,'2024 Adj Factor'!$B$11:$B$49,,0),0)</f>
        <v>721085.07970696001</v>
      </c>
      <c r="AC4" s="38">
        <f>+IFERROR(_xlfn.XLOOKUP($A4,'Curr Prices'!$A$11:$A$49,'Curr Prices'!AC$11:AC$49,,0)*_xlfn.XLOOKUP($A4,'2024 Adj Factor'!$A$11:$A$49,'2024 Adj Factor'!$B$11:$B$49,,0),0)</f>
        <v>873465.38417778548</v>
      </c>
      <c r="AD4" s="38">
        <f>+IFERROR(_xlfn.XLOOKUP($A4,'Curr Prices'!$A$11:$A$49,'Curr Prices'!AD$11:AD$49,,0)*_xlfn.XLOOKUP($A4,'2024 Adj Factor'!$A$11:$A$49,'2024 Adj Factor'!$B$11:$B$49,,0),0)</f>
        <v>931603.67212261073</v>
      </c>
      <c r="AE4" s="39">
        <f>+IFERROR(_xlfn.XLOOKUP($A4,'Curr Prices'!$A$11:$A$49,'Curr Prices'!AE$11:AE$49,,0)*_xlfn.XLOOKUP($A4,'2024 Adj Factor'!$A$11:$A$49,'2024 Adj Factor'!$B$11:$B$49,,0),0)</f>
        <v>931038.56844910362</v>
      </c>
    </row>
    <row r="5" spans="1:31" ht="15" x14ac:dyDescent="0.25">
      <c r="A5" s="32" t="s">
        <v>14</v>
      </c>
      <c r="B5" s="37">
        <f>+IFERROR(_xlfn.XLOOKUP($A5,'Curr Prices'!$A$11:$A$49,'Curr Prices'!B$11:B$49,,0)*_xlfn.XLOOKUP($A5,'2024 Adj Factor'!$A$11:$A$49,'2024 Adj Factor'!$B$11:$B$49,,0),0)</f>
        <v>268946.69122970296</v>
      </c>
      <c r="C5" s="38">
        <f>+IFERROR(_xlfn.XLOOKUP($A5,'Curr Prices'!$A$11:$A$49,'Curr Prices'!C$11:C$49,,0)*_xlfn.XLOOKUP($A5,'2024 Adj Factor'!$A$11:$A$49,'2024 Adj Factor'!$B$11:$B$49,,0),0)</f>
        <v>279829.09152429592</v>
      </c>
      <c r="D5" s="38">
        <f>+IFERROR(_xlfn.XLOOKUP($A5,'Curr Prices'!$A$11:$A$49,'Curr Prices'!D$11:D$49,,0)*_xlfn.XLOOKUP($A5,'2024 Adj Factor'!$A$11:$A$49,'2024 Adj Factor'!$B$11:$B$49,,0),0)</f>
        <v>290127.92773617624</v>
      </c>
      <c r="E5" s="38">
        <f>+IFERROR(_xlfn.XLOOKUP($A5,'Curr Prices'!$A$11:$A$49,'Curr Prices'!E$11:E$49,,0)*_xlfn.XLOOKUP($A5,'2024 Adj Factor'!$A$11:$A$49,'2024 Adj Factor'!$B$11:$B$49,,0),0)</f>
        <v>298597.26541024755</v>
      </c>
      <c r="F5" s="38">
        <f>+IFERROR(_xlfn.XLOOKUP($A5,'Curr Prices'!$A$11:$A$49,'Curr Prices'!F$11:F$49,,0)*_xlfn.XLOOKUP($A5,'2024 Adj Factor'!$A$11:$A$49,'2024 Adj Factor'!$B$11:$B$49,,0),0)</f>
        <v>316844.42916745401</v>
      </c>
      <c r="G5" s="38">
        <f>+IFERROR(_xlfn.XLOOKUP($A5,'Curr Prices'!$A$11:$A$49,'Curr Prices'!G$11:G$49,,0)*_xlfn.XLOOKUP($A5,'2024 Adj Factor'!$A$11:$A$49,'2024 Adj Factor'!$B$11:$B$49,,0),0)</f>
        <v>345981.35938579531</v>
      </c>
      <c r="H5" s="38">
        <f>+IFERROR(_xlfn.XLOOKUP($A5,'Curr Prices'!$A$11:$A$49,'Curr Prices'!H$11:H$49,,0)*_xlfn.XLOOKUP($A5,'2024 Adj Factor'!$A$11:$A$49,'2024 Adj Factor'!$B$11:$B$49,,0),0)</f>
        <v>364042.14743716241</v>
      </c>
      <c r="I5" s="38">
        <f>+IFERROR(_xlfn.XLOOKUP($A5,'Curr Prices'!$A$11:$A$49,'Curr Prices'!I$11:I$49,,0)*_xlfn.XLOOKUP($A5,'2024 Adj Factor'!$A$11:$A$49,'2024 Adj Factor'!$B$11:$B$49,,0),0)</f>
        <v>373095.28304050327</v>
      </c>
      <c r="J5" s="38">
        <f>+IFERROR(_xlfn.XLOOKUP($A5,'Curr Prices'!$A$11:$A$49,'Curr Prices'!J$11:J$49,,0)*_xlfn.XLOOKUP($A5,'2024 Adj Factor'!$A$11:$A$49,'2024 Adj Factor'!$B$11:$B$49,,0),0)</f>
        <v>376874.59416963987</v>
      </c>
      <c r="K5" s="38">
        <f>+IFERROR(_xlfn.XLOOKUP($A5,'Curr Prices'!$A$11:$A$49,'Curr Prices'!K$11:K$49,,0)*_xlfn.XLOOKUP($A5,'2024 Adj Factor'!$A$11:$A$49,'2024 Adj Factor'!$B$11:$B$49,,0),0)</f>
        <v>392713.95685385464</v>
      </c>
      <c r="L5" s="38">
        <f>+IFERROR(_xlfn.XLOOKUP($A5,'Curr Prices'!$A$11:$A$49,'Curr Prices'!L$11:L$49,,0)*_xlfn.XLOOKUP($A5,'2024 Adj Factor'!$A$11:$A$49,'2024 Adj Factor'!$B$11:$B$49,,0),0)</f>
        <v>424409.28532782313</v>
      </c>
      <c r="M5" s="38">
        <f>+IFERROR(_xlfn.XLOOKUP($A5,'Curr Prices'!$A$11:$A$49,'Curr Prices'!M$11:M$49,,0)*_xlfn.XLOOKUP($A5,'2024 Adj Factor'!$A$11:$A$49,'2024 Adj Factor'!$B$11:$B$49,,0),0)</f>
        <v>458937.08022209088</v>
      </c>
      <c r="N5" s="38">
        <f>+IFERROR(_xlfn.XLOOKUP($A5,'Curr Prices'!$A$11:$A$49,'Curr Prices'!N$11:N$49,,0)*_xlfn.XLOOKUP($A5,'2024 Adj Factor'!$A$11:$A$49,'2024 Adj Factor'!$B$11:$B$49,,0),0)</f>
        <v>486346.11823159084</v>
      </c>
      <c r="O5" s="38">
        <f>+IFERROR(_xlfn.XLOOKUP($A5,'Curr Prices'!$A$11:$A$49,'Curr Prices'!O$11:O$49,,0)*_xlfn.XLOOKUP($A5,'2024 Adj Factor'!$A$11:$A$49,'2024 Adj Factor'!$B$11:$B$49,,0),0)</f>
        <v>512967.79488405073</v>
      </c>
      <c r="P5" s="38">
        <f>+IFERROR(_xlfn.XLOOKUP($A5,'Curr Prices'!$A$11:$A$49,'Curr Prices'!P$11:P$49,,0)*_xlfn.XLOOKUP($A5,'2024 Adj Factor'!$A$11:$A$49,'2024 Adj Factor'!$B$11:$B$49,,0),0)</f>
        <v>473258.19413571386</v>
      </c>
      <c r="Q5" s="38">
        <f>+IFERROR(_xlfn.XLOOKUP($A5,'Curr Prices'!$A$11:$A$49,'Curr Prices'!Q$11:Q$49,,0)*_xlfn.XLOOKUP($A5,'2024 Adj Factor'!$A$11:$A$49,'2024 Adj Factor'!$B$11:$B$49,,0),0)</f>
        <v>491032.28630833694</v>
      </c>
      <c r="R5" s="38">
        <f>+IFERROR(_xlfn.XLOOKUP($A5,'Curr Prices'!$A$11:$A$49,'Curr Prices'!R$11:R$49,,0)*_xlfn.XLOOKUP($A5,'2024 Adj Factor'!$A$11:$A$49,'2024 Adj Factor'!$B$11:$B$49,,0),0)</f>
        <v>512548.50800755149</v>
      </c>
      <c r="S5" s="38">
        <f>+IFERROR(_xlfn.XLOOKUP($A5,'Curr Prices'!$A$11:$A$49,'Curr Prices'!S$11:S$49,,0)*_xlfn.XLOOKUP($A5,'2024 Adj Factor'!$A$11:$A$49,'2024 Adj Factor'!$B$11:$B$49,,0),0)</f>
        <v>529860.05169065122</v>
      </c>
      <c r="T5" s="38">
        <f>+IFERROR(_xlfn.XLOOKUP($A5,'Curr Prices'!$A$11:$A$49,'Curr Prices'!T$11:T$49,,0)*_xlfn.XLOOKUP($A5,'2024 Adj Factor'!$A$11:$A$49,'2024 Adj Factor'!$B$11:$B$49,,0),0)</f>
        <v>533561.84268617956</v>
      </c>
      <c r="U5" s="38">
        <f>+IFERROR(_xlfn.XLOOKUP($A5,'Curr Prices'!$A$11:$A$49,'Curr Prices'!U$11:U$49,,0)*_xlfn.XLOOKUP($A5,'2024 Adj Factor'!$A$11:$A$49,'2024 Adj Factor'!$B$11:$B$49,,0),0)</f>
        <v>545955.24250810081</v>
      </c>
      <c r="V5" s="38">
        <f>+IFERROR(_xlfn.XLOOKUP($A5,'Curr Prices'!$A$11:$A$49,'Curr Prices'!V$11:V$49,,0)*_xlfn.XLOOKUP($A5,'2024 Adj Factor'!$A$11:$A$49,'2024 Adj Factor'!$B$11:$B$49,,0),0)</f>
        <v>559124.42828249629</v>
      </c>
      <c r="W5" s="38">
        <f>+IFERROR(_xlfn.XLOOKUP($A5,'Curr Prices'!$A$11:$A$49,'Curr Prices'!W$11:W$49,,0)*_xlfn.XLOOKUP($A5,'2024 Adj Factor'!$A$11:$A$49,'2024 Adj Factor'!$B$11:$B$49,,0),0)</f>
        <v>575453.81642666855</v>
      </c>
      <c r="X5" s="38">
        <f>+IFERROR(_xlfn.XLOOKUP($A5,'Curr Prices'!$A$11:$A$49,'Curr Prices'!X$11:X$49,,0)*_xlfn.XLOOKUP($A5,'2024 Adj Factor'!$A$11:$A$49,'2024 Adj Factor'!$B$11:$B$49,,0),0)</f>
        <v>603691.25586394232</v>
      </c>
      <c r="Y5" s="38">
        <f>+IFERROR(_xlfn.XLOOKUP($A5,'Curr Prices'!$A$11:$A$49,'Curr Prices'!Y$11:Y$49,,0)*_xlfn.XLOOKUP($A5,'2024 Adj Factor'!$A$11:$A$49,'2024 Adj Factor'!$B$11:$B$49,,0),0)</f>
        <v>622788.1010855994</v>
      </c>
      <c r="Z5" s="38">
        <f>+IFERROR(_xlfn.XLOOKUP($A5,'Curr Prices'!$A$11:$A$49,'Curr Prices'!Z$11:Z$49,,0)*_xlfn.XLOOKUP($A5,'2024 Adj Factor'!$A$11:$A$49,'2024 Adj Factor'!$B$11:$B$49,,0),0)</f>
        <v>640654.21187835769</v>
      </c>
      <c r="AA5" s="38">
        <f>+IFERROR(_xlfn.XLOOKUP($A5,'Curr Prices'!$A$11:$A$49,'Curr Prices'!AA$11:AA$49,,0)*_xlfn.XLOOKUP($A5,'2024 Adj Factor'!$A$11:$A$49,'2024 Adj Factor'!$B$11:$B$49,,0),0)</f>
        <v>636117.00405834883</v>
      </c>
      <c r="AB5" s="38">
        <f>+IFERROR(_xlfn.XLOOKUP($A5,'Curr Prices'!$A$11:$A$49,'Curr Prices'!AB$11:AB$49,,0)*_xlfn.XLOOKUP($A5,'2024 Adj Factor'!$A$11:$A$49,'2024 Adj Factor'!$B$11:$B$49,,0),0)</f>
        <v>709273.2101451843</v>
      </c>
      <c r="AC5" s="38">
        <f>+IFERROR(_xlfn.XLOOKUP($A5,'Curr Prices'!$A$11:$A$49,'Curr Prices'!AC$11:AC$49,,0)*_xlfn.XLOOKUP($A5,'2024 Adj Factor'!$A$11:$A$49,'2024 Adj Factor'!$B$11:$B$49,,0),0)</f>
        <v>825806.43253202259</v>
      </c>
      <c r="AD5" s="38">
        <f>+IFERROR(_xlfn.XLOOKUP($A5,'Curr Prices'!$A$11:$A$49,'Curr Prices'!AD$11:AD$49,,0)*_xlfn.XLOOKUP($A5,'2024 Adj Factor'!$A$11:$A$49,'2024 Adj Factor'!$B$11:$B$49,,0),0)</f>
        <v>802673.27881520975</v>
      </c>
      <c r="AE5" s="39">
        <f>+IFERROR(_xlfn.XLOOKUP($A5,'Curr Prices'!$A$11:$A$49,'Curr Prices'!AE$11:AE$49,,0)*_xlfn.XLOOKUP($A5,'2024 Adj Factor'!$A$11:$A$49,'2024 Adj Factor'!$B$11:$B$49,,0),0)</f>
        <v>834947.26059419627</v>
      </c>
    </row>
    <row r="6" spans="1:31" ht="15" x14ac:dyDescent="0.25">
      <c r="A6" s="32" t="s">
        <v>15</v>
      </c>
      <c r="B6" s="37">
        <f>+IFERROR(_xlfn.XLOOKUP($A6,'Curr Prices'!$A$11:$A$49,'Curr Prices'!B$11:B$49,,0)*_xlfn.XLOOKUP($A6,'2024 Adj Factor'!$A$11:$A$49,'2024 Adj Factor'!$B$11:$B$49,,0),0)</f>
        <v>4094487.1942958231</v>
      </c>
      <c r="C6" s="38">
        <f>+IFERROR(_xlfn.XLOOKUP($A6,'Curr Prices'!$A$11:$A$49,'Curr Prices'!C$11:C$49,,0)*_xlfn.XLOOKUP($A6,'2024 Adj Factor'!$A$11:$A$49,'2024 Adj Factor'!$B$11:$B$49,,0),0)</f>
        <v>4083034.085306026</v>
      </c>
      <c r="D6" s="38">
        <f>+IFERROR(_xlfn.XLOOKUP($A6,'Curr Prices'!$A$11:$A$49,'Curr Prices'!D$11:D$49,,0)*_xlfn.XLOOKUP($A6,'2024 Adj Factor'!$A$11:$A$49,'2024 Adj Factor'!$B$11:$B$49,,0),0)</f>
        <v>4081526.937096097</v>
      </c>
      <c r="E6" s="38">
        <f>+IFERROR(_xlfn.XLOOKUP($A6,'Curr Prices'!$A$11:$A$49,'Curr Prices'!E$11:E$49,,0)*_xlfn.XLOOKUP($A6,'2024 Adj Factor'!$A$11:$A$49,'2024 Adj Factor'!$B$11:$B$49,,0),0)</f>
        <v>4209557.8383833244</v>
      </c>
      <c r="F6" s="38">
        <f>+IFERROR(_xlfn.XLOOKUP($A6,'Curr Prices'!$A$11:$A$49,'Curr Prices'!F$11:F$49,,0)*_xlfn.XLOOKUP($A6,'2024 Adj Factor'!$A$11:$A$49,'2024 Adj Factor'!$B$11:$B$49,,0),0)</f>
        <v>4387729.6614620527</v>
      </c>
      <c r="G6" s="38">
        <f>+IFERROR(_xlfn.XLOOKUP($A6,'Curr Prices'!$A$11:$A$49,'Curr Prices'!G$11:G$49,,0)*_xlfn.XLOOKUP($A6,'2024 Adj Factor'!$A$11:$A$49,'2024 Adj Factor'!$B$11:$B$49,,0),0)</f>
        <v>4608095.9126121746</v>
      </c>
      <c r="H6" s="38">
        <f>+IFERROR(_xlfn.XLOOKUP($A6,'Curr Prices'!$A$11:$A$49,'Curr Prices'!H$11:H$49,,0)*_xlfn.XLOOKUP($A6,'2024 Adj Factor'!$A$11:$A$49,'2024 Adj Factor'!$B$11:$B$49,,0),0)</f>
        <v>4749918.802647613</v>
      </c>
      <c r="I6" s="38">
        <f>+IFERROR(_xlfn.XLOOKUP($A6,'Curr Prices'!$A$11:$A$49,'Curr Prices'!I$11:I$49,,0)*_xlfn.XLOOKUP($A6,'2024 Adj Factor'!$A$11:$A$49,'2024 Adj Factor'!$B$11:$B$49,,0),0)</f>
        <v>4743549.336222453</v>
      </c>
      <c r="J6" s="38">
        <f>+IFERROR(_xlfn.XLOOKUP($A6,'Curr Prices'!$A$11:$A$49,'Curr Prices'!J$11:J$49,,0)*_xlfn.XLOOKUP($A6,'2024 Adj Factor'!$A$11:$A$49,'2024 Adj Factor'!$B$11:$B$49,,0),0)</f>
        <v>4825603.6952672144</v>
      </c>
      <c r="K6" s="38">
        <f>+IFERROR(_xlfn.XLOOKUP($A6,'Curr Prices'!$A$11:$A$49,'Curr Prices'!K$11:K$49,,0)*_xlfn.XLOOKUP($A6,'2024 Adj Factor'!$A$11:$A$49,'2024 Adj Factor'!$B$11:$B$49,,0),0)</f>
        <v>4982905.8982988112</v>
      </c>
      <c r="L6" s="38">
        <f>+IFERROR(_xlfn.XLOOKUP($A6,'Curr Prices'!$A$11:$A$49,'Curr Prices'!L$11:L$49,,0)*_xlfn.XLOOKUP($A6,'2024 Adj Factor'!$A$11:$A$49,'2024 Adj Factor'!$B$11:$B$49,,0),0)</f>
        <v>5148794.4634666191</v>
      </c>
      <c r="M6" s="38">
        <f>+IFERROR(_xlfn.XLOOKUP($A6,'Curr Prices'!$A$11:$A$49,'Curr Prices'!M$11:M$49,,0)*_xlfn.XLOOKUP($A6,'2024 Adj Factor'!$A$11:$A$49,'2024 Adj Factor'!$B$11:$B$49,,0),0)</f>
        <v>5445859.7061530398</v>
      </c>
      <c r="N6" s="38">
        <f>+IFERROR(_xlfn.XLOOKUP($A6,'Curr Prices'!$A$11:$A$49,'Curr Prices'!N$11:N$49,,0)*_xlfn.XLOOKUP($A6,'2024 Adj Factor'!$A$11:$A$49,'2024 Adj Factor'!$B$11:$B$49,,0),0)</f>
        <v>5750659.127012061</v>
      </c>
      <c r="O6" s="38">
        <f>+IFERROR(_xlfn.XLOOKUP($A6,'Curr Prices'!$A$11:$A$49,'Curr Prices'!O$11:O$49,,0)*_xlfn.XLOOKUP($A6,'2024 Adj Factor'!$A$11:$A$49,'2024 Adj Factor'!$B$11:$B$49,,0),0)</f>
        <v>5955141.8864861401</v>
      </c>
      <c r="P6" s="38">
        <f>+IFERROR(_xlfn.XLOOKUP($A6,'Curr Prices'!$A$11:$A$49,'Curr Prices'!P$11:P$49,,0)*_xlfn.XLOOKUP($A6,'2024 Adj Factor'!$A$11:$A$49,'2024 Adj Factor'!$B$11:$B$49,,0),0)</f>
        <v>5545786.7977260454</v>
      </c>
      <c r="Q6" s="38">
        <f>+IFERROR(_xlfn.XLOOKUP($A6,'Curr Prices'!$A$11:$A$49,'Curr Prices'!Q$11:Q$49,,0)*_xlfn.XLOOKUP($A6,'2024 Adj Factor'!$A$11:$A$49,'2024 Adj Factor'!$B$11:$B$49,,0),0)</f>
        <v>5935309.1308415914</v>
      </c>
      <c r="R6" s="38">
        <f>+IFERROR(_xlfn.XLOOKUP($A6,'Curr Prices'!$A$11:$A$49,'Curr Prices'!R$11:R$49,,0)*_xlfn.XLOOKUP($A6,'2024 Adj Factor'!$A$11:$A$49,'2024 Adj Factor'!$B$11:$B$49,,0),0)</f>
        <v>6353518.4109836025</v>
      </c>
      <c r="S6" s="38">
        <f>+IFERROR(_xlfn.XLOOKUP($A6,'Curr Prices'!$A$11:$A$49,'Curr Prices'!S$11:S$49,,0)*_xlfn.XLOOKUP($A6,'2024 Adj Factor'!$A$11:$A$49,'2024 Adj Factor'!$B$11:$B$49,,0),0)</f>
        <v>6402966.9941749517</v>
      </c>
      <c r="T6" s="38">
        <f>+IFERROR(_xlfn.XLOOKUP($A6,'Curr Prices'!$A$11:$A$49,'Curr Prices'!T$11:T$49,,0)*_xlfn.XLOOKUP($A6,'2024 Adj Factor'!$A$11:$A$49,'2024 Adj Factor'!$B$11:$B$49,,0),0)</f>
        <v>6461003.1569081731</v>
      </c>
      <c r="U6" s="38">
        <f>+IFERROR(_xlfn.XLOOKUP($A6,'Curr Prices'!$A$11:$A$49,'Curr Prices'!U$11:U$49,,0)*_xlfn.XLOOKUP($A6,'2024 Adj Factor'!$A$11:$A$49,'2024 Adj Factor'!$B$11:$B$49,,0),0)</f>
        <v>6676480.3069184944</v>
      </c>
      <c r="V6" s="38">
        <f>+IFERROR(_xlfn.XLOOKUP($A6,'Curr Prices'!$A$11:$A$49,'Curr Prices'!V$11:V$49,,0)*_xlfn.XLOOKUP($A6,'2024 Adj Factor'!$A$11:$A$49,'2024 Adj Factor'!$B$11:$B$49,,0),0)</f>
        <v>6839170.7474114364</v>
      </c>
      <c r="W6" s="38">
        <f>+IFERROR(_xlfn.XLOOKUP($A6,'Curr Prices'!$A$11:$A$49,'Curr Prices'!W$11:W$49,,0)*_xlfn.XLOOKUP($A6,'2024 Adj Factor'!$A$11:$A$49,'2024 Adj Factor'!$B$11:$B$49,,0),0)</f>
        <v>7018942.6067521265</v>
      </c>
      <c r="X6" s="38">
        <f>+IFERROR(_xlfn.XLOOKUP($A6,'Curr Prices'!$A$11:$A$49,'Curr Prices'!X$11:X$49,,0)*_xlfn.XLOOKUP($A6,'2024 Adj Factor'!$A$11:$A$49,'2024 Adj Factor'!$B$11:$B$49,,0),0)</f>
        <v>7372937.3904247377</v>
      </c>
      <c r="Y6" s="38">
        <f>+IFERROR(_xlfn.XLOOKUP($A6,'Curr Prices'!$A$11:$A$49,'Curr Prices'!Y$11:Y$49,,0)*_xlfn.XLOOKUP($A6,'2024 Adj Factor'!$A$11:$A$49,'2024 Adj Factor'!$B$11:$B$49,,0),0)</f>
        <v>7691234.1878616912</v>
      </c>
      <c r="Z6" s="38">
        <f>+IFERROR(_xlfn.XLOOKUP($A6,'Curr Prices'!$A$11:$A$49,'Curr Prices'!Z$11:Z$49,,0)*_xlfn.XLOOKUP($A6,'2024 Adj Factor'!$A$11:$A$49,'2024 Adj Factor'!$B$11:$B$49,,0),0)</f>
        <v>7903314.7760741925</v>
      </c>
      <c r="AA6" s="38">
        <f>+IFERROR(_xlfn.XLOOKUP($A6,'Curr Prices'!$A$11:$A$49,'Curr Prices'!AA$11:AA$49,,0)*_xlfn.XLOOKUP($A6,'2024 Adj Factor'!$A$11:$A$49,'2024 Adj Factor'!$B$11:$B$49,,0),0)</f>
        <v>7705973.3182151718</v>
      </c>
      <c r="AB6" s="38">
        <f>+IFERROR(_xlfn.XLOOKUP($A6,'Curr Prices'!$A$11:$A$49,'Curr Prices'!AB$11:AB$49,,0)*_xlfn.XLOOKUP($A6,'2024 Adj Factor'!$A$11:$A$49,'2024 Adj Factor'!$B$11:$B$49,,0),0)</f>
        <v>8346790.0933316015</v>
      </c>
      <c r="AC6" s="38">
        <f>+IFERROR(_xlfn.XLOOKUP($A6,'Curr Prices'!$A$11:$A$49,'Curr Prices'!AC$11:AC$49,,0)*_xlfn.XLOOKUP($A6,'2024 Adj Factor'!$A$11:$A$49,'2024 Adj Factor'!$B$11:$B$49,,0),0)</f>
        <v>9516981.1118317507</v>
      </c>
      <c r="AD6" s="38">
        <f>+IFERROR(_xlfn.XLOOKUP($A6,'Curr Prices'!$A$11:$A$49,'Curr Prices'!AD$11:AD$49,,0)*_xlfn.XLOOKUP($A6,'2024 Adj Factor'!$A$11:$A$49,'2024 Adj Factor'!$B$11:$B$49,,0),0)</f>
        <v>9894598.4349756539</v>
      </c>
      <c r="AE6" s="39">
        <f>+IFERROR(_xlfn.XLOOKUP($A6,'Curr Prices'!$A$11:$A$49,'Curr Prices'!AE$11:AE$49,,0)*_xlfn.XLOOKUP($A6,'2024 Adj Factor'!$A$11:$A$49,'2024 Adj Factor'!$B$11:$B$49,,0),0)</f>
        <v>9971378.9926913269</v>
      </c>
    </row>
    <row r="7" spans="1:31" ht="15" x14ac:dyDescent="0.25">
      <c r="A7" s="32" t="s">
        <v>16</v>
      </c>
      <c r="B7" s="37">
        <f>+IFERROR(_xlfn.XLOOKUP($A7,'Curr Prices'!$A$11:$A$49,'Curr Prices'!B$11:B$49,,0)*_xlfn.XLOOKUP($A7,'2024 Adj Factor'!$A$11:$A$49,'2024 Adj Factor'!$B$11:$B$49,,0),0)</f>
        <v>8324.1157318154019</v>
      </c>
      <c r="C7" s="38">
        <f>+IFERROR(_xlfn.XLOOKUP($A7,'Curr Prices'!$A$11:$A$49,'Curr Prices'!C$11:C$49,,0)*_xlfn.XLOOKUP($A7,'2024 Adj Factor'!$A$11:$A$49,'2024 Adj Factor'!$B$11:$B$49,,0),0)</f>
        <v>10114.873399679835</v>
      </c>
      <c r="D7" s="38">
        <f>+IFERROR(_xlfn.XLOOKUP($A7,'Curr Prices'!$A$11:$A$49,'Curr Prices'!D$11:D$49,,0)*_xlfn.XLOOKUP($A7,'2024 Adj Factor'!$A$11:$A$49,'2024 Adj Factor'!$B$11:$B$49,,0),0)</f>
        <v>12494.384377769686</v>
      </c>
      <c r="E7" s="38">
        <f>+IFERROR(_xlfn.XLOOKUP($A7,'Curr Prices'!$A$11:$A$49,'Curr Prices'!E$11:E$49,,0)*_xlfn.XLOOKUP($A7,'2024 Adj Factor'!$A$11:$A$49,'2024 Adj Factor'!$B$11:$B$49,,0),0)</f>
        <v>14165.210815773384</v>
      </c>
      <c r="F7" s="38">
        <f>+IFERROR(_xlfn.XLOOKUP($A7,'Curr Prices'!$A$11:$A$49,'Curr Prices'!F$11:F$49,,0)*_xlfn.XLOOKUP($A7,'2024 Adj Factor'!$A$11:$A$49,'2024 Adj Factor'!$B$11:$B$49,,0),0)</f>
        <v>14629.187189881071</v>
      </c>
      <c r="G7" s="38">
        <f>+IFERROR(_xlfn.XLOOKUP($A7,'Curr Prices'!$A$11:$A$49,'Curr Prices'!G$11:G$49,,0)*_xlfn.XLOOKUP($A7,'2024 Adj Factor'!$A$11:$A$49,'2024 Adj Factor'!$B$11:$B$49,,0),0)</f>
        <v>17176.278842692154</v>
      </c>
      <c r="H7" s="38">
        <f>+IFERROR(_xlfn.XLOOKUP($A7,'Curr Prices'!$A$11:$A$49,'Curr Prices'!H$11:H$49,,0)*_xlfn.XLOOKUP($A7,'2024 Adj Factor'!$A$11:$A$49,'2024 Adj Factor'!$B$11:$B$49,,0),0)</f>
        <v>19648.665857374493</v>
      </c>
      <c r="I7" s="38">
        <f>+IFERROR(_xlfn.XLOOKUP($A7,'Curr Prices'!$A$11:$A$49,'Curr Prices'!I$11:I$49,,0)*_xlfn.XLOOKUP($A7,'2024 Adj Factor'!$A$11:$A$49,'2024 Adj Factor'!$B$11:$B$49,,0),0)</f>
        <v>21808.639421431959</v>
      </c>
      <c r="J7" s="38">
        <f>+IFERROR(_xlfn.XLOOKUP($A7,'Curr Prices'!$A$11:$A$49,'Curr Prices'!J$11:J$49,,0)*_xlfn.XLOOKUP($A7,'2024 Adj Factor'!$A$11:$A$49,'2024 Adj Factor'!$B$11:$B$49,,0),0)</f>
        <v>23961.613632007091</v>
      </c>
      <c r="K7" s="38">
        <f>+IFERROR(_xlfn.XLOOKUP($A7,'Curr Prices'!$A$11:$A$49,'Curr Prices'!K$11:K$49,,0)*_xlfn.XLOOKUP($A7,'2024 Adj Factor'!$A$11:$A$49,'2024 Adj Factor'!$B$11:$B$49,,0),0)</f>
        <v>26952.222010285197</v>
      </c>
      <c r="L7" s="38">
        <f>+IFERROR(_xlfn.XLOOKUP($A7,'Curr Prices'!$A$11:$A$49,'Curr Prices'!L$11:L$49,,0)*_xlfn.XLOOKUP($A7,'2024 Adj Factor'!$A$11:$A$49,'2024 Adj Factor'!$B$11:$B$49,,0),0)</f>
        <v>31110.780199451732</v>
      </c>
      <c r="M7" s="38">
        <f>+IFERROR(_xlfn.XLOOKUP($A7,'Curr Prices'!$A$11:$A$49,'Curr Prices'!M$11:M$49,,0)*_xlfn.XLOOKUP($A7,'2024 Adj Factor'!$A$11:$A$49,'2024 Adj Factor'!$B$11:$B$49,,0),0)</f>
        <v>36616.040919209343</v>
      </c>
      <c r="N7" s="38">
        <f>+IFERROR(_xlfn.XLOOKUP($A7,'Curr Prices'!$A$11:$A$49,'Curr Prices'!N$11:N$49,,0)*_xlfn.XLOOKUP($A7,'2024 Adj Factor'!$A$11:$A$49,'2024 Adj Factor'!$B$11:$B$49,,0),0)</f>
        <v>43280.636860954044</v>
      </c>
      <c r="O7" s="38">
        <f>+IFERROR(_xlfn.XLOOKUP($A7,'Curr Prices'!$A$11:$A$49,'Curr Prices'!O$11:O$49,,0)*_xlfn.XLOOKUP($A7,'2024 Adj Factor'!$A$11:$A$49,'2024 Adj Factor'!$B$11:$B$49,,0),0)</f>
        <v>44602.841654356955</v>
      </c>
      <c r="P7" s="38">
        <f>+IFERROR(_xlfn.XLOOKUP($A7,'Curr Prices'!$A$11:$A$49,'Curr Prices'!P$11:P$49,,0)*_xlfn.XLOOKUP($A7,'2024 Adj Factor'!$A$11:$A$49,'2024 Adj Factor'!$B$11:$B$49,,0),0)</f>
        <v>35543.120792138732</v>
      </c>
      <c r="Q7" s="38">
        <f>+IFERROR(_xlfn.XLOOKUP($A7,'Curr Prices'!$A$11:$A$49,'Curr Prices'!Q$11:Q$49,,0)*_xlfn.XLOOKUP($A7,'2024 Adj Factor'!$A$11:$A$49,'2024 Adj Factor'!$B$11:$B$49,,0),0)</f>
        <v>39612.437224405527</v>
      </c>
      <c r="R7" s="38">
        <f>+IFERROR(_xlfn.XLOOKUP($A7,'Curr Prices'!$A$11:$A$49,'Curr Prices'!R$11:R$49,,0)*_xlfn.XLOOKUP($A7,'2024 Adj Factor'!$A$11:$A$49,'2024 Adj Factor'!$B$11:$B$49,,0),0)</f>
        <v>46406.925014428132</v>
      </c>
      <c r="S7" s="38">
        <f>+IFERROR(_xlfn.XLOOKUP($A7,'Curr Prices'!$A$11:$A$49,'Curr Prices'!S$11:S$49,,0)*_xlfn.XLOOKUP($A7,'2024 Adj Factor'!$A$11:$A$49,'2024 Adj Factor'!$B$11:$B$49,,0),0)</f>
        <v>49929.618860315088</v>
      </c>
      <c r="T7" s="38">
        <f>+IFERROR(_xlfn.XLOOKUP($A7,'Curr Prices'!$A$11:$A$49,'Curr Prices'!T$11:T$49,,0)*_xlfn.XLOOKUP($A7,'2024 Adj Factor'!$A$11:$A$49,'2024 Adj Factor'!$B$11:$B$49,,0),0)</f>
        <v>52832.86992301562</v>
      </c>
      <c r="U7" s="38">
        <f>+IFERROR(_xlfn.XLOOKUP($A7,'Curr Prices'!$A$11:$A$49,'Curr Prices'!U$11:U$49,,0)*_xlfn.XLOOKUP($A7,'2024 Adj Factor'!$A$11:$A$49,'2024 Adj Factor'!$B$11:$B$49,,0),0)</f>
        <v>54742.212791224949</v>
      </c>
      <c r="V7" s="38">
        <f>+IFERROR(_xlfn.XLOOKUP($A7,'Curr Prices'!$A$11:$A$49,'Curr Prices'!V$11:V$49,,0)*_xlfn.XLOOKUP($A7,'2024 Adj Factor'!$A$11:$A$49,'2024 Adj Factor'!$B$11:$B$49,,0),0)</f>
        <v>55496.393128946263</v>
      </c>
      <c r="W7" s="38">
        <f>+IFERROR(_xlfn.XLOOKUP($A7,'Curr Prices'!$A$11:$A$49,'Curr Prices'!W$11:W$49,,0)*_xlfn.XLOOKUP($A7,'2024 Adj Factor'!$A$11:$A$49,'2024 Adj Factor'!$B$11:$B$49,,0),0)</f>
        <v>57911.843095108859</v>
      </c>
      <c r="X7" s="38">
        <f>+IFERROR(_xlfn.XLOOKUP($A7,'Curr Prices'!$A$11:$A$49,'Curr Prices'!X$11:X$49,,0)*_xlfn.XLOOKUP($A7,'2024 Adj Factor'!$A$11:$A$49,'2024 Adj Factor'!$B$11:$B$49,,0),0)</f>
        <v>63716.056970333018</v>
      </c>
      <c r="Y7" s="38">
        <f>+IFERROR(_xlfn.XLOOKUP($A7,'Curr Prices'!$A$11:$A$49,'Curr Prices'!Y$11:Y$49,,0)*_xlfn.XLOOKUP($A7,'2024 Adj Factor'!$A$11:$A$49,'2024 Adj Factor'!$B$11:$B$49,,0),0)</f>
        <v>69517.98259538025</v>
      </c>
      <c r="Z7" s="38">
        <f>+IFERROR(_xlfn.XLOOKUP($A7,'Curr Prices'!$A$11:$A$49,'Curr Prices'!Z$11:Z$49,,0)*_xlfn.XLOOKUP($A7,'2024 Adj Factor'!$A$11:$A$49,'2024 Adj Factor'!$B$11:$B$49,,0),0)</f>
        <v>74569.092956495762</v>
      </c>
      <c r="AA7" s="38">
        <f>+IFERROR(_xlfn.XLOOKUP($A7,'Curr Prices'!$A$11:$A$49,'Curr Prices'!AA$11:AA$49,,0)*_xlfn.XLOOKUP($A7,'2024 Adj Factor'!$A$11:$A$49,'2024 Adj Factor'!$B$11:$B$49,,0),0)</f>
        <v>72659.480882383257</v>
      </c>
      <c r="AB7" s="38">
        <f>+IFERROR(_xlfn.XLOOKUP($A7,'Curr Prices'!$A$11:$A$49,'Curr Prices'!AB$11:AB$49,,0)*_xlfn.XLOOKUP($A7,'2024 Adj Factor'!$A$11:$A$49,'2024 Adj Factor'!$B$11:$B$49,,0),0)</f>
        <v>84320.269180997464</v>
      </c>
      <c r="AC7" s="38">
        <f>+IFERROR(_xlfn.XLOOKUP($A7,'Curr Prices'!$A$11:$A$49,'Curr Prices'!AC$11:AC$49,,0)*_xlfn.XLOOKUP($A7,'2024 Adj Factor'!$A$11:$A$49,'2024 Adj Factor'!$B$11:$B$49,,0),0)</f>
        <v>101887.16578918441</v>
      </c>
      <c r="AD7" s="38">
        <f>+IFERROR(_xlfn.XLOOKUP($A7,'Curr Prices'!$A$11:$A$49,'Curr Prices'!AD$11:AD$49,,0)*_xlfn.XLOOKUP($A7,'2024 Adj Factor'!$A$11:$A$49,'2024 Adj Factor'!$B$11:$B$49,,0),0)</f>
        <v>103688.8262961271</v>
      </c>
      <c r="AE7" s="39">
        <f>+IFERROR(_xlfn.XLOOKUP($A7,'Curr Prices'!$A$11:$A$49,'Curr Prices'!AE$11:AE$49,,0)*_xlfn.XLOOKUP($A7,'2024 Adj Factor'!$A$11:$A$49,'2024 Adj Factor'!$B$11:$B$49,,0),0)</f>
        <v>105482.00681712001</v>
      </c>
    </row>
    <row r="8" spans="1:31" ht="15" x14ac:dyDescent="0.25">
      <c r="A8" s="32" t="s">
        <v>17</v>
      </c>
      <c r="B8" s="37">
        <f>+IFERROR(_xlfn.XLOOKUP($A8,'Curr Prices'!$A$11:$A$49,'Curr Prices'!B$11:B$49,,0)*_xlfn.XLOOKUP($A8,'2024 Adj Factor'!$A$11:$A$49,'2024 Adj Factor'!$B$11:$B$49,,0),0)</f>
        <v>110175.2</v>
      </c>
      <c r="C8" s="38">
        <f>+IFERROR(_xlfn.XLOOKUP($A8,'Curr Prices'!$A$11:$A$49,'Curr Prices'!C$11:C$49,,0)*_xlfn.XLOOKUP($A8,'2024 Adj Factor'!$A$11:$A$49,'2024 Adj Factor'!$B$11:$B$49,,0),0)</f>
        <v>122121.4</v>
      </c>
      <c r="D8" s="38">
        <f>+IFERROR(_xlfn.XLOOKUP($A8,'Curr Prices'!$A$11:$A$49,'Curr Prices'!D$11:D$49,,0)*_xlfn.XLOOKUP($A8,'2024 Adj Factor'!$A$11:$A$49,'2024 Adj Factor'!$B$11:$B$49,,0),0)</f>
        <v>150984.1</v>
      </c>
      <c r="E8" s="38">
        <f>+IFERROR(_xlfn.XLOOKUP($A8,'Curr Prices'!$A$11:$A$49,'Curr Prices'!E$11:E$49,,0)*_xlfn.XLOOKUP($A8,'2024 Adj Factor'!$A$11:$A$49,'2024 Adj Factor'!$B$11:$B$49,,0),0)</f>
        <v>169828.1</v>
      </c>
      <c r="F8" s="38">
        <f>+IFERROR(_xlfn.XLOOKUP($A8,'Curr Prices'!$A$11:$A$49,'Curr Prices'!F$11:F$49,,0)*_xlfn.XLOOKUP($A8,'2024 Adj Factor'!$A$11:$A$49,'2024 Adj Factor'!$B$11:$B$49,,0),0)</f>
        <v>191831.3</v>
      </c>
      <c r="G8" s="38">
        <f>+IFERROR(_xlfn.XLOOKUP($A8,'Curr Prices'!$A$11:$A$49,'Curr Prices'!G$11:G$49,,0)*_xlfn.XLOOKUP($A8,'2024 Adj Factor'!$A$11:$A$49,'2024 Adj Factor'!$B$11:$B$49,,0),0)</f>
        <v>223420.3</v>
      </c>
      <c r="H8" s="38">
        <f>+IFERROR(_xlfn.XLOOKUP($A8,'Curr Prices'!$A$11:$A$49,'Curr Prices'!H$11:H$49,,0)*_xlfn.XLOOKUP($A8,'2024 Adj Factor'!$A$11:$A$49,'2024 Adj Factor'!$B$11:$B$49,,0),0)</f>
        <v>253658.1</v>
      </c>
      <c r="I8" s="38">
        <f>+IFERROR(_xlfn.XLOOKUP($A8,'Curr Prices'!$A$11:$A$49,'Curr Prices'!I$11:I$49,,0)*_xlfn.XLOOKUP($A8,'2024 Adj Factor'!$A$11:$A$49,'2024 Adj Factor'!$B$11:$B$49,,0),0)</f>
        <v>272849.8</v>
      </c>
      <c r="J8" s="38">
        <f>+IFERROR(_xlfn.XLOOKUP($A8,'Curr Prices'!$A$11:$A$49,'Curr Prices'!J$11:J$49,,0)*_xlfn.XLOOKUP($A8,'2024 Adj Factor'!$A$11:$A$49,'2024 Adj Factor'!$B$11:$B$49,,0),0)</f>
        <v>294245.2</v>
      </c>
      <c r="K8" s="38">
        <f>+IFERROR(_xlfn.XLOOKUP($A8,'Curr Prices'!$A$11:$A$49,'Curr Prices'!K$11:K$49,,0)*_xlfn.XLOOKUP($A8,'2024 Adj Factor'!$A$11:$A$49,'2024 Adj Factor'!$B$11:$B$49,,0),0)</f>
        <v>314754.7</v>
      </c>
      <c r="L8" s="38">
        <f>+IFERROR(_xlfn.XLOOKUP($A8,'Curr Prices'!$A$11:$A$49,'Curr Prices'!L$11:L$49,,0)*_xlfn.XLOOKUP($A8,'2024 Adj Factor'!$A$11:$A$49,'2024 Adj Factor'!$B$11:$B$49,,0),0)</f>
        <v>345133.1</v>
      </c>
      <c r="M8" s="38">
        <f>+IFERROR(_xlfn.XLOOKUP($A8,'Curr Prices'!$A$11:$A$49,'Curr Prices'!M$11:M$49,,0)*_xlfn.XLOOKUP($A8,'2024 Adj Factor'!$A$11:$A$49,'2024 Adj Factor'!$B$11:$B$49,,0),0)</f>
        <v>386387.5</v>
      </c>
      <c r="N8" s="38">
        <f>+IFERROR(_xlfn.XLOOKUP($A8,'Curr Prices'!$A$11:$A$49,'Curr Prices'!N$11:N$49,,0)*_xlfn.XLOOKUP($A8,'2024 Adj Factor'!$A$11:$A$49,'2024 Adj Factor'!$B$11:$B$49,,0),0)</f>
        <v>419441.3</v>
      </c>
      <c r="O8" s="38">
        <f>+IFERROR(_xlfn.XLOOKUP($A8,'Curr Prices'!$A$11:$A$49,'Curr Prices'!O$11:O$49,,0)*_xlfn.XLOOKUP($A8,'2024 Adj Factor'!$A$11:$A$49,'2024 Adj Factor'!$B$11:$B$49,,0),0)</f>
        <v>421614.9</v>
      </c>
      <c r="P8" s="38">
        <f>+IFERROR(_xlfn.XLOOKUP($A8,'Curr Prices'!$A$11:$A$49,'Curr Prices'!P$11:P$49,,0)*_xlfn.XLOOKUP($A8,'2024 Adj Factor'!$A$11:$A$49,'2024 Adj Factor'!$B$11:$B$49,,0),0)</f>
        <v>373054.1</v>
      </c>
      <c r="Q8" s="38">
        <f>+IFERROR(_xlfn.XLOOKUP($A8,'Curr Prices'!$A$11:$A$49,'Curr Prices'!Q$11:Q$49,,0)*_xlfn.XLOOKUP($A8,'2024 Adj Factor'!$A$11:$A$49,'2024 Adj Factor'!$B$11:$B$49,,0),0)</f>
        <v>350768.4</v>
      </c>
      <c r="R8" s="38">
        <f>+IFERROR(_xlfn.XLOOKUP($A8,'Curr Prices'!$A$11:$A$49,'Curr Prices'!R$11:R$49,,0)*_xlfn.XLOOKUP($A8,'2024 Adj Factor'!$A$11:$A$49,'2024 Adj Factor'!$B$11:$B$49,,0),0)</f>
        <v>333306.5</v>
      </c>
      <c r="S8" s="38">
        <f>+IFERROR(_xlfn.XLOOKUP($A8,'Curr Prices'!$A$11:$A$49,'Curr Prices'!S$11:S$49,,0)*_xlfn.XLOOKUP($A8,'2024 Adj Factor'!$A$11:$A$49,'2024 Adj Factor'!$B$11:$B$49,,0),0)</f>
        <v>373970.9</v>
      </c>
      <c r="T8" s="38">
        <f>+IFERROR(_xlfn.XLOOKUP($A8,'Curr Prices'!$A$11:$A$49,'Curr Prices'!T$11:T$49,,0)*_xlfn.XLOOKUP($A8,'2024 Adj Factor'!$A$11:$A$49,'2024 Adj Factor'!$B$11:$B$49,,0),0)</f>
        <v>389143.6</v>
      </c>
      <c r="U8" s="38">
        <f>+IFERROR(_xlfn.XLOOKUP($A8,'Curr Prices'!$A$11:$A$49,'Curr Prices'!U$11:U$49,,0)*_xlfn.XLOOKUP($A8,'2024 Adj Factor'!$A$11:$A$49,'2024 Adj Factor'!$B$11:$B$49,,0),0)</f>
        <v>417385.2</v>
      </c>
      <c r="V8" s="38">
        <f>+IFERROR(_xlfn.XLOOKUP($A8,'Curr Prices'!$A$11:$A$49,'Curr Prices'!V$11:V$49,,0)*_xlfn.XLOOKUP($A8,'2024 Adj Factor'!$A$11:$A$49,'2024 Adj Factor'!$B$11:$B$49,,0),0)</f>
        <v>517592.9</v>
      </c>
      <c r="W8" s="38">
        <f>+IFERROR(_xlfn.XLOOKUP($A8,'Curr Prices'!$A$11:$A$49,'Curr Prices'!W$11:W$49,,0)*_xlfn.XLOOKUP($A8,'2024 Adj Factor'!$A$11:$A$49,'2024 Adj Factor'!$B$11:$B$49,,0),0)</f>
        <v>533200.6</v>
      </c>
      <c r="X8" s="38">
        <f>+IFERROR(_xlfn.XLOOKUP($A8,'Curr Prices'!$A$11:$A$49,'Curr Prices'!X$11:X$49,,0)*_xlfn.XLOOKUP($A8,'2024 Adj Factor'!$A$11:$A$49,'2024 Adj Factor'!$B$11:$B$49,,0),0)</f>
        <v>575036.69999999995</v>
      </c>
      <c r="Y8" s="38">
        <f>+IFERROR(_xlfn.XLOOKUP($A8,'Curr Prices'!$A$11:$A$49,'Curr Prices'!Y$11:Y$49,,0)*_xlfn.XLOOKUP($A8,'2024 Adj Factor'!$A$11:$A$49,'2024 Adj Factor'!$B$11:$B$49,,0),0)</f>
        <v>637837.30000000005</v>
      </c>
      <c r="Z8" s="38">
        <f>+IFERROR(_xlfn.XLOOKUP($A8,'Curr Prices'!$A$11:$A$49,'Curr Prices'!Z$11:Z$49,,0)*_xlfn.XLOOKUP($A8,'2024 Adj Factor'!$A$11:$A$49,'2024 Adj Factor'!$B$11:$B$49,,0),0)</f>
        <v>684497.2</v>
      </c>
      <c r="AA8" s="38">
        <f>+IFERROR(_xlfn.XLOOKUP($A8,'Curr Prices'!$A$11:$A$49,'Curr Prices'!AA$11:AA$49,,0)*_xlfn.XLOOKUP($A8,'2024 Adj Factor'!$A$11:$A$49,'2024 Adj Factor'!$B$11:$B$49,,0),0)</f>
        <v>706976.3</v>
      </c>
      <c r="AB8" s="38">
        <f>+IFERROR(_xlfn.XLOOKUP($A8,'Curr Prices'!$A$11:$A$49,'Curr Prices'!AB$11:AB$49,,0)*_xlfn.XLOOKUP($A8,'2024 Adj Factor'!$A$11:$A$49,'2024 Adj Factor'!$B$11:$B$49,,0),0)</f>
        <v>856316.7</v>
      </c>
      <c r="AC8" s="38">
        <f>+IFERROR(_xlfn.XLOOKUP($A8,'Curr Prices'!$A$11:$A$49,'Curr Prices'!AC$11:AC$49,,0)*_xlfn.XLOOKUP($A8,'2024 Adj Factor'!$A$11:$A$49,'2024 Adj Factor'!$B$11:$B$49,,0),0)</f>
        <v>1007801.3</v>
      </c>
      <c r="AD8" s="38">
        <f>+IFERROR(_xlfn.XLOOKUP($A8,'Curr Prices'!$A$11:$A$49,'Curr Prices'!AD$11:AD$49,,0)*_xlfn.XLOOKUP($A8,'2024 Adj Factor'!$A$11:$A$49,'2024 Adj Factor'!$B$11:$B$49,,0),0)</f>
        <v>1020302</v>
      </c>
      <c r="AE8" s="39">
        <f>+IFERROR(_xlfn.XLOOKUP($A8,'Curr Prices'!$A$11:$A$49,'Curr Prices'!AE$11:AE$49,,0)*_xlfn.XLOOKUP($A8,'2024 Adj Factor'!$A$11:$A$49,'2024 Adj Factor'!$B$11:$B$49,,0),0)</f>
        <v>1127871.2</v>
      </c>
    </row>
    <row r="9" spans="1:31" ht="15" x14ac:dyDescent="0.25">
      <c r="A9" s="32" t="s">
        <v>18</v>
      </c>
      <c r="B9" s="37">
        <f>+IFERROR(_xlfn.XLOOKUP($A9,'Curr Prices'!$A$11:$A$49,'Curr Prices'!B$11:B$49,,0)*_xlfn.XLOOKUP($A9,'2024 Adj Factor'!$A$11:$A$49,'2024 Adj Factor'!$B$11:$B$49,,0),0)</f>
        <v>222088.47154151776</v>
      </c>
      <c r="C9" s="38">
        <f>+IFERROR(_xlfn.XLOOKUP($A9,'Curr Prices'!$A$11:$A$49,'Curr Prices'!C$11:C$49,,0)*_xlfn.XLOOKUP($A9,'2024 Adj Factor'!$A$11:$A$49,'2024 Adj Factor'!$B$11:$B$49,,0),0)</f>
        <v>239645.12477436321</v>
      </c>
      <c r="D9" s="38">
        <f>+IFERROR(_xlfn.XLOOKUP($A9,'Curr Prices'!$A$11:$A$49,'Curr Prices'!D$11:D$49,,0)*_xlfn.XLOOKUP($A9,'2024 Adj Factor'!$A$11:$A$49,'2024 Adj Factor'!$B$11:$B$49,,0),0)</f>
        <v>254625.59989427222</v>
      </c>
      <c r="E9" s="38">
        <f>+IFERROR(_xlfn.XLOOKUP($A9,'Curr Prices'!$A$11:$A$49,'Curr Prices'!E$11:E$49,,0)*_xlfn.XLOOKUP($A9,'2024 Adj Factor'!$A$11:$A$49,'2024 Adj Factor'!$B$11:$B$49,,0),0)</f>
        <v>258103.62845980347</v>
      </c>
      <c r="F9" s="38">
        <f>+IFERROR(_xlfn.XLOOKUP($A9,'Curr Prices'!$A$11:$A$49,'Curr Prices'!F$11:F$49,,0)*_xlfn.XLOOKUP($A9,'2024 Adj Factor'!$A$11:$A$49,'2024 Adj Factor'!$B$11:$B$49,,0),0)</f>
        <v>276945.39734902448</v>
      </c>
      <c r="G9" s="38">
        <f>+IFERROR(_xlfn.XLOOKUP($A9,'Curr Prices'!$A$11:$A$49,'Curr Prices'!G$11:G$49,,0)*_xlfn.XLOOKUP($A9,'2024 Adj Factor'!$A$11:$A$49,'2024 Adj Factor'!$B$11:$B$49,,0),0)</f>
        <v>289648.97617756866</v>
      </c>
      <c r="H9" s="38">
        <f>+IFERROR(_xlfn.XLOOKUP($A9,'Curr Prices'!$A$11:$A$49,'Curr Prices'!H$11:H$49,,0)*_xlfn.XLOOKUP($A9,'2024 Adj Factor'!$A$11:$A$49,'2024 Adj Factor'!$B$11:$B$49,,0),0)</f>
        <v>307010.72000025841</v>
      </c>
      <c r="I9" s="38">
        <f>+IFERROR(_xlfn.XLOOKUP($A9,'Curr Prices'!$A$11:$A$49,'Curr Prices'!I$11:I$49,,0)*_xlfn.XLOOKUP($A9,'2024 Adj Factor'!$A$11:$A$49,'2024 Adj Factor'!$B$11:$B$49,,0),0)</f>
        <v>329823.13096423988</v>
      </c>
      <c r="J9" s="38">
        <f>+IFERROR(_xlfn.XLOOKUP($A9,'Curr Prices'!$A$11:$A$49,'Curr Prices'!J$11:J$49,,0)*_xlfn.XLOOKUP($A9,'2024 Adj Factor'!$A$11:$A$49,'2024 Adj Factor'!$B$11:$B$49,,0),0)</f>
        <v>352195.60007777647</v>
      </c>
      <c r="K9" s="38">
        <f>+IFERROR(_xlfn.XLOOKUP($A9,'Curr Prices'!$A$11:$A$49,'Curr Prices'!K$11:K$49,,0)*_xlfn.XLOOKUP($A9,'2024 Adj Factor'!$A$11:$A$49,'2024 Adj Factor'!$B$11:$B$49,,0),0)</f>
        <v>381918.55694691243</v>
      </c>
      <c r="L9" s="38">
        <f>+IFERROR(_xlfn.XLOOKUP($A9,'Curr Prices'!$A$11:$A$49,'Curr Prices'!L$11:L$49,,0)*_xlfn.XLOOKUP($A9,'2024 Adj Factor'!$A$11:$A$49,'2024 Adj Factor'!$B$11:$B$49,,0),0)</f>
        <v>391944.98342263879</v>
      </c>
      <c r="M9" s="38">
        <f>+IFERROR(_xlfn.XLOOKUP($A9,'Curr Prices'!$A$11:$A$49,'Curr Prices'!M$11:M$49,,0)*_xlfn.XLOOKUP($A9,'2024 Adj Factor'!$A$11:$A$49,'2024 Adj Factor'!$B$11:$B$49,,0),0)</f>
        <v>432658.47657713818</v>
      </c>
      <c r="N9" s="38">
        <f>+IFERROR(_xlfn.XLOOKUP($A9,'Curr Prices'!$A$11:$A$49,'Curr Prices'!N$11:N$49,,0)*_xlfn.XLOOKUP($A9,'2024 Adj Factor'!$A$11:$A$49,'2024 Adj Factor'!$B$11:$B$49,,0),0)</f>
        <v>460395.93036399019</v>
      </c>
      <c r="O9" s="38">
        <f>+IFERROR(_xlfn.XLOOKUP($A9,'Curr Prices'!$A$11:$A$49,'Curr Prices'!O$11:O$49,,0)*_xlfn.XLOOKUP($A9,'2024 Adj Factor'!$A$11:$A$49,'2024 Adj Factor'!$B$11:$B$49,,0),0)</f>
        <v>469666.87048964214</v>
      </c>
      <c r="P9" s="38">
        <f>+IFERROR(_xlfn.XLOOKUP($A9,'Curr Prices'!$A$11:$A$49,'Curr Prices'!P$11:P$49,,0)*_xlfn.XLOOKUP($A9,'2024 Adj Factor'!$A$11:$A$49,'2024 Adj Factor'!$B$11:$B$49,,0),0)</f>
        <v>455129.49266517442</v>
      </c>
      <c r="Q9" s="38">
        <f>+IFERROR(_xlfn.XLOOKUP($A9,'Curr Prices'!$A$11:$A$49,'Curr Prices'!Q$11:Q$49,,0)*_xlfn.XLOOKUP($A9,'2024 Adj Factor'!$A$11:$A$49,'2024 Adj Factor'!$B$11:$B$49,,0),0)</f>
        <v>430482.19043584756</v>
      </c>
      <c r="R9" s="38">
        <f>+IFERROR(_xlfn.XLOOKUP($A9,'Curr Prices'!$A$11:$A$49,'Curr Prices'!R$11:R$49,,0)*_xlfn.XLOOKUP($A9,'2024 Adj Factor'!$A$11:$A$49,'2024 Adj Factor'!$B$11:$B$49,,0),0)</f>
        <v>392365.9926031059</v>
      </c>
      <c r="S9" s="38">
        <f>+IFERROR(_xlfn.XLOOKUP($A9,'Curr Prices'!$A$11:$A$49,'Curr Prices'!S$11:S$49,,0)*_xlfn.XLOOKUP($A9,'2024 Adj Factor'!$A$11:$A$49,'2024 Adj Factor'!$B$11:$B$49,,0),0)</f>
        <v>369157.45192882034</v>
      </c>
      <c r="T9" s="38">
        <f>+IFERROR(_xlfn.XLOOKUP($A9,'Curr Prices'!$A$11:$A$49,'Curr Prices'!T$11:T$49,,0)*_xlfn.XLOOKUP($A9,'2024 Adj Factor'!$A$11:$A$49,'2024 Adj Factor'!$B$11:$B$49,,0),0)</f>
        <v>360678.16440743115</v>
      </c>
      <c r="U9" s="38">
        <f>+IFERROR(_xlfn.XLOOKUP($A9,'Curr Prices'!$A$11:$A$49,'Curr Prices'!U$11:U$49,,0)*_xlfn.XLOOKUP($A9,'2024 Adj Factor'!$A$11:$A$49,'2024 Adj Factor'!$B$11:$B$49,,0),0)</f>
        <v>354582.45149093523</v>
      </c>
      <c r="V9" s="38">
        <f>+IFERROR(_xlfn.XLOOKUP($A9,'Curr Prices'!$A$11:$A$49,'Curr Prices'!V$11:V$49,,0)*_xlfn.XLOOKUP($A9,'2024 Adj Factor'!$A$11:$A$49,'2024 Adj Factor'!$B$11:$B$49,,0),0)</f>
        <v>351121.41378307634</v>
      </c>
      <c r="W9" s="38">
        <f>+IFERROR(_xlfn.XLOOKUP($A9,'Curr Prices'!$A$11:$A$49,'Curr Prices'!W$11:W$49,,0)*_xlfn.XLOOKUP($A9,'2024 Adj Factor'!$A$11:$A$49,'2024 Adj Factor'!$B$11:$B$49,,0),0)</f>
        <v>338190.52155152982</v>
      </c>
      <c r="X9" s="38">
        <f>+IFERROR(_xlfn.XLOOKUP($A9,'Curr Prices'!$A$11:$A$49,'Curr Prices'!X$11:X$49,,0)*_xlfn.XLOOKUP($A9,'2024 Adj Factor'!$A$11:$A$49,'2024 Adj Factor'!$B$11:$B$49,,0),0)</f>
        <v>350330.48935842817</v>
      </c>
      <c r="Y9" s="38">
        <f>+IFERROR(_xlfn.XLOOKUP($A9,'Curr Prices'!$A$11:$A$49,'Curr Prices'!Y$11:Y$49,,0)*_xlfn.XLOOKUP($A9,'2024 Adj Factor'!$A$11:$A$49,'2024 Adj Factor'!$B$11:$B$49,,0),0)</f>
        <v>362110.97916228708</v>
      </c>
      <c r="Z9" s="38">
        <f>+IFERROR(_xlfn.XLOOKUP($A9,'Curr Prices'!$A$11:$A$49,'Curr Prices'!Z$11:Z$49,,0)*_xlfn.XLOOKUP($A9,'2024 Adj Factor'!$A$11:$A$49,'2024 Adj Factor'!$B$11:$B$49,,0),0)</f>
        <v>374042.08078308456</v>
      </c>
      <c r="AA9" s="38">
        <f>+IFERROR(_xlfn.XLOOKUP($A9,'Curr Prices'!$A$11:$A$49,'Curr Prices'!AA$11:AA$49,,0)*_xlfn.XLOOKUP($A9,'2024 Adj Factor'!$A$11:$A$49,'2024 Adj Factor'!$B$11:$B$49,,0),0)</f>
        <v>326302.13980145141</v>
      </c>
      <c r="AB9" s="38">
        <f>+IFERROR(_xlfn.XLOOKUP($A9,'Curr Prices'!$A$11:$A$49,'Curr Prices'!AB$11:AB$49,,0)*_xlfn.XLOOKUP($A9,'2024 Adj Factor'!$A$11:$A$49,'2024 Adj Factor'!$B$11:$B$49,,0),0)</f>
        <v>378421.4743481343</v>
      </c>
      <c r="AC9" s="38">
        <f>+IFERROR(_xlfn.XLOOKUP($A9,'Curr Prices'!$A$11:$A$49,'Curr Prices'!AC$11:AC$49,,0)*_xlfn.XLOOKUP($A9,'2024 Adj Factor'!$A$11:$A$49,'2024 Adj Factor'!$B$11:$B$49,,0),0)</f>
        <v>460963.78910005419</v>
      </c>
      <c r="AD9" s="38">
        <f>+IFERROR(_xlfn.XLOOKUP($A9,'Curr Prices'!$A$11:$A$49,'Curr Prices'!AD$11:AD$49,,0)*_xlfn.XLOOKUP($A9,'2024 Adj Factor'!$A$11:$A$49,'2024 Adj Factor'!$B$11:$B$49,,0),0)</f>
        <v>483239.28896158928</v>
      </c>
      <c r="AE9" s="39">
        <f>+IFERROR(_xlfn.XLOOKUP($A9,'Curr Prices'!$A$11:$A$49,'Curr Prices'!AE$11:AE$49,,0)*_xlfn.XLOOKUP($A9,'2024 Adj Factor'!$A$11:$A$49,'2024 Adj Factor'!$B$11:$B$49,,0),0)</f>
        <v>501658.83503765217</v>
      </c>
    </row>
    <row r="10" spans="1:31" ht="15" x14ac:dyDescent="0.25">
      <c r="A10" s="32" t="s">
        <v>19</v>
      </c>
      <c r="B10" s="37">
        <f>+IFERROR(_xlfn.XLOOKUP($A10,'Curr Prices'!$A$11:$A$49,'Curr Prices'!B$11:B$49,,0)*_xlfn.XLOOKUP($A10,'2024 Adj Factor'!$A$11:$A$49,'2024 Adj Factor'!$B$11:$B$49,,0),0)</f>
        <v>832054.4</v>
      </c>
      <c r="C10" s="38">
        <f>+IFERROR(_xlfn.XLOOKUP($A10,'Curr Prices'!$A$11:$A$49,'Curr Prices'!C$11:C$49,,0)*_xlfn.XLOOKUP($A10,'2024 Adj Factor'!$A$11:$A$49,'2024 Adj Factor'!$B$11:$B$49,,0),0)</f>
        <v>900963.8</v>
      </c>
      <c r="D10" s="38">
        <f>+IFERROR(_xlfn.XLOOKUP($A10,'Curr Prices'!$A$11:$A$49,'Curr Prices'!D$11:D$49,,0)*_xlfn.XLOOKUP($A10,'2024 Adj Factor'!$A$11:$A$49,'2024 Adj Factor'!$B$11:$B$49,,0),0)</f>
        <v>934207.6</v>
      </c>
      <c r="E10" s="38">
        <f>+IFERROR(_xlfn.XLOOKUP($A10,'Curr Prices'!$A$11:$A$49,'Curr Prices'!E$11:E$49,,0)*_xlfn.XLOOKUP($A10,'2024 Adj Factor'!$A$11:$A$49,'2024 Adj Factor'!$B$11:$B$49,,0),0)</f>
        <v>995474.3</v>
      </c>
      <c r="F10" s="38">
        <f>+IFERROR(_xlfn.XLOOKUP($A10,'Curr Prices'!$A$11:$A$49,'Curr Prices'!F$11:F$49,,0)*_xlfn.XLOOKUP($A10,'2024 Adj Factor'!$A$11:$A$49,'2024 Adj Factor'!$B$11:$B$49,,0),0)</f>
        <v>1085147</v>
      </c>
      <c r="G10" s="38">
        <f>+IFERROR(_xlfn.XLOOKUP($A10,'Curr Prices'!$A$11:$A$49,'Curr Prices'!G$11:G$49,,0)*_xlfn.XLOOKUP($A10,'2024 Adj Factor'!$A$11:$A$49,'2024 Adj Factor'!$B$11:$B$49,,0),0)</f>
        <v>1210179</v>
      </c>
      <c r="H10" s="38">
        <f>+IFERROR(_xlfn.XLOOKUP($A10,'Curr Prices'!$A$11:$A$49,'Curr Prices'!H$11:H$49,,0)*_xlfn.XLOOKUP($A10,'2024 Adj Factor'!$A$11:$A$49,'2024 Adj Factor'!$B$11:$B$49,,0),0)</f>
        <v>1315527</v>
      </c>
      <c r="I10" s="38">
        <f>+IFERROR(_xlfn.XLOOKUP($A10,'Curr Prices'!$A$11:$A$49,'Curr Prices'!I$11:I$49,,0)*_xlfn.XLOOKUP($A10,'2024 Adj Factor'!$A$11:$A$49,'2024 Adj Factor'!$B$11:$B$49,,0),0)</f>
        <v>1428956</v>
      </c>
      <c r="J10" s="38">
        <f>+IFERROR(_xlfn.XLOOKUP($A10,'Curr Prices'!$A$11:$A$49,'Curr Prices'!J$11:J$49,,0)*_xlfn.XLOOKUP($A10,'2024 Adj Factor'!$A$11:$A$49,'2024 Adj Factor'!$B$11:$B$49,,0),0)</f>
        <v>1531685</v>
      </c>
      <c r="K10" s="38">
        <f>+IFERROR(_xlfn.XLOOKUP($A10,'Curr Prices'!$A$11:$A$49,'Curr Prices'!K$11:K$49,,0)*_xlfn.XLOOKUP($A10,'2024 Adj Factor'!$A$11:$A$49,'2024 Adj Factor'!$B$11:$B$49,,0),0)</f>
        <v>1656301</v>
      </c>
      <c r="L10" s="38">
        <f>+IFERROR(_xlfn.XLOOKUP($A10,'Curr Prices'!$A$11:$A$49,'Curr Prices'!L$11:L$49,,0)*_xlfn.XLOOKUP($A10,'2024 Adj Factor'!$A$11:$A$49,'2024 Adj Factor'!$B$11:$B$49,,0),0)</f>
        <v>1819373</v>
      </c>
      <c r="M10" s="38">
        <f>+IFERROR(_xlfn.XLOOKUP($A10,'Curr Prices'!$A$11:$A$49,'Curr Prices'!M$11:M$49,,0)*_xlfn.XLOOKUP($A10,'2024 Adj Factor'!$A$11:$A$49,'2024 Adj Factor'!$B$11:$B$49,,0),0)</f>
        <v>2002881</v>
      </c>
      <c r="N10" s="38">
        <f>+IFERROR(_xlfn.XLOOKUP($A10,'Curr Prices'!$A$11:$A$49,'Curr Prices'!N$11:N$49,,0)*_xlfn.XLOOKUP($A10,'2024 Adj Factor'!$A$11:$A$49,'2024 Adj Factor'!$B$11:$B$49,,0),0)</f>
        <v>2151601</v>
      </c>
      <c r="O10" s="38">
        <f>+IFERROR(_xlfn.XLOOKUP($A10,'Curr Prices'!$A$11:$A$49,'Curr Prices'!O$11:O$49,,0)*_xlfn.XLOOKUP($A10,'2024 Adj Factor'!$A$11:$A$49,'2024 Adj Factor'!$B$11:$B$49,,0),0)</f>
        <v>2182913</v>
      </c>
      <c r="P10" s="38">
        <f>+IFERROR(_xlfn.XLOOKUP($A10,'Curr Prices'!$A$11:$A$49,'Curr Prices'!P$11:P$49,,0)*_xlfn.XLOOKUP($A10,'2024 Adj Factor'!$A$11:$A$49,'2024 Adj Factor'!$B$11:$B$49,,0),0)</f>
        <v>1994019</v>
      </c>
      <c r="Q10" s="38">
        <f>+IFERROR(_xlfn.XLOOKUP($A10,'Curr Prices'!$A$11:$A$49,'Curr Prices'!Q$11:Q$49,,0)*_xlfn.XLOOKUP($A10,'2024 Adj Factor'!$A$11:$A$49,'2024 Adj Factor'!$B$11:$B$49,,0),0)</f>
        <v>1973881</v>
      </c>
      <c r="R10" s="38">
        <f>+IFERROR(_xlfn.XLOOKUP($A10,'Curr Prices'!$A$11:$A$49,'Curr Prices'!R$11:R$49,,0)*_xlfn.XLOOKUP($A10,'2024 Adj Factor'!$A$11:$A$49,'2024 Adj Factor'!$B$11:$B$49,,0),0)</f>
        <v>1966146</v>
      </c>
      <c r="S10" s="38">
        <f>+IFERROR(_xlfn.XLOOKUP($A10,'Curr Prices'!$A$11:$A$49,'Curr Prices'!S$11:S$49,,0)*_xlfn.XLOOKUP($A10,'2024 Adj Factor'!$A$11:$A$49,'2024 Adj Factor'!$B$11:$B$49,,0),0)</f>
        <v>1897530</v>
      </c>
      <c r="T10" s="38">
        <f>+IFERROR(_xlfn.XLOOKUP($A10,'Curr Prices'!$A$11:$A$49,'Curr Prices'!T$11:T$49,,0)*_xlfn.XLOOKUP($A10,'2024 Adj Factor'!$A$11:$A$49,'2024 Adj Factor'!$B$11:$B$49,,0),0)</f>
        <v>1852544</v>
      </c>
      <c r="U10" s="38">
        <f>+IFERROR(_xlfn.XLOOKUP($A10,'Curr Prices'!$A$11:$A$49,'Curr Prices'!U$11:U$49,,0)*_xlfn.XLOOKUP($A10,'2024 Adj Factor'!$A$11:$A$49,'2024 Adj Factor'!$B$11:$B$49,,0),0)</f>
        <v>1884381</v>
      </c>
      <c r="V10" s="38">
        <f>+IFERROR(_xlfn.XLOOKUP($A10,'Curr Prices'!$A$11:$A$49,'Curr Prices'!V$11:V$49,,0)*_xlfn.XLOOKUP($A10,'2024 Adj Factor'!$A$11:$A$49,'2024 Adj Factor'!$B$11:$B$49,,0),0)</f>
        <v>1939466</v>
      </c>
      <c r="W10" s="38">
        <f>+IFERROR(_xlfn.XLOOKUP($A10,'Curr Prices'!$A$11:$A$49,'Curr Prices'!W$11:W$49,,0)*_xlfn.XLOOKUP($A10,'2024 Adj Factor'!$A$11:$A$49,'2024 Adj Factor'!$B$11:$B$49,,0),0)</f>
        <v>1969898</v>
      </c>
      <c r="X10" s="38">
        <f>+IFERROR(_xlfn.XLOOKUP($A10,'Curr Prices'!$A$11:$A$49,'Curr Prices'!X$11:X$49,,0)*_xlfn.XLOOKUP($A10,'2024 Adj Factor'!$A$11:$A$49,'2024 Adj Factor'!$B$11:$B$49,,0),0)</f>
        <v>2077118</v>
      </c>
      <c r="Y10" s="38">
        <f>+IFERROR(_xlfn.XLOOKUP($A10,'Curr Prices'!$A$11:$A$49,'Curr Prices'!Y$11:Y$49,,0)*_xlfn.XLOOKUP($A10,'2024 Adj Factor'!$A$11:$A$49,'2024 Adj Factor'!$B$11:$B$49,,0),0)</f>
        <v>2171029</v>
      </c>
      <c r="Z10" s="38">
        <f>+IFERROR(_xlfn.XLOOKUP($A10,'Curr Prices'!$A$11:$A$49,'Curr Prices'!Z$11:Z$49,,0)*_xlfn.XLOOKUP($A10,'2024 Adj Factor'!$A$11:$A$49,'2024 Adj Factor'!$B$11:$B$49,,0),0)</f>
        <v>2255859</v>
      </c>
      <c r="AA10" s="38">
        <f>+IFERROR(_xlfn.XLOOKUP($A10,'Curr Prices'!$A$11:$A$49,'Curr Prices'!AA$11:AA$49,,0)*_xlfn.XLOOKUP($A10,'2024 Adj Factor'!$A$11:$A$49,'2024 Adj Factor'!$B$11:$B$49,,0),0)</f>
        <v>2030323</v>
      </c>
      <c r="AB10" s="38">
        <f>+IFERROR(_xlfn.XLOOKUP($A10,'Curr Prices'!$A$11:$A$49,'Curr Prices'!AB$11:AB$49,,0)*_xlfn.XLOOKUP($A10,'2024 Adj Factor'!$A$11:$A$49,'2024 Adj Factor'!$B$11:$B$49,,0),0)</f>
        <v>2280636</v>
      </c>
      <c r="AC10" s="38">
        <f>+IFERROR(_xlfn.XLOOKUP($A10,'Curr Prices'!$A$11:$A$49,'Curr Prices'!AC$11:AC$49,,0)*_xlfn.XLOOKUP($A10,'2024 Adj Factor'!$A$11:$A$49,'2024 Adj Factor'!$B$11:$B$49,,0),0)</f>
        <v>2664587</v>
      </c>
      <c r="AD10" s="38">
        <f>+IFERROR(_xlfn.XLOOKUP($A10,'Curr Prices'!$A$11:$A$49,'Curr Prices'!AD$11:AD$49,,0)*_xlfn.XLOOKUP($A10,'2024 Adj Factor'!$A$11:$A$49,'2024 Adj Factor'!$B$11:$B$49,,0),0)</f>
        <v>2787473</v>
      </c>
      <c r="AE10" s="39">
        <f>+IFERROR(_xlfn.XLOOKUP($A10,'Curr Prices'!$A$11:$A$49,'Curr Prices'!AE$11:AE$49,,0)*_xlfn.XLOOKUP($A10,'2024 Adj Factor'!$A$11:$A$49,'2024 Adj Factor'!$B$11:$B$49,,0),0)</f>
        <v>2946682</v>
      </c>
    </row>
    <row r="11" spans="1:31" ht="15" x14ac:dyDescent="0.25">
      <c r="A11" s="32" t="s">
        <v>20</v>
      </c>
      <c r="B11" s="37">
        <f>+IFERROR(_xlfn.XLOOKUP($A11,'Curr Prices'!$A$11:$A$49,'Curr Prices'!B$11:B$49,,0)*_xlfn.XLOOKUP($A11,'2024 Adj Factor'!$A$11:$A$49,'2024 Adj Factor'!$B$11:$B$49,,0),0)</f>
        <v>2363637.7406519256</v>
      </c>
      <c r="C11" s="38">
        <f>+IFERROR(_xlfn.XLOOKUP($A11,'Curr Prices'!$A$11:$A$49,'Curr Prices'!C$11:C$49,,0)*_xlfn.XLOOKUP($A11,'2024 Adj Factor'!$A$11:$A$49,'2024 Adj Factor'!$B$11:$B$49,,0),0)</f>
        <v>2426670.6474931412</v>
      </c>
      <c r="D11" s="38">
        <f>+IFERROR(_xlfn.XLOOKUP($A11,'Curr Prices'!$A$11:$A$49,'Curr Prices'!D$11:D$49,,0)*_xlfn.XLOOKUP($A11,'2024 Adj Factor'!$A$11:$A$49,'2024 Adj Factor'!$B$11:$B$49,,0),0)</f>
        <v>2478840.8517925949</v>
      </c>
      <c r="E11" s="38">
        <f>+IFERROR(_xlfn.XLOOKUP($A11,'Curr Prices'!$A$11:$A$49,'Curr Prices'!E$11:E$49,,0)*_xlfn.XLOOKUP($A11,'2024 Adj Factor'!$A$11:$A$49,'2024 Adj Factor'!$B$11:$B$49,,0),0)</f>
        <v>2594049.8729999359</v>
      </c>
      <c r="F11" s="38">
        <f>+IFERROR(_xlfn.XLOOKUP($A11,'Curr Prices'!$A$11:$A$49,'Curr Prices'!F$11:F$49,,0)*_xlfn.XLOOKUP($A11,'2024 Adj Factor'!$A$11:$A$49,'2024 Adj Factor'!$B$11:$B$49,,0),0)</f>
        <v>2743465.2235492026</v>
      </c>
      <c r="G11" s="38">
        <f>+IFERROR(_xlfn.XLOOKUP($A11,'Curr Prices'!$A$11:$A$49,'Curr Prices'!G$11:G$49,,0)*_xlfn.XLOOKUP($A11,'2024 Adj Factor'!$A$11:$A$49,'2024 Adj Factor'!$B$11:$B$49,,0),0)</f>
        <v>2980562.2095780415</v>
      </c>
      <c r="H11" s="38">
        <f>+IFERROR(_xlfn.XLOOKUP($A11,'Curr Prices'!$A$11:$A$49,'Curr Prices'!H$11:H$49,,0)*_xlfn.XLOOKUP($A11,'2024 Adj Factor'!$A$11:$A$49,'2024 Adj Factor'!$B$11:$B$49,,0),0)</f>
        <v>3117764.7483165497</v>
      </c>
      <c r="I11" s="38">
        <f>+IFERROR(_xlfn.XLOOKUP($A11,'Curr Prices'!$A$11:$A$49,'Curr Prices'!I$11:I$49,,0)*_xlfn.XLOOKUP($A11,'2024 Adj Factor'!$A$11:$A$49,'2024 Adj Factor'!$B$11:$B$49,,0),0)</f>
        <v>3185134.3938880535</v>
      </c>
      <c r="J11" s="38">
        <f>+IFERROR(_xlfn.XLOOKUP($A11,'Curr Prices'!$A$11:$A$49,'Curr Prices'!J$11:J$49,,0)*_xlfn.XLOOKUP($A11,'2024 Adj Factor'!$A$11:$A$49,'2024 Adj Factor'!$B$11:$B$49,,0),0)</f>
        <v>3238077.7940252866</v>
      </c>
      <c r="K11" s="38">
        <f>+IFERROR(_xlfn.XLOOKUP($A11,'Curr Prices'!$A$11:$A$49,'Curr Prices'!K$11:K$49,,0)*_xlfn.XLOOKUP($A11,'2024 Adj Factor'!$A$11:$A$49,'2024 Adj Factor'!$B$11:$B$49,,0),0)</f>
        <v>3388676.8627357278</v>
      </c>
      <c r="L11" s="38">
        <f>+IFERROR(_xlfn.XLOOKUP($A11,'Curr Prices'!$A$11:$A$49,'Curr Prices'!L$11:L$49,,0)*_xlfn.XLOOKUP($A11,'2024 Adj Factor'!$A$11:$A$49,'2024 Adj Factor'!$B$11:$B$49,,0),0)</f>
        <v>3551117.8865733063</v>
      </c>
      <c r="M11" s="38">
        <f>+IFERROR(_xlfn.XLOOKUP($A11,'Curr Prices'!$A$11:$A$49,'Curr Prices'!M$11:M$49,,0)*_xlfn.XLOOKUP($A11,'2024 Adj Factor'!$A$11:$A$49,'2024 Adj Factor'!$B$11:$B$49,,0),0)</f>
        <v>3752691.9622540697</v>
      </c>
      <c r="N11" s="38">
        <f>+IFERROR(_xlfn.XLOOKUP($A11,'Curr Prices'!$A$11:$A$49,'Curr Prices'!N$11:N$49,,0)*_xlfn.XLOOKUP($A11,'2024 Adj Factor'!$A$11:$A$49,'2024 Adj Factor'!$B$11:$B$49,,0),0)</f>
        <v>3955888.578546348</v>
      </c>
      <c r="O11" s="38">
        <f>+IFERROR(_xlfn.XLOOKUP($A11,'Curr Prices'!$A$11:$A$49,'Curr Prices'!O$11:O$49,,0)*_xlfn.XLOOKUP($A11,'2024 Adj Factor'!$A$11:$A$49,'2024 Adj Factor'!$B$11:$B$49,,0),0)</f>
        <v>4079106.7629893902</v>
      </c>
      <c r="P11" s="38">
        <f>+IFERROR(_xlfn.XLOOKUP($A11,'Curr Prices'!$A$11:$A$49,'Curr Prices'!P$11:P$49,,0)*_xlfn.XLOOKUP($A11,'2024 Adj Factor'!$A$11:$A$49,'2024 Adj Factor'!$B$11:$B$49,,0),0)</f>
        <v>3870003.9443002217</v>
      </c>
      <c r="Q11" s="38">
        <f>+IFERROR(_xlfn.XLOOKUP($A11,'Curr Prices'!$A$11:$A$49,'Curr Prices'!Q$11:Q$49,,0)*_xlfn.XLOOKUP($A11,'2024 Adj Factor'!$A$11:$A$49,'2024 Adj Factor'!$B$11:$B$49,,0),0)</f>
        <v>4049058.2792058187</v>
      </c>
      <c r="R11" s="38">
        <f>+IFERROR(_xlfn.XLOOKUP($A11,'Curr Prices'!$A$11:$A$49,'Curr Prices'!R$11:R$49,,0)*_xlfn.XLOOKUP($A11,'2024 Adj Factor'!$A$11:$A$49,'2024 Adj Factor'!$B$11:$B$49,,0),0)</f>
        <v>4216660.7233845815</v>
      </c>
      <c r="S11" s="38">
        <f>+IFERROR(_xlfn.XLOOKUP($A11,'Curr Prices'!$A$11:$A$49,'Curr Prices'!S$11:S$49,,0)*_xlfn.XLOOKUP($A11,'2024 Adj Factor'!$A$11:$A$49,'2024 Adj Factor'!$B$11:$B$49,,0),0)</f>
        <v>4270047.1512119025</v>
      </c>
      <c r="T11" s="38">
        <f>+IFERROR(_xlfn.XLOOKUP($A11,'Curr Prices'!$A$11:$A$49,'Curr Prices'!T$11:T$49,,0)*_xlfn.XLOOKUP($A11,'2024 Adj Factor'!$A$11:$A$49,'2024 Adj Factor'!$B$11:$B$49,,0),0)</f>
        <v>4299296.8667538287</v>
      </c>
      <c r="U11" s="38">
        <f>+IFERROR(_xlfn.XLOOKUP($A11,'Curr Prices'!$A$11:$A$49,'Curr Prices'!U$11:U$49,,0)*_xlfn.XLOOKUP($A11,'2024 Adj Factor'!$A$11:$A$49,'2024 Adj Factor'!$B$11:$B$49,,0),0)</f>
        <v>4346918.8201292399</v>
      </c>
      <c r="V11" s="38">
        <f>+IFERROR(_xlfn.XLOOKUP($A11,'Curr Prices'!$A$11:$A$49,'Curr Prices'!V$11:V$49,,0)*_xlfn.XLOOKUP($A11,'2024 Adj Factor'!$A$11:$A$49,'2024 Adj Factor'!$B$11:$B$49,,0),0)</f>
        <v>4404089.6227633432</v>
      </c>
      <c r="W11" s="38">
        <f>+IFERROR(_xlfn.XLOOKUP($A11,'Curr Prices'!$A$11:$A$49,'Curr Prices'!W$11:W$49,,0)*_xlfn.XLOOKUP($A11,'2024 Adj Factor'!$A$11:$A$49,'2024 Adj Factor'!$B$11:$B$49,,0),0)</f>
        <v>4451224.1092935055</v>
      </c>
      <c r="X11" s="38">
        <f>+IFERROR(_xlfn.XLOOKUP($A11,'Curr Prices'!$A$11:$A$49,'Curr Prices'!X$11:X$49,,0)*_xlfn.XLOOKUP($A11,'2024 Adj Factor'!$A$11:$A$49,'2024 Adj Factor'!$B$11:$B$49,,0),0)</f>
        <v>4638332.1602450954</v>
      </c>
      <c r="Y11" s="38">
        <f>+IFERROR(_xlfn.XLOOKUP($A11,'Curr Prices'!$A$11:$A$49,'Curr Prices'!Y$11:Y$49,,0)*_xlfn.XLOOKUP($A11,'2024 Adj Factor'!$A$11:$A$49,'2024 Adj Factor'!$B$11:$B$49,,0),0)</f>
        <v>4794914.9441499235</v>
      </c>
      <c r="Z11" s="38">
        <f>+IFERROR(_xlfn.XLOOKUP($A11,'Curr Prices'!$A$11:$A$49,'Curr Prices'!Z$11:Z$49,,0)*_xlfn.XLOOKUP($A11,'2024 Adj Factor'!$A$11:$A$49,'2024 Adj Factor'!$B$11:$B$49,,0),0)</f>
        <v>4945758.485041324</v>
      </c>
      <c r="AA11" s="38">
        <f>+IFERROR(_xlfn.XLOOKUP($A11,'Curr Prices'!$A$11:$A$49,'Curr Prices'!AA$11:AA$49,,0)*_xlfn.XLOOKUP($A11,'2024 Adj Factor'!$A$11:$A$49,'2024 Adj Factor'!$B$11:$B$49,,0),0)</f>
        <v>4631459.5482923267</v>
      </c>
      <c r="AB11" s="38">
        <f>+IFERROR(_xlfn.XLOOKUP($A11,'Curr Prices'!$A$11:$A$49,'Curr Prices'!AB$11:AB$49,,0)*_xlfn.XLOOKUP($A11,'2024 Adj Factor'!$A$11:$A$49,'2024 Adj Factor'!$B$11:$B$49,,0),0)</f>
        <v>5138213.5551586011</v>
      </c>
      <c r="AC11" s="38">
        <f>+IFERROR(_xlfn.XLOOKUP($A11,'Curr Prices'!$A$11:$A$49,'Curr Prices'!AC$11:AC$49,,0)*_xlfn.XLOOKUP($A11,'2024 Adj Factor'!$A$11:$A$49,'2024 Adj Factor'!$B$11:$B$49,,0),0)</f>
        <v>5809512.3422871623</v>
      </c>
      <c r="AD11" s="38">
        <f>+IFERROR(_xlfn.XLOOKUP($A11,'Curr Prices'!$A$11:$A$49,'Curr Prices'!AD$11:AD$49,,0)*_xlfn.XLOOKUP($A11,'2024 Adj Factor'!$A$11:$A$49,'2024 Adj Factor'!$B$11:$B$49,,0),0)</f>
        <v>6035064.0130737089</v>
      </c>
      <c r="AE11" s="39">
        <f>+IFERROR(_xlfn.XLOOKUP($A11,'Curr Prices'!$A$11:$A$49,'Curr Prices'!AE$11:AE$49,,0)*_xlfn.XLOOKUP($A11,'2024 Adj Factor'!$A$11:$A$49,'2024 Adj Factor'!$B$11:$B$49,,0),0)</f>
        <v>6122080.7660527648</v>
      </c>
    </row>
    <row r="12" spans="1:31" ht="15" x14ac:dyDescent="0.25">
      <c r="A12" s="32" t="s">
        <v>21</v>
      </c>
      <c r="B12" s="37">
        <f>+IFERROR(_xlfn.XLOOKUP($A12,'Curr Prices'!$A$11:$A$49,'Curr Prices'!B$11:B$49,,0)*_xlfn.XLOOKUP($A12,'2024 Adj Factor'!$A$11:$A$49,'2024 Adj Factor'!$B$11:$B$49,,0),0)</f>
        <v>32396.799999999999</v>
      </c>
      <c r="C12" s="38">
        <f>+IFERROR(_xlfn.XLOOKUP($A12,'Curr Prices'!$A$11:$A$49,'Curr Prices'!C$11:C$49,,0)*_xlfn.XLOOKUP($A12,'2024 Adj Factor'!$A$11:$A$49,'2024 Adj Factor'!$B$11:$B$49,,0),0)</f>
        <v>35281</v>
      </c>
      <c r="D12" s="38">
        <f>+IFERROR(_xlfn.XLOOKUP($A12,'Curr Prices'!$A$11:$A$49,'Curr Prices'!D$11:D$49,,0)*_xlfn.XLOOKUP($A12,'2024 Adj Factor'!$A$11:$A$49,'2024 Adj Factor'!$B$11:$B$49,,0),0)</f>
        <v>39704.800000000003</v>
      </c>
      <c r="E12" s="38">
        <f>+IFERROR(_xlfn.XLOOKUP($A12,'Curr Prices'!$A$11:$A$49,'Curr Prices'!E$11:E$49,,0)*_xlfn.XLOOKUP($A12,'2024 Adj Factor'!$A$11:$A$49,'2024 Adj Factor'!$B$11:$B$49,,0),0)</f>
        <v>39475</v>
      </c>
      <c r="F12" s="38">
        <f>+IFERROR(_xlfn.XLOOKUP($A12,'Curr Prices'!$A$11:$A$49,'Curr Prices'!F$11:F$49,,0)*_xlfn.XLOOKUP($A12,'2024 Adj Factor'!$A$11:$A$49,'2024 Adj Factor'!$B$11:$B$49,,0),0)</f>
        <v>37954.800000000003</v>
      </c>
      <c r="G12" s="38">
        <f>+IFERROR(_xlfn.XLOOKUP($A12,'Curr Prices'!$A$11:$A$49,'Curr Prices'!G$11:G$49,,0)*_xlfn.XLOOKUP($A12,'2024 Adj Factor'!$A$11:$A$49,'2024 Adj Factor'!$B$11:$B$49,,0),0)</f>
        <v>40104.1</v>
      </c>
      <c r="H12" s="38">
        <f>+IFERROR(_xlfn.XLOOKUP($A12,'Curr Prices'!$A$11:$A$49,'Curr Prices'!H$11:H$49,,0)*_xlfn.XLOOKUP($A12,'2024 Adj Factor'!$A$11:$A$49,'2024 Adj Factor'!$B$11:$B$49,,0),0)</f>
        <v>44063.7</v>
      </c>
      <c r="I12" s="38">
        <f>+IFERROR(_xlfn.XLOOKUP($A12,'Curr Prices'!$A$11:$A$49,'Curr Prices'!I$11:I$49,,0)*_xlfn.XLOOKUP($A12,'2024 Adj Factor'!$A$11:$A$49,'2024 Adj Factor'!$B$11:$B$49,,0),0)</f>
        <v>49086.3</v>
      </c>
      <c r="J12" s="38">
        <f>+IFERROR(_xlfn.XLOOKUP($A12,'Curr Prices'!$A$11:$A$49,'Curr Prices'!J$11:J$49,,0)*_xlfn.XLOOKUP($A12,'2024 Adj Factor'!$A$11:$A$49,'2024 Adj Factor'!$B$11:$B$49,,0),0)</f>
        <v>53556.1</v>
      </c>
      <c r="K12" s="38">
        <f>+IFERROR(_xlfn.XLOOKUP($A12,'Curr Prices'!$A$11:$A$49,'Curr Prices'!K$11:K$49,,0)*_xlfn.XLOOKUP($A12,'2024 Adj Factor'!$A$11:$A$49,'2024 Adj Factor'!$B$11:$B$49,,0),0)</f>
        <v>58924.5</v>
      </c>
      <c r="L12" s="38">
        <f>+IFERROR(_xlfn.XLOOKUP($A12,'Curr Prices'!$A$11:$A$49,'Curr Prices'!L$11:L$49,,0)*_xlfn.XLOOKUP($A12,'2024 Adj Factor'!$A$11:$A$49,'2024 Adj Factor'!$B$11:$B$49,,0),0)</f>
        <v>65293.9</v>
      </c>
      <c r="M12" s="38">
        <f>+IFERROR(_xlfn.XLOOKUP($A12,'Curr Prices'!$A$11:$A$49,'Curr Prices'!M$11:M$49,,0)*_xlfn.XLOOKUP($A12,'2024 Adj Factor'!$A$11:$A$49,'2024 Adj Factor'!$B$11:$B$49,,0),0)</f>
        <v>72846.2</v>
      </c>
      <c r="N12" s="38">
        <f>+IFERROR(_xlfn.XLOOKUP($A12,'Curr Prices'!$A$11:$A$49,'Curr Prices'!N$11:N$49,,0)*_xlfn.XLOOKUP($A12,'2024 Adj Factor'!$A$11:$A$49,'2024 Adj Factor'!$B$11:$B$49,,0),0)</f>
        <v>80016.7</v>
      </c>
      <c r="O12" s="38">
        <f>+IFERROR(_xlfn.XLOOKUP($A12,'Curr Prices'!$A$11:$A$49,'Curr Prices'!O$11:O$49,,0)*_xlfn.XLOOKUP($A12,'2024 Adj Factor'!$A$11:$A$49,'2024 Adj Factor'!$B$11:$B$49,,0),0)</f>
        <v>86574.399999999994</v>
      </c>
      <c r="P12" s="38">
        <f>+IFERROR(_xlfn.XLOOKUP($A12,'Curr Prices'!$A$11:$A$49,'Curr Prices'!P$11:P$49,,0)*_xlfn.XLOOKUP($A12,'2024 Adj Factor'!$A$11:$A$49,'2024 Adj Factor'!$B$11:$B$49,,0),0)</f>
        <v>79511.199999999997</v>
      </c>
      <c r="Q12" s="38">
        <f>+IFERROR(_xlfn.XLOOKUP($A12,'Curr Prices'!$A$11:$A$49,'Curr Prices'!Q$11:Q$49,,0)*_xlfn.XLOOKUP($A12,'2024 Adj Factor'!$A$11:$A$49,'2024 Adj Factor'!$B$11:$B$49,,0),0)</f>
        <v>78010.399999999994</v>
      </c>
      <c r="R12" s="38">
        <f>+IFERROR(_xlfn.XLOOKUP($A12,'Curr Prices'!$A$11:$A$49,'Curr Prices'!R$11:R$49,,0)*_xlfn.XLOOKUP($A12,'2024 Adj Factor'!$A$11:$A$49,'2024 Adj Factor'!$B$11:$B$49,,0),0)</f>
        <v>78937.2</v>
      </c>
      <c r="S12" s="38">
        <f>+IFERROR(_xlfn.XLOOKUP($A12,'Curr Prices'!$A$11:$A$49,'Curr Prices'!S$11:S$49,,0)*_xlfn.XLOOKUP($A12,'2024 Adj Factor'!$A$11:$A$49,'2024 Adj Factor'!$B$11:$B$49,,0),0)</f>
        <v>77220</v>
      </c>
      <c r="T12" s="38">
        <f>+IFERROR(_xlfn.XLOOKUP($A12,'Curr Prices'!$A$11:$A$49,'Curr Prices'!T$11:T$49,,0)*_xlfn.XLOOKUP($A12,'2024 Adj Factor'!$A$11:$A$49,'2024 Adj Factor'!$B$11:$B$49,,0),0)</f>
        <v>75435.3</v>
      </c>
      <c r="U12" s="38">
        <f>+IFERROR(_xlfn.XLOOKUP($A12,'Curr Prices'!$A$11:$A$49,'Curr Prices'!U$11:U$49,,0)*_xlfn.XLOOKUP($A12,'2024 Adj Factor'!$A$11:$A$49,'2024 Adj Factor'!$B$11:$B$49,,0),0)</f>
        <v>74268.100000000006</v>
      </c>
      <c r="V12" s="38">
        <f>+IFERROR(_xlfn.XLOOKUP($A12,'Curr Prices'!$A$11:$A$49,'Curr Prices'!V$11:V$49,,0)*_xlfn.XLOOKUP($A12,'2024 Adj Factor'!$A$11:$A$49,'2024 Adj Factor'!$B$11:$B$49,,0),0)</f>
        <v>75870.2</v>
      </c>
      <c r="W12" s="38">
        <f>+IFERROR(_xlfn.XLOOKUP($A12,'Curr Prices'!$A$11:$A$49,'Curr Prices'!W$11:W$49,,0)*_xlfn.XLOOKUP($A12,'2024 Adj Factor'!$A$11:$A$49,'2024 Adj Factor'!$B$11:$B$49,,0),0)</f>
        <v>79248.5</v>
      </c>
      <c r="X12" s="38">
        <f>+IFERROR(_xlfn.XLOOKUP($A12,'Curr Prices'!$A$11:$A$49,'Curr Prices'!X$11:X$49,,0)*_xlfn.XLOOKUP($A12,'2024 Adj Factor'!$A$11:$A$49,'2024 Adj Factor'!$B$11:$B$49,,0),0)</f>
        <v>84003.8</v>
      </c>
      <c r="Y12" s="38">
        <f>+IFERROR(_xlfn.XLOOKUP($A12,'Curr Prices'!$A$11:$A$49,'Curr Prices'!Y$11:Y$49,,0)*_xlfn.XLOOKUP($A12,'2024 Adj Factor'!$A$11:$A$49,'2024 Adj Factor'!$B$11:$B$49,,0),0)</f>
        <v>89307.3</v>
      </c>
      <c r="Z12" s="38">
        <f>+IFERROR(_xlfn.XLOOKUP($A12,'Curr Prices'!$A$11:$A$49,'Curr Prices'!Z$11:Z$49,,0)*_xlfn.XLOOKUP($A12,'2024 Adj Factor'!$A$11:$A$49,'2024 Adj Factor'!$B$11:$B$49,,0),0)</f>
        <v>92202.7</v>
      </c>
      <c r="AA12" s="38">
        <f>+IFERROR(_xlfn.XLOOKUP($A12,'Curr Prices'!$A$11:$A$49,'Curr Prices'!AA$11:AA$49,,0)*_xlfn.XLOOKUP($A12,'2024 Adj Factor'!$A$11:$A$49,'2024 Adj Factor'!$B$11:$B$49,,0),0)</f>
        <v>84455.6</v>
      </c>
      <c r="AB12" s="38">
        <f>+IFERROR(_xlfn.XLOOKUP($A12,'Curr Prices'!$A$11:$A$49,'Curr Prices'!AB$11:AB$49,,0)*_xlfn.XLOOKUP($A12,'2024 Adj Factor'!$A$11:$A$49,'2024 Adj Factor'!$B$11:$B$49,,0),0)</f>
        <v>98916.1</v>
      </c>
      <c r="AC12" s="38">
        <f>+IFERROR(_xlfn.XLOOKUP($A12,'Curr Prices'!$A$11:$A$49,'Curr Prices'!AC$11:AC$49,,0)*_xlfn.XLOOKUP($A12,'2024 Adj Factor'!$A$11:$A$49,'2024 Adj Factor'!$B$11:$B$49,,0),0)</f>
        <v>119401</v>
      </c>
      <c r="AD12" s="38">
        <f>+IFERROR(_xlfn.XLOOKUP($A12,'Curr Prices'!$A$11:$A$49,'Curr Prices'!AD$11:AD$49,,0)*_xlfn.XLOOKUP($A12,'2024 Adj Factor'!$A$11:$A$49,'2024 Adj Factor'!$B$11:$B$49,,0),0)</f>
        <v>135621.5</v>
      </c>
      <c r="AE12" s="39">
        <f>+IFERROR(_xlfn.XLOOKUP($A12,'Curr Prices'!$A$11:$A$49,'Curr Prices'!AE$11:AE$49,,0)*_xlfn.XLOOKUP($A12,'2024 Adj Factor'!$A$11:$A$49,'2024 Adj Factor'!$B$11:$B$49,,0),0)</f>
        <v>144486.1</v>
      </c>
    </row>
    <row r="13" spans="1:31" ht="15" x14ac:dyDescent="0.25">
      <c r="A13" s="32" t="s">
        <v>22</v>
      </c>
      <c r="B13" s="37">
        <f>+IFERROR(_xlfn.XLOOKUP($A13,'Curr Prices'!$A$11:$A$49,'Curr Prices'!B$11:B$49,,0)*_xlfn.XLOOKUP($A13,'2024 Adj Factor'!$A$11:$A$49,'2024 Adj Factor'!$B$11:$B$49,,0),0)</f>
        <v>1689236.4</v>
      </c>
      <c r="C13" s="38">
        <f>+IFERROR(_xlfn.XLOOKUP($A13,'Curr Prices'!$A$11:$A$49,'Curr Prices'!C$11:C$49,,0)*_xlfn.XLOOKUP($A13,'2024 Adj Factor'!$A$11:$A$49,'2024 Adj Factor'!$B$11:$B$49,,0),0)</f>
        <v>1921710.3</v>
      </c>
      <c r="D13" s="38">
        <f>+IFERROR(_xlfn.XLOOKUP($A13,'Curr Prices'!$A$11:$A$49,'Curr Prices'!D$11:D$49,,0)*_xlfn.XLOOKUP($A13,'2024 Adj Factor'!$A$11:$A$49,'2024 Adj Factor'!$B$11:$B$49,,0),0)</f>
        <v>2057225.1</v>
      </c>
      <c r="E13" s="38">
        <f>+IFERROR(_xlfn.XLOOKUP($A13,'Curr Prices'!$A$11:$A$49,'Curr Prices'!E$11:E$49,,0)*_xlfn.XLOOKUP($A13,'2024 Adj Factor'!$A$11:$A$49,'2024 Adj Factor'!$B$11:$B$49,,0),0)</f>
        <v>2131864.6</v>
      </c>
      <c r="F13" s="38">
        <f>+IFERROR(_xlfn.XLOOKUP($A13,'Curr Prices'!$A$11:$A$49,'Curr Prices'!F$11:F$49,,0)*_xlfn.XLOOKUP($A13,'2024 Adj Factor'!$A$11:$A$49,'2024 Adj Factor'!$B$11:$B$49,,0),0)</f>
        <v>2232927</v>
      </c>
      <c r="G13" s="38">
        <f>+IFERROR(_xlfn.XLOOKUP($A13,'Curr Prices'!$A$11:$A$49,'Curr Prices'!G$11:G$49,,0)*_xlfn.XLOOKUP($A13,'2024 Adj Factor'!$A$11:$A$49,'2024 Adj Factor'!$B$11:$B$49,,0),0)</f>
        <v>2422097.7000000002</v>
      </c>
      <c r="H13" s="38">
        <f>+IFERROR(_xlfn.XLOOKUP($A13,'Curr Prices'!$A$11:$A$49,'Curr Prices'!H$11:H$49,,0)*_xlfn.XLOOKUP($A13,'2024 Adj Factor'!$A$11:$A$49,'2024 Adj Factor'!$B$11:$B$49,,0),0)</f>
        <v>2549028.7000000002</v>
      </c>
      <c r="I13" s="38">
        <f>+IFERROR(_xlfn.XLOOKUP($A13,'Curr Prices'!$A$11:$A$49,'Curr Prices'!I$11:I$49,,0)*_xlfn.XLOOKUP($A13,'2024 Adj Factor'!$A$11:$A$49,'2024 Adj Factor'!$B$11:$B$49,,0),0)</f>
        <v>2625343.2999999998</v>
      </c>
      <c r="J13" s="38">
        <f>+IFERROR(_xlfn.XLOOKUP($A13,'Curr Prices'!$A$11:$A$49,'Curr Prices'!J$11:J$49,,0)*_xlfn.XLOOKUP($A13,'2024 Adj Factor'!$A$11:$A$49,'2024 Adj Factor'!$B$11:$B$49,,0),0)</f>
        <v>2703390.5</v>
      </c>
      <c r="K13" s="38">
        <f>+IFERROR(_xlfn.XLOOKUP($A13,'Curr Prices'!$A$11:$A$49,'Curr Prices'!K$11:K$49,,0)*_xlfn.XLOOKUP($A13,'2024 Adj Factor'!$A$11:$A$49,'2024 Adj Factor'!$B$11:$B$49,,0),0)</f>
        <v>2819948.6</v>
      </c>
      <c r="L13" s="38">
        <f>+IFERROR(_xlfn.XLOOKUP($A13,'Curr Prices'!$A$11:$A$49,'Curr Prices'!L$11:L$49,,0)*_xlfn.XLOOKUP($A13,'2024 Adj Factor'!$A$11:$A$49,'2024 Adj Factor'!$B$11:$B$49,,0),0)</f>
        <v>2931928.5</v>
      </c>
      <c r="M13" s="38">
        <f>+IFERROR(_xlfn.XLOOKUP($A13,'Curr Prices'!$A$11:$A$49,'Curr Prices'!M$11:M$49,,0)*_xlfn.XLOOKUP($A13,'2024 Adj Factor'!$A$11:$A$49,'2024 Adj Factor'!$B$11:$B$49,,0),0)</f>
        <v>3085946.7</v>
      </c>
      <c r="N13" s="38">
        <f>+IFERROR(_xlfn.XLOOKUP($A13,'Curr Prices'!$A$11:$A$49,'Curr Prices'!N$11:N$49,,0)*_xlfn.XLOOKUP($A13,'2024 Adj Factor'!$A$11:$A$49,'2024 Adj Factor'!$B$11:$B$49,,0),0)</f>
        <v>3244429.3</v>
      </c>
      <c r="O13" s="38">
        <f>+IFERROR(_xlfn.XLOOKUP($A13,'Curr Prices'!$A$11:$A$49,'Curr Prices'!O$11:O$49,,0)*_xlfn.XLOOKUP($A13,'2024 Adj Factor'!$A$11:$A$49,'2024 Adj Factor'!$B$11:$B$49,,0),0)</f>
        <v>3301594.3</v>
      </c>
      <c r="P13" s="38">
        <f>+IFERROR(_xlfn.XLOOKUP($A13,'Curr Prices'!$A$11:$A$49,'Curr Prices'!P$11:P$49,,0)*_xlfn.XLOOKUP($A13,'2024 Adj Factor'!$A$11:$A$49,'2024 Adj Factor'!$B$11:$B$49,,0),0)</f>
        <v>3015552.9</v>
      </c>
      <c r="Q13" s="38">
        <f>+IFERROR(_xlfn.XLOOKUP($A13,'Curr Prices'!$A$11:$A$49,'Curr Prices'!Q$11:Q$49,,0)*_xlfn.XLOOKUP($A13,'2024 Adj Factor'!$A$11:$A$49,'2024 Adj Factor'!$B$11:$B$49,,0),0)</f>
        <v>3155119.4</v>
      </c>
      <c r="R13" s="38">
        <f>+IFERROR(_xlfn.XLOOKUP($A13,'Curr Prices'!$A$11:$A$49,'Curr Prices'!R$11:R$49,,0)*_xlfn.XLOOKUP($A13,'2024 Adj Factor'!$A$11:$A$49,'2024 Adj Factor'!$B$11:$B$49,,0),0)</f>
        <v>3255592</v>
      </c>
      <c r="S13" s="38">
        <f>+IFERROR(_xlfn.XLOOKUP($A13,'Curr Prices'!$A$11:$A$49,'Curr Prices'!S$11:S$49,,0)*_xlfn.XLOOKUP($A13,'2024 Adj Factor'!$A$11:$A$49,'2024 Adj Factor'!$B$11:$B$49,,0),0)</f>
        <v>3170631.6</v>
      </c>
      <c r="T13" s="38">
        <f>+IFERROR(_xlfn.XLOOKUP($A13,'Curr Prices'!$A$11:$A$49,'Curr Prices'!T$11:T$49,,0)*_xlfn.XLOOKUP($A13,'2024 Adj Factor'!$A$11:$A$49,'2024 Adj Factor'!$B$11:$B$49,,0),0)</f>
        <v>3115726.7</v>
      </c>
      <c r="U13" s="38">
        <f>+IFERROR(_xlfn.XLOOKUP($A13,'Curr Prices'!$A$11:$A$49,'Curr Prices'!U$11:U$49,,0)*_xlfn.XLOOKUP($A13,'2024 Adj Factor'!$A$11:$A$49,'2024 Adj Factor'!$B$11:$B$49,,0),0)</f>
        <v>3121624</v>
      </c>
      <c r="V13" s="38">
        <f>+IFERROR(_xlfn.XLOOKUP($A13,'Curr Prices'!$A$11:$A$49,'Curr Prices'!V$11:V$49,,0)*_xlfn.XLOOKUP($A13,'2024 Adj Factor'!$A$11:$A$49,'2024 Adj Factor'!$B$11:$B$49,,0),0)</f>
        <v>3154746</v>
      </c>
      <c r="W13" s="38">
        <f>+IFERROR(_xlfn.XLOOKUP($A13,'Curr Prices'!$A$11:$A$49,'Curr Prices'!W$11:W$49,,0)*_xlfn.XLOOKUP($A13,'2024 Adj Factor'!$A$11:$A$49,'2024 Adj Factor'!$B$11:$B$49,,0),0)</f>
        <v>3169127.2</v>
      </c>
      <c r="X13" s="38">
        <f>+IFERROR(_xlfn.XLOOKUP($A13,'Curr Prices'!$A$11:$A$49,'Curr Prices'!X$11:X$49,,0)*_xlfn.XLOOKUP($A13,'2024 Adj Factor'!$A$11:$A$49,'2024 Adj Factor'!$B$11:$B$49,,0),0)</f>
        <v>3290293.7</v>
      </c>
      <c r="Y13" s="38">
        <f>+IFERROR(_xlfn.XLOOKUP($A13,'Curr Prices'!$A$11:$A$49,'Curr Prices'!Y$11:Y$49,,0)*_xlfn.XLOOKUP($A13,'2024 Adj Factor'!$A$11:$A$49,'2024 Adj Factor'!$B$11:$B$49,,0),0)</f>
        <v>3373399.2</v>
      </c>
      <c r="Z13" s="38">
        <f>+IFERROR(_xlfn.XLOOKUP($A13,'Curr Prices'!$A$11:$A$49,'Curr Prices'!Z$11:Z$49,,0)*_xlfn.XLOOKUP($A13,'2024 Adj Factor'!$A$11:$A$49,'2024 Adj Factor'!$B$11:$B$49,,0),0)</f>
        <v>3409334.4</v>
      </c>
      <c r="AA13" s="38">
        <f>+IFERROR(_xlfn.XLOOKUP($A13,'Curr Prices'!$A$11:$A$49,'Curr Prices'!AA$11:AA$49,,0)*_xlfn.XLOOKUP($A13,'2024 Adj Factor'!$A$11:$A$49,'2024 Adj Factor'!$B$11:$B$49,,0),0)</f>
        <v>3143279.3</v>
      </c>
      <c r="AB13" s="38">
        <f>+IFERROR(_xlfn.XLOOKUP($A13,'Curr Prices'!$A$11:$A$49,'Curr Prices'!AB$11:AB$49,,0)*_xlfn.XLOOKUP($A13,'2024 Adj Factor'!$A$11:$A$49,'2024 Adj Factor'!$B$11:$B$49,,0),0)</f>
        <v>3604862.5</v>
      </c>
      <c r="AC13" s="38">
        <f>+IFERROR(_xlfn.XLOOKUP($A13,'Curr Prices'!$A$11:$A$49,'Curr Prices'!AC$11:AC$49,,0)*_xlfn.XLOOKUP($A13,'2024 Adj Factor'!$A$11:$A$49,'2024 Adj Factor'!$B$11:$B$49,,0),0)</f>
        <v>4124091</v>
      </c>
      <c r="AD13" s="38">
        <f>+IFERROR(_xlfn.XLOOKUP($A13,'Curr Prices'!$A$11:$A$49,'Curr Prices'!AD$11:AD$49,,0)*_xlfn.XLOOKUP($A13,'2024 Adj Factor'!$A$11:$A$49,'2024 Adj Factor'!$B$11:$B$49,,0),0)</f>
        <v>4262430.4000000004</v>
      </c>
      <c r="AE13" s="39">
        <f>+IFERROR(_xlfn.XLOOKUP($A13,'Curr Prices'!$A$11:$A$49,'Curr Prices'!AE$11:AE$49,,0)*_xlfn.XLOOKUP($A13,'2024 Adj Factor'!$A$11:$A$49,'2024 Adj Factor'!$B$11:$B$49,,0),0)</f>
        <v>4296312.4000000004</v>
      </c>
    </row>
    <row r="14" spans="1:31" ht="15" x14ac:dyDescent="0.25">
      <c r="A14" s="32" t="s">
        <v>23</v>
      </c>
      <c r="B14" s="37">
        <f>+IFERROR(_xlfn.XLOOKUP($A14,'Curr Prices'!$A$11:$A$49,'Curr Prices'!B$11:B$49,,0)*_xlfn.XLOOKUP($A14,'2024 Adj Factor'!$A$11:$A$49,'2024 Adj Factor'!$B$11:$B$49,,0),0)</f>
        <v>14174.4</v>
      </c>
      <c r="C14" s="38">
        <f>+IFERROR(_xlfn.XLOOKUP($A14,'Curr Prices'!$A$11:$A$49,'Curr Prices'!C$11:C$49,,0)*_xlfn.XLOOKUP($A14,'2024 Adj Factor'!$A$11:$A$49,'2024 Adj Factor'!$B$11:$B$49,,0),0)</f>
        <v>14912.4</v>
      </c>
      <c r="D14" s="38">
        <f>+IFERROR(_xlfn.XLOOKUP($A14,'Curr Prices'!$A$11:$A$49,'Curr Prices'!D$11:D$49,,0)*_xlfn.XLOOKUP($A14,'2024 Adj Factor'!$A$11:$A$49,'2024 Adj Factor'!$B$11:$B$49,,0),0)</f>
        <v>15872.8</v>
      </c>
      <c r="E14" s="38">
        <f>+IFERROR(_xlfn.XLOOKUP($A14,'Curr Prices'!$A$11:$A$49,'Curr Prices'!E$11:E$49,,0)*_xlfn.XLOOKUP($A14,'2024 Adj Factor'!$A$11:$A$49,'2024 Adj Factor'!$B$11:$B$49,,0),0)</f>
        <v>17271.8</v>
      </c>
      <c r="F14" s="38">
        <f>+IFERROR(_xlfn.XLOOKUP($A14,'Curr Prices'!$A$11:$A$49,'Curr Prices'!F$11:F$49,,0)*_xlfn.XLOOKUP($A14,'2024 Adj Factor'!$A$11:$A$49,'2024 Adj Factor'!$B$11:$B$49,,0),0)</f>
        <v>18388.5</v>
      </c>
      <c r="G14" s="38">
        <f>+IFERROR(_xlfn.XLOOKUP($A14,'Curr Prices'!$A$11:$A$49,'Curr Prices'!G$11:G$49,,0)*_xlfn.XLOOKUP($A14,'2024 Adj Factor'!$A$11:$A$49,'2024 Adj Factor'!$B$11:$B$49,,0),0)</f>
        <v>20230.400000000001</v>
      </c>
      <c r="H14" s="38">
        <f>+IFERROR(_xlfn.XLOOKUP($A14,'Curr Prices'!$A$11:$A$49,'Curr Prices'!H$11:H$49,,0)*_xlfn.XLOOKUP($A14,'2024 Adj Factor'!$A$11:$A$49,'2024 Adj Factor'!$B$11:$B$49,,0),0)</f>
        <v>21353</v>
      </c>
      <c r="I14" s="38">
        <f>+IFERROR(_xlfn.XLOOKUP($A14,'Curr Prices'!$A$11:$A$49,'Curr Prices'!I$11:I$49,,0)*_xlfn.XLOOKUP($A14,'2024 Adj Factor'!$A$11:$A$49,'2024 Adj Factor'!$B$11:$B$49,,0),0)</f>
        <v>22281.7</v>
      </c>
      <c r="J14" s="38">
        <f>+IFERROR(_xlfn.XLOOKUP($A14,'Curr Prices'!$A$11:$A$49,'Curr Prices'!J$11:J$49,,0)*_xlfn.XLOOKUP($A14,'2024 Adj Factor'!$A$11:$A$49,'2024 Adj Factor'!$B$11:$B$49,,0),0)</f>
        <v>23339.5</v>
      </c>
      <c r="K14" s="38">
        <f>+IFERROR(_xlfn.XLOOKUP($A14,'Curr Prices'!$A$11:$A$49,'Curr Prices'!K$11:K$49,,0)*_xlfn.XLOOKUP($A14,'2024 Adj Factor'!$A$11:$A$49,'2024 Adj Factor'!$B$11:$B$49,,0),0)</f>
        <v>24658.5</v>
      </c>
      <c r="L14" s="38">
        <f>+IFERROR(_xlfn.XLOOKUP($A14,'Curr Prices'!$A$11:$A$49,'Curr Prices'!L$11:L$49,,0)*_xlfn.XLOOKUP($A14,'2024 Adj Factor'!$A$11:$A$49,'2024 Adj Factor'!$B$11:$B$49,,0),0)</f>
        <v>26430.3</v>
      </c>
      <c r="M14" s="38">
        <f>+IFERROR(_xlfn.XLOOKUP($A14,'Curr Prices'!$A$11:$A$49,'Curr Prices'!M$11:M$49,,0)*_xlfn.XLOOKUP($A14,'2024 Adj Factor'!$A$11:$A$49,'2024 Adj Factor'!$B$11:$B$49,,0),0)</f>
        <v>28829.8</v>
      </c>
      <c r="N14" s="38">
        <f>+IFERROR(_xlfn.XLOOKUP($A14,'Curr Prices'!$A$11:$A$49,'Curr Prices'!N$11:N$49,,0)*_xlfn.XLOOKUP($A14,'2024 Adj Factor'!$A$11:$A$49,'2024 Adj Factor'!$B$11:$B$49,,0),0)</f>
        <v>31363.599999999999</v>
      </c>
      <c r="O14" s="38">
        <f>+IFERROR(_xlfn.XLOOKUP($A14,'Curr Prices'!$A$11:$A$49,'Curr Prices'!O$11:O$49,,0)*_xlfn.XLOOKUP($A14,'2024 Adj Factor'!$A$11:$A$49,'2024 Adj Factor'!$B$11:$B$49,,0),0)</f>
        <v>34306.699999999997</v>
      </c>
      <c r="P14" s="38">
        <f>+IFERROR(_xlfn.XLOOKUP($A14,'Curr Prices'!$A$11:$A$49,'Curr Prices'!P$11:P$49,,0)*_xlfn.XLOOKUP($A14,'2024 Adj Factor'!$A$11:$A$49,'2024 Adj Factor'!$B$11:$B$49,,0),0)</f>
        <v>34140.9</v>
      </c>
      <c r="Q14" s="38">
        <f>+IFERROR(_xlfn.XLOOKUP($A14,'Curr Prices'!$A$11:$A$49,'Curr Prices'!Q$11:Q$49,,0)*_xlfn.XLOOKUP($A14,'2024 Adj Factor'!$A$11:$A$49,'2024 Adj Factor'!$B$11:$B$49,,0),0)</f>
        <v>34768.699999999997</v>
      </c>
      <c r="R14" s="38">
        <f>+IFERROR(_xlfn.XLOOKUP($A14,'Curr Prices'!$A$11:$A$49,'Curr Prices'!R$11:R$49,,0)*_xlfn.XLOOKUP($A14,'2024 Adj Factor'!$A$11:$A$49,'2024 Adj Factor'!$B$11:$B$49,,0),0)</f>
        <v>35176.1</v>
      </c>
      <c r="S14" s="38">
        <f>+IFERROR(_xlfn.XLOOKUP($A14,'Curr Prices'!$A$11:$A$49,'Curr Prices'!S$11:S$49,,0)*_xlfn.XLOOKUP($A14,'2024 Adj Factor'!$A$11:$A$49,'2024 Adj Factor'!$B$11:$B$49,,0),0)</f>
        <v>34187.199999999997</v>
      </c>
      <c r="T14" s="38">
        <f>+IFERROR(_xlfn.XLOOKUP($A14,'Curr Prices'!$A$11:$A$49,'Curr Prices'!T$11:T$49,,0)*_xlfn.XLOOKUP($A14,'2024 Adj Factor'!$A$11:$A$49,'2024 Adj Factor'!$B$11:$B$49,,0),0)</f>
        <v>31823.7</v>
      </c>
      <c r="U14" s="38">
        <f>+IFERROR(_xlfn.XLOOKUP($A14,'Curr Prices'!$A$11:$A$49,'Curr Prices'!U$11:U$49,,0)*_xlfn.XLOOKUP($A14,'2024 Adj Factor'!$A$11:$A$49,'2024 Adj Factor'!$B$11:$B$49,,0),0)</f>
        <v>30990.3</v>
      </c>
      <c r="V14" s="38">
        <f>+IFERROR(_xlfn.XLOOKUP($A14,'Curr Prices'!$A$11:$A$49,'Curr Prices'!V$11:V$49,,0)*_xlfn.XLOOKUP($A14,'2024 Adj Factor'!$A$11:$A$49,'2024 Adj Factor'!$B$11:$B$49,,0),0)</f>
        <v>32492.6</v>
      </c>
      <c r="W14" s="38">
        <f>+IFERROR(_xlfn.XLOOKUP($A14,'Curr Prices'!$A$11:$A$49,'Curr Prices'!W$11:W$49,,0)*_xlfn.XLOOKUP($A14,'2024 Adj Factor'!$A$11:$A$49,'2024 Adj Factor'!$B$11:$B$49,,0),0)</f>
        <v>34630.6</v>
      </c>
      <c r="X14" s="38">
        <f>+IFERROR(_xlfn.XLOOKUP($A14,'Curr Prices'!$A$11:$A$49,'Curr Prices'!X$11:X$49,,0)*_xlfn.XLOOKUP($A14,'2024 Adj Factor'!$A$11:$A$49,'2024 Adj Factor'!$B$11:$B$49,,0),0)</f>
        <v>37661.5</v>
      </c>
      <c r="Y14" s="38">
        <f>+IFERROR(_xlfn.XLOOKUP($A14,'Curr Prices'!$A$11:$A$49,'Curr Prices'!Y$11:Y$49,,0)*_xlfn.XLOOKUP($A14,'2024 Adj Factor'!$A$11:$A$49,'2024 Adj Factor'!$B$11:$B$49,,0),0)</f>
        <v>40473.699999999997</v>
      </c>
      <c r="Z14" s="38">
        <f>+IFERROR(_xlfn.XLOOKUP($A14,'Curr Prices'!$A$11:$A$49,'Curr Prices'!Z$11:Z$49,,0)*_xlfn.XLOOKUP($A14,'2024 Adj Factor'!$A$11:$A$49,'2024 Adj Factor'!$B$11:$B$49,,0),0)</f>
        <v>44975.6</v>
      </c>
      <c r="AA14" s="38">
        <f>+IFERROR(_xlfn.XLOOKUP($A14,'Curr Prices'!$A$11:$A$49,'Curr Prices'!AA$11:AA$49,,0)*_xlfn.XLOOKUP($A14,'2024 Adj Factor'!$A$11:$A$49,'2024 Adj Factor'!$B$11:$B$49,,0),0)</f>
        <v>45526.400000000001</v>
      </c>
      <c r="AB14" s="38">
        <f>+IFERROR(_xlfn.XLOOKUP($A14,'Curr Prices'!$A$11:$A$49,'Curr Prices'!AB$11:AB$49,,0)*_xlfn.XLOOKUP($A14,'2024 Adj Factor'!$A$11:$A$49,'2024 Adj Factor'!$B$11:$B$49,,0),0)</f>
        <v>53420.800000000003</v>
      </c>
      <c r="AC14" s="38">
        <f>+IFERROR(_xlfn.XLOOKUP($A14,'Curr Prices'!$A$11:$A$49,'Curr Prices'!AC$11:AC$49,,0)*_xlfn.XLOOKUP($A14,'2024 Adj Factor'!$A$11:$A$49,'2024 Adj Factor'!$B$11:$B$49,,0),0)</f>
        <v>64381.7</v>
      </c>
      <c r="AD14" s="38">
        <f>+IFERROR(_xlfn.XLOOKUP($A14,'Curr Prices'!$A$11:$A$49,'Curr Prices'!AD$11:AD$49,,0)*_xlfn.XLOOKUP($A14,'2024 Adj Factor'!$A$11:$A$49,'2024 Adj Factor'!$B$11:$B$49,,0),0)</f>
        <v>66406.600000000006</v>
      </c>
      <c r="AE14" s="39">
        <f>+IFERROR(_xlfn.XLOOKUP($A14,'Curr Prices'!$A$11:$A$49,'Curr Prices'!AE$11:AE$49,,0)*_xlfn.XLOOKUP($A14,'2024 Adj Factor'!$A$11:$A$49,'2024 Adj Factor'!$B$11:$B$49,,0),0)</f>
        <v>71483</v>
      </c>
    </row>
    <row r="15" spans="1:31" ht="15" x14ac:dyDescent="0.25">
      <c r="A15" s="32" t="s">
        <v>24</v>
      </c>
      <c r="B15" s="37">
        <f>+IFERROR(_xlfn.XLOOKUP($A15,'Curr Prices'!$A$11:$A$49,'Curr Prices'!B$11:B$49,,0)*_xlfn.XLOOKUP($A15,'2024 Adj Factor'!$A$11:$A$49,'2024 Adj Factor'!$B$11:$B$49,,0),0)</f>
        <v>9892.2170542496096</v>
      </c>
      <c r="C15" s="38">
        <f>+IFERROR(_xlfn.XLOOKUP($A15,'Curr Prices'!$A$11:$A$49,'Curr Prices'!C$11:C$49,,0)*_xlfn.XLOOKUP($A15,'2024 Adj Factor'!$A$11:$A$49,'2024 Adj Factor'!$B$11:$B$49,,0),0)</f>
        <v>11365.020100782967</v>
      </c>
      <c r="D15" s="38">
        <f>+IFERROR(_xlfn.XLOOKUP($A15,'Curr Prices'!$A$11:$A$49,'Curr Prices'!D$11:D$49,,0)*_xlfn.XLOOKUP($A15,'2024 Adj Factor'!$A$11:$A$49,'2024 Adj Factor'!$B$11:$B$49,,0),0)</f>
        <v>14232.164758007459</v>
      </c>
      <c r="E15" s="38">
        <f>+IFERROR(_xlfn.XLOOKUP($A15,'Curr Prices'!$A$11:$A$49,'Curr Prices'!E$11:E$49,,0)*_xlfn.XLOOKUP($A15,'2024 Adj Factor'!$A$11:$A$49,'2024 Adj Factor'!$B$11:$B$49,,0),0)</f>
        <v>15941.805101620124</v>
      </c>
      <c r="F15" s="38">
        <f>+IFERROR(_xlfn.XLOOKUP($A15,'Curr Prices'!$A$11:$A$49,'Curr Prices'!F$11:F$49,,0)*_xlfn.XLOOKUP($A15,'2024 Adj Factor'!$A$11:$A$49,'2024 Adj Factor'!$B$11:$B$49,,0),0)</f>
        <v>17124.934867342035</v>
      </c>
      <c r="G15" s="38">
        <f>+IFERROR(_xlfn.XLOOKUP($A15,'Curr Prices'!$A$11:$A$49,'Curr Prices'!G$11:G$49,,0)*_xlfn.XLOOKUP($A15,'2024 Adj Factor'!$A$11:$A$49,'2024 Adj Factor'!$B$11:$B$49,,0),0)</f>
        <v>22334.29868341222</v>
      </c>
      <c r="H15" s="38">
        <f>+IFERROR(_xlfn.XLOOKUP($A15,'Curr Prices'!$A$11:$A$49,'Curr Prices'!H$11:H$49,,0)*_xlfn.XLOOKUP($A15,'2024 Adj Factor'!$A$11:$A$49,'2024 Adj Factor'!$B$11:$B$49,,0),0)</f>
        <v>24058.072652673236</v>
      </c>
      <c r="I15" s="38">
        <f>+IFERROR(_xlfn.XLOOKUP($A15,'Curr Prices'!$A$11:$A$49,'Curr Prices'!I$11:I$49,,0)*_xlfn.XLOOKUP($A15,'2024 Adj Factor'!$A$11:$A$49,'2024 Adj Factor'!$B$11:$B$49,,0),0)</f>
        <v>25385.708833902539</v>
      </c>
      <c r="J15" s="38">
        <f>+IFERROR(_xlfn.XLOOKUP($A15,'Curr Prices'!$A$11:$A$49,'Curr Prices'!J$11:J$49,,0)*_xlfn.XLOOKUP($A15,'2024 Adj Factor'!$A$11:$A$49,'2024 Adj Factor'!$B$11:$B$49,,0),0)</f>
        <v>26508.473488210482</v>
      </c>
      <c r="K15" s="38">
        <f>+IFERROR(_xlfn.XLOOKUP($A15,'Curr Prices'!$A$11:$A$49,'Curr Prices'!K$11:K$49,,0)*_xlfn.XLOOKUP($A15,'2024 Adj Factor'!$A$11:$A$49,'2024 Adj Factor'!$B$11:$B$49,,0),0)</f>
        <v>30276.867937945924</v>
      </c>
      <c r="L15" s="38">
        <f>+IFERROR(_xlfn.XLOOKUP($A15,'Curr Prices'!$A$11:$A$49,'Curr Prices'!L$11:L$49,,0)*_xlfn.XLOOKUP($A15,'2024 Adj Factor'!$A$11:$A$49,'2024 Adj Factor'!$B$11:$B$49,,0),0)</f>
        <v>35562.183480631058</v>
      </c>
      <c r="M15" s="38">
        <f>+IFERROR(_xlfn.XLOOKUP($A15,'Curr Prices'!$A$11:$A$49,'Curr Prices'!M$11:M$49,,0)*_xlfn.XLOOKUP($A15,'2024 Adj Factor'!$A$11:$A$49,'2024 Adj Factor'!$B$11:$B$49,,0),0)</f>
        <v>45912.488513838303</v>
      </c>
      <c r="N15" s="38">
        <f>+IFERROR(_xlfn.XLOOKUP($A15,'Curr Prices'!$A$11:$A$49,'Curr Prices'!N$11:N$49,,0)*_xlfn.XLOOKUP($A15,'2024 Adj Factor'!$A$11:$A$49,'2024 Adj Factor'!$B$11:$B$49,,0),0)</f>
        <v>58151.812055428833</v>
      </c>
      <c r="O15" s="38">
        <f>+IFERROR(_xlfn.XLOOKUP($A15,'Curr Prices'!$A$11:$A$49,'Curr Prices'!O$11:O$49,,0)*_xlfn.XLOOKUP($A15,'2024 Adj Factor'!$A$11:$A$49,'2024 Adj Factor'!$B$11:$B$49,,0),0)</f>
        <v>62992.380705048694</v>
      </c>
      <c r="P15" s="38">
        <f>+IFERROR(_xlfn.XLOOKUP($A15,'Curr Prices'!$A$11:$A$49,'Curr Prices'!P$11:P$49,,0)*_xlfn.XLOOKUP($A15,'2024 Adj Factor'!$A$11:$A$49,'2024 Adj Factor'!$B$11:$B$49,,0),0)</f>
        <v>48650.581280797051</v>
      </c>
      <c r="Q15" s="38">
        <f>+IFERROR(_xlfn.XLOOKUP($A15,'Curr Prices'!$A$11:$A$49,'Curr Prices'!Q$11:Q$49,,0)*_xlfn.XLOOKUP($A15,'2024 Adj Factor'!$A$11:$A$49,'2024 Adj Factor'!$B$11:$B$49,,0),0)</f>
        <v>48680.565701565036</v>
      </c>
      <c r="R15" s="38">
        <f>+IFERROR(_xlfn.XLOOKUP($A15,'Curr Prices'!$A$11:$A$49,'Curr Prices'!R$11:R$49,,0)*_xlfn.XLOOKUP($A15,'2024 Adj Factor'!$A$11:$A$49,'2024 Adj Factor'!$B$11:$B$49,,0),0)</f>
        <v>54291.350904040148</v>
      </c>
      <c r="S15" s="38">
        <f>+IFERROR(_xlfn.XLOOKUP($A15,'Curr Prices'!$A$11:$A$49,'Curr Prices'!S$11:S$49,,0)*_xlfn.XLOOKUP($A15,'2024 Adj Factor'!$A$11:$A$49,'2024 Adj Factor'!$B$11:$B$49,,0),0)</f>
        <v>59651.957723543572</v>
      </c>
      <c r="T15" s="38">
        <f>+IFERROR(_xlfn.XLOOKUP($A15,'Curr Prices'!$A$11:$A$49,'Curr Prices'!T$11:T$49,,0)*_xlfn.XLOOKUP($A15,'2024 Adj Factor'!$A$11:$A$49,'2024 Adj Factor'!$B$11:$B$49,,0),0)</f>
        <v>61146.687703325762</v>
      </c>
      <c r="U15" s="38">
        <f>+IFERROR(_xlfn.XLOOKUP($A15,'Curr Prices'!$A$11:$A$49,'Curr Prices'!U$11:U$49,,0)*_xlfn.XLOOKUP($A15,'2024 Adj Factor'!$A$11:$A$49,'2024 Adj Factor'!$B$11:$B$49,,0),0)</f>
        <v>60971.668507213057</v>
      </c>
      <c r="V15" s="38">
        <f>+IFERROR(_xlfn.XLOOKUP($A15,'Curr Prices'!$A$11:$A$49,'Curr Prices'!V$11:V$49,,0)*_xlfn.XLOOKUP($A15,'2024 Adj Factor'!$A$11:$A$49,'2024 Adj Factor'!$B$11:$B$49,,0),0)</f>
        <v>61147.480243081751</v>
      </c>
      <c r="W15" s="38">
        <f>+IFERROR(_xlfn.XLOOKUP($A15,'Curr Prices'!$A$11:$A$49,'Curr Prices'!W$11:W$49,,0)*_xlfn.XLOOKUP($A15,'2024 Adj Factor'!$A$11:$A$49,'2024 Adj Factor'!$B$11:$B$49,,0),0)</f>
        <v>59966.596006668457</v>
      </c>
      <c r="X15" s="38">
        <f>+IFERROR(_xlfn.XLOOKUP($A15,'Curr Prices'!$A$11:$A$49,'Curr Prices'!X$11:X$49,,0)*_xlfn.XLOOKUP($A15,'2024 Adj Factor'!$A$11:$A$49,'2024 Adj Factor'!$B$11:$B$49,,0),0)</f>
        <v>64351.982656435946</v>
      </c>
      <c r="Y15" s="38">
        <f>+IFERROR(_xlfn.XLOOKUP($A15,'Curr Prices'!$A$11:$A$49,'Curr Prices'!Y$11:Y$49,,0)*_xlfn.XLOOKUP($A15,'2024 Adj Factor'!$A$11:$A$49,'2024 Adj Factor'!$B$11:$B$49,,0),0)</f>
        <v>69685.907304154651</v>
      </c>
      <c r="Z15" s="38">
        <f>+IFERROR(_xlfn.XLOOKUP($A15,'Curr Prices'!$A$11:$A$49,'Curr Prices'!Z$11:Z$49,,0)*_xlfn.XLOOKUP($A15,'2024 Adj Factor'!$A$11:$A$49,'2024 Adj Factor'!$B$11:$B$49,,0),0)</f>
        <v>72335.103528484062</v>
      </c>
      <c r="AA15" s="38">
        <f>+IFERROR(_xlfn.XLOOKUP($A15,'Curr Prices'!$A$11:$A$49,'Curr Prices'!AA$11:AA$49,,0)*_xlfn.XLOOKUP($A15,'2024 Adj Factor'!$A$11:$A$49,'2024 Adj Factor'!$B$11:$B$49,,0),0)</f>
        <v>69077.104681601078</v>
      </c>
      <c r="AB15" s="38">
        <f>+IFERROR(_xlfn.XLOOKUP($A15,'Curr Prices'!$A$11:$A$49,'Curr Prices'!AB$11:AB$49,,0)*_xlfn.XLOOKUP($A15,'2024 Adj Factor'!$A$11:$A$49,'2024 Adj Factor'!$B$11:$B$49,,0),0)</f>
        <v>78920.580540857787</v>
      </c>
      <c r="AC15" s="38">
        <f>+IFERROR(_xlfn.XLOOKUP($A15,'Curr Prices'!$A$11:$A$49,'Curr Prices'!AC$11:AC$49,,0)*_xlfn.XLOOKUP($A15,'2024 Adj Factor'!$A$11:$A$49,'2024 Adj Factor'!$B$11:$B$49,,0),0)</f>
        <v>95644.754471591557</v>
      </c>
      <c r="AD15" s="38">
        <f>+IFERROR(_xlfn.XLOOKUP($A15,'Curr Prices'!$A$11:$A$49,'Curr Prices'!AD$11:AD$49,,0)*_xlfn.XLOOKUP($A15,'2024 Adj Factor'!$A$11:$A$49,'2024 Adj Factor'!$B$11:$B$49,,0),0)</f>
        <v>96727.363778263069</v>
      </c>
      <c r="AE15" s="39">
        <f>+IFERROR(_xlfn.XLOOKUP($A15,'Curr Prices'!$A$11:$A$49,'Curr Prices'!AE$11:AE$49,,0)*_xlfn.XLOOKUP($A15,'2024 Adj Factor'!$A$11:$A$49,'2024 Adj Factor'!$B$11:$B$49,,0),0)</f>
        <v>96913.742710878185</v>
      </c>
    </row>
    <row r="16" spans="1:31" ht="15" x14ac:dyDescent="0.25">
      <c r="A16" s="32" t="s">
        <v>25</v>
      </c>
      <c r="B16" s="37">
        <f>+IFERROR(_xlfn.XLOOKUP($A16,'Curr Prices'!$A$11:$A$49,'Curr Prices'!B$11:B$49,,0)*_xlfn.XLOOKUP($A16,'2024 Adj Factor'!$A$11:$A$49,'2024 Adj Factor'!$B$11:$B$49,,0),0)</f>
        <v>9968.9</v>
      </c>
      <c r="C16" s="38">
        <f>+IFERROR(_xlfn.XLOOKUP($A16,'Curr Prices'!$A$11:$A$49,'Curr Prices'!C$11:C$49,,0)*_xlfn.XLOOKUP($A16,'2024 Adj Factor'!$A$11:$A$49,'2024 Adj Factor'!$B$11:$B$49,,0),0)</f>
        <v>12626.6</v>
      </c>
      <c r="D16" s="38">
        <f>+IFERROR(_xlfn.XLOOKUP($A16,'Curr Prices'!$A$11:$A$49,'Curr Prices'!D$11:D$49,,0)*_xlfn.XLOOKUP($A16,'2024 Adj Factor'!$A$11:$A$49,'2024 Adj Factor'!$B$11:$B$49,,0),0)</f>
        <v>15873.9</v>
      </c>
      <c r="E16" s="38">
        <f>+IFERROR(_xlfn.XLOOKUP($A16,'Curr Prices'!$A$11:$A$49,'Curr Prices'!E$11:E$49,,0)*_xlfn.XLOOKUP($A16,'2024 Adj Factor'!$A$11:$A$49,'2024 Adj Factor'!$B$11:$B$49,,0),0)</f>
        <v>17511.3</v>
      </c>
      <c r="F16" s="38">
        <f>+IFERROR(_xlfn.XLOOKUP($A16,'Curr Prices'!$A$11:$A$49,'Curr Prices'!F$11:F$49,,0)*_xlfn.XLOOKUP($A16,'2024 Adj Factor'!$A$11:$A$49,'2024 Adj Factor'!$B$11:$B$49,,0),0)</f>
        <v>17199.7</v>
      </c>
      <c r="G16" s="38">
        <f>+IFERROR(_xlfn.XLOOKUP($A16,'Curr Prices'!$A$11:$A$49,'Curr Prices'!G$11:G$49,,0)*_xlfn.XLOOKUP($A16,'2024 Adj Factor'!$A$11:$A$49,'2024 Adj Factor'!$B$11:$B$49,,0),0)</f>
        <v>20988.9</v>
      </c>
      <c r="H16" s="38">
        <f>+IFERROR(_xlfn.XLOOKUP($A16,'Curr Prices'!$A$11:$A$49,'Curr Prices'!H$11:H$49,,0)*_xlfn.XLOOKUP($A16,'2024 Adj Factor'!$A$11:$A$49,'2024 Adj Factor'!$B$11:$B$49,,0),0)</f>
        <v>22998.7</v>
      </c>
      <c r="I16" s="38">
        <f>+IFERROR(_xlfn.XLOOKUP($A16,'Curr Prices'!$A$11:$A$49,'Curr Prices'!I$11:I$49,,0)*_xlfn.XLOOKUP($A16,'2024 Adj Factor'!$A$11:$A$49,'2024 Adj Factor'!$B$11:$B$49,,0),0)</f>
        <v>25481.1</v>
      </c>
      <c r="J16" s="38">
        <f>+IFERROR(_xlfn.XLOOKUP($A16,'Curr Prices'!$A$11:$A$49,'Curr Prices'!J$11:J$49,,0)*_xlfn.XLOOKUP($A16,'2024 Adj Factor'!$A$11:$A$49,'2024 Adj Factor'!$B$11:$B$49,,0),0)</f>
        <v>27754.1</v>
      </c>
      <c r="K16" s="38">
        <f>+IFERROR(_xlfn.XLOOKUP($A16,'Curr Prices'!$A$11:$A$49,'Curr Prices'!K$11:K$49,,0)*_xlfn.XLOOKUP($A16,'2024 Adj Factor'!$A$11:$A$49,'2024 Adj Factor'!$B$11:$B$49,,0),0)</f>
        <v>31072.5</v>
      </c>
      <c r="L16" s="38">
        <f>+IFERROR(_xlfn.XLOOKUP($A16,'Curr Prices'!$A$11:$A$49,'Curr Prices'!L$11:L$49,,0)*_xlfn.XLOOKUP($A16,'2024 Adj Factor'!$A$11:$A$49,'2024 Adj Factor'!$B$11:$B$49,,0),0)</f>
        <v>36562.5</v>
      </c>
      <c r="M16" s="38">
        <f>+IFERROR(_xlfn.XLOOKUP($A16,'Curr Prices'!$A$11:$A$49,'Curr Prices'!M$11:M$49,,0)*_xlfn.XLOOKUP($A16,'2024 Adj Factor'!$A$11:$A$49,'2024 Adj Factor'!$B$11:$B$49,,0),0)</f>
        <v>42463.7</v>
      </c>
      <c r="N16" s="38">
        <f>+IFERROR(_xlfn.XLOOKUP($A16,'Curr Prices'!$A$11:$A$49,'Curr Prices'!N$11:N$49,,0)*_xlfn.XLOOKUP($A16,'2024 Adj Factor'!$A$11:$A$49,'2024 Adj Factor'!$B$11:$B$49,,0),0)</f>
        <v>49935.7</v>
      </c>
      <c r="O16" s="38">
        <f>+IFERROR(_xlfn.XLOOKUP($A16,'Curr Prices'!$A$11:$A$49,'Curr Prices'!O$11:O$49,,0)*_xlfn.XLOOKUP($A16,'2024 Adj Factor'!$A$11:$A$49,'2024 Adj Factor'!$B$11:$B$49,,0),0)</f>
        <v>59105.1</v>
      </c>
      <c r="P16" s="38">
        <f>+IFERROR(_xlfn.XLOOKUP($A16,'Curr Prices'!$A$11:$A$49,'Curr Prices'!P$11:P$49,,0)*_xlfn.XLOOKUP($A16,'2024 Adj Factor'!$A$11:$A$49,'2024 Adj Factor'!$B$11:$B$49,,0),0)</f>
        <v>45805.7</v>
      </c>
      <c r="Q16" s="38">
        <f>+IFERROR(_xlfn.XLOOKUP($A16,'Curr Prices'!$A$11:$A$49,'Curr Prices'!Q$11:Q$49,,0)*_xlfn.XLOOKUP($A16,'2024 Adj Factor'!$A$11:$A$49,'2024 Adj Factor'!$B$11:$B$49,,0),0)</f>
        <v>47962.2</v>
      </c>
      <c r="R16" s="38">
        <f>+IFERROR(_xlfn.XLOOKUP($A16,'Curr Prices'!$A$11:$A$49,'Curr Prices'!R$11:R$49,,0)*_xlfn.XLOOKUP($A16,'2024 Adj Factor'!$A$11:$A$49,'2024 Adj Factor'!$B$11:$B$49,,0),0)</f>
        <v>54731.7</v>
      </c>
      <c r="S16" s="38">
        <f>+IFERROR(_xlfn.XLOOKUP($A16,'Curr Prices'!$A$11:$A$49,'Curr Prices'!S$11:S$49,,0)*_xlfn.XLOOKUP($A16,'2024 Adj Factor'!$A$11:$A$49,'2024 Adj Factor'!$B$11:$B$49,,0),0)</f>
        <v>58639.199999999997</v>
      </c>
      <c r="T16" s="38">
        <f>+IFERROR(_xlfn.XLOOKUP($A16,'Curr Prices'!$A$11:$A$49,'Curr Prices'!T$11:T$49,,0)*_xlfn.XLOOKUP($A16,'2024 Adj Factor'!$A$11:$A$49,'2024 Adj Factor'!$B$11:$B$49,,0),0)</f>
        <v>61610.3</v>
      </c>
      <c r="U16" s="38">
        <f>+IFERROR(_xlfn.XLOOKUP($A16,'Curr Prices'!$A$11:$A$49,'Curr Prices'!U$11:U$49,,0)*_xlfn.XLOOKUP($A16,'2024 Adj Factor'!$A$11:$A$49,'2024 Adj Factor'!$B$11:$B$49,,0),0)</f>
        <v>63238.400000000001</v>
      </c>
      <c r="V16" s="38">
        <f>+IFERROR(_xlfn.XLOOKUP($A16,'Curr Prices'!$A$11:$A$49,'Curr Prices'!V$11:V$49,,0)*_xlfn.XLOOKUP($A16,'2024 Adj Factor'!$A$11:$A$49,'2024 Adj Factor'!$B$11:$B$49,,0),0)</f>
        <v>64406.6</v>
      </c>
      <c r="W16" s="38">
        <f>+IFERROR(_xlfn.XLOOKUP($A16,'Curr Prices'!$A$11:$A$49,'Curr Prices'!W$11:W$49,,0)*_xlfn.XLOOKUP($A16,'2024 Adj Factor'!$A$11:$A$49,'2024 Adj Factor'!$B$11:$B$49,,0),0)</f>
        <v>65747.399999999994</v>
      </c>
      <c r="X16" s="38">
        <f>+IFERROR(_xlfn.XLOOKUP($A16,'Curr Prices'!$A$11:$A$49,'Curr Prices'!X$11:X$49,,0)*_xlfn.XLOOKUP($A16,'2024 Adj Factor'!$A$11:$A$49,'2024 Adj Factor'!$B$11:$B$49,,0),0)</f>
        <v>72353.399999999994</v>
      </c>
      <c r="Y16" s="38">
        <f>+IFERROR(_xlfn.XLOOKUP($A16,'Curr Prices'!$A$11:$A$49,'Curr Prices'!Y$11:Y$49,,0)*_xlfn.XLOOKUP($A16,'2024 Adj Factor'!$A$11:$A$49,'2024 Adj Factor'!$B$11:$B$49,,0),0)</f>
        <v>80417.3</v>
      </c>
      <c r="Z16" s="38">
        <f>+IFERROR(_xlfn.XLOOKUP($A16,'Curr Prices'!$A$11:$A$49,'Curr Prices'!Z$11:Z$49,,0)*_xlfn.XLOOKUP($A16,'2024 Adj Factor'!$A$11:$A$49,'2024 Adj Factor'!$B$11:$B$49,,0),0)</f>
        <v>87148.7</v>
      </c>
      <c r="AA16" s="38">
        <f>+IFERROR(_xlfn.XLOOKUP($A16,'Curr Prices'!$A$11:$A$49,'Curr Prices'!AA$11:AA$49,,0)*_xlfn.XLOOKUP($A16,'2024 Adj Factor'!$A$11:$A$49,'2024 Adj Factor'!$B$11:$B$49,,0),0)</f>
        <v>87379.8</v>
      </c>
      <c r="AB16" s="38">
        <f>+IFERROR(_xlfn.XLOOKUP($A16,'Curr Prices'!$A$11:$A$49,'Curr Prices'!AB$11:AB$49,,0)*_xlfn.XLOOKUP($A16,'2024 Adj Factor'!$A$11:$A$49,'2024 Adj Factor'!$B$11:$B$49,,0),0)</f>
        <v>105434.7</v>
      </c>
      <c r="AC16" s="38">
        <f>+IFERROR(_xlfn.XLOOKUP($A16,'Curr Prices'!$A$11:$A$49,'Curr Prices'!AC$11:AC$49,,0)*_xlfn.XLOOKUP($A16,'2024 Adj Factor'!$A$11:$A$49,'2024 Adj Factor'!$B$11:$B$49,,0),0)</f>
        <v>131204.6</v>
      </c>
      <c r="AD16" s="38">
        <f>+IFERROR(_xlfn.XLOOKUP($A16,'Curr Prices'!$A$11:$A$49,'Curr Prices'!AD$11:AD$49,,0)*_xlfn.XLOOKUP($A16,'2024 Adj Factor'!$A$11:$A$49,'2024 Adj Factor'!$B$11:$B$49,,0),0)</f>
        <v>134656.6</v>
      </c>
      <c r="AE16" s="39">
        <f>+IFERROR(_xlfn.XLOOKUP($A16,'Curr Prices'!$A$11:$A$49,'Curr Prices'!AE$11:AE$49,,0)*_xlfn.XLOOKUP($A16,'2024 Adj Factor'!$A$11:$A$49,'2024 Adj Factor'!$B$11:$B$49,,0),0)</f>
        <v>141005.20000000001</v>
      </c>
    </row>
    <row r="17" spans="1:31" ht="15" x14ac:dyDescent="0.25">
      <c r="A17" s="32" t="s">
        <v>26</v>
      </c>
      <c r="B17" s="37">
        <f>+IFERROR(_xlfn.XLOOKUP($A17,'Curr Prices'!$A$11:$A$49,'Curr Prices'!B$11:B$49,,0)*_xlfn.XLOOKUP($A17,'2024 Adj Factor'!$A$11:$A$49,'2024 Adj Factor'!$B$11:$B$49,,0),0)</f>
        <v>36930.871831948978</v>
      </c>
      <c r="C17" s="38">
        <f>+IFERROR(_xlfn.XLOOKUP($A17,'Curr Prices'!$A$11:$A$49,'Curr Prices'!C$11:C$49,,0)*_xlfn.XLOOKUP($A17,'2024 Adj Factor'!$A$11:$A$49,'2024 Adj Factor'!$B$11:$B$49,,0),0)</f>
        <v>38589.823741442829</v>
      </c>
      <c r="D17" s="38">
        <f>+IFERROR(_xlfn.XLOOKUP($A17,'Curr Prices'!$A$11:$A$49,'Curr Prices'!D$11:D$49,,0)*_xlfn.XLOOKUP($A17,'2024 Adj Factor'!$A$11:$A$49,'2024 Adj Factor'!$B$11:$B$49,,0),0)</f>
        <v>41986.373427356048</v>
      </c>
      <c r="E17" s="38">
        <f>+IFERROR(_xlfn.XLOOKUP($A17,'Curr Prices'!$A$11:$A$49,'Curr Prices'!E$11:E$49,,0)*_xlfn.XLOOKUP($A17,'2024 Adj Factor'!$A$11:$A$49,'2024 Adj Factor'!$B$11:$B$49,,0),0)</f>
        <v>47131.666561912134</v>
      </c>
      <c r="F17" s="38">
        <f>+IFERROR(_xlfn.XLOOKUP($A17,'Curr Prices'!$A$11:$A$49,'Curr Prices'!F$11:F$49,,0)*_xlfn.XLOOKUP($A17,'2024 Adj Factor'!$A$11:$A$49,'2024 Adj Factor'!$B$11:$B$49,,0),0)</f>
        <v>55496.305717254698</v>
      </c>
      <c r="G17" s="38">
        <f>+IFERROR(_xlfn.XLOOKUP($A17,'Curr Prices'!$A$11:$A$49,'Curr Prices'!G$11:G$49,,0)*_xlfn.XLOOKUP($A17,'2024 Adj Factor'!$A$11:$A$49,'2024 Adj Factor'!$B$11:$B$49,,0),0)</f>
        <v>68716.951458430558</v>
      </c>
      <c r="H17" s="38">
        <f>+IFERROR(_xlfn.XLOOKUP($A17,'Curr Prices'!$A$11:$A$49,'Curr Prices'!H$11:H$49,,0)*_xlfn.XLOOKUP($A17,'2024 Adj Factor'!$A$11:$A$49,'2024 Adj Factor'!$B$11:$B$49,,0),0)</f>
        <v>71863.53752908374</v>
      </c>
      <c r="I17" s="38">
        <f>+IFERROR(_xlfn.XLOOKUP($A17,'Curr Prices'!$A$11:$A$49,'Curr Prices'!I$11:I$49,,0)*_xlfn.XLOOKUP($A17,'2024 Adj Factor'!$A$11:$A$49,'2024 Adj Factor'!$B$11:$B$49,,0),0)</f>
        <v>72015.068578414721</v>
      </c>
      <c r="J17" s="38">
        <f>+IFERROR(_xlfn.XLOOKUP($A17,'Curr Prices'!$A$11:$A$49,'Curr Prices'!J$11:J$49,,0)*_xlfn.XLOOKUP($A17,'2024 Adj Factor'!$A$11:$A$49,'2024 Adj Factor'!$B$11:$B$49,,0),0)</f>
        <v>75702.407600316816</v>
      </c>
      <c r="K17" s="38">
        <f>+IFERROR(_xlfn.XLOOKUP($A17,'Curr Prices'!$A$11:$A$49,'Curr Prices'!K$11:K$49,,0)*_xlfn.XLOOKUP($A17,'2024 Adj Factor'!$A$11:$A$49,'2024 Adj Factor'!$B$11:$B$49,,0),0)</f>
        <v>84908.106695582435</v>
      </c>
      <c r="L17" s="38">
        <f>+IFERROR(_xlfn.XLOOKUP($A17,'Curr Prices'!$A$11:$A$49,'Curr Prices'!L$11:L$49,,0)*_xlfn.XLOOKUP($A17,'2024 Adj Factor'!$A$11:$A$49,'2024 Adj Factor'!$B$11:$B$49,,0),0)</f>
        <v>96665.914265489511</v>
      </c>
      <c r="M17" s="38">
        <f>+IFERROR(_xlfn.XLOOKUP($A17,'Curr Prices'!$A$11:$A$49,'Curr Prices'!M$11:M$49,,0)*_xlfn.XLOOKUP($A17,'2024 Adj Factor'!$A$11:$A$49,'2024 Adj Factor'!$B$11:$B$49,,0),0)</f>
        <v>117744.00845970176</v>
      </c>
      <c r="N17" s="38">
        <f>+IFERROR(_xlfn.XLOOKUP($A17,'Curr Prices'!$A$11:$A$49,'Curr Prices'!N$11:N$49,,0)*_xlfn.XLOOKUP($A17,'2024 Adj Factor'!$A$11:$A$49,'2024 Adj Factor'!$B$11:$B$49,,0),0)</f>
        <v>132247.2831324875</v>
      </c>
      <c r="O17" s="38">
        <f>+IFERROR(_xlfn.XLOOKUP($A17,'Curr Prices'!$A$11:$A$49,'Curr Prices'!O$11:O$49,,0)*_xlfn.XLOOKUP($A17,'2024 Adj Factor'!$A$11:$A$49,'2024 Adj Factor'!$B$11:$B$49,,0),0)</f>
        <v>133827.96487187239</v>
      </c>
      <c r="P17" s="38">
        <f>+IFERROR(_xlfn.XLOOKUP($A17,'Curr Prices'!$A$11:$A$49,'Curr Prices'!P$11:P$49,,0)*_xlfn.XLOOKUP($A17,'2024 Adj Factor'!$A$11:$A$49,'2024 Adj Factor'!$B$11:$B$49,,0),0)</f>
        <v>122684.2963647084</v>
      </c>
      <c r="Q17" s="38">
        <f>+IFERROR(_xlfn.XLOOKUP($A17,'Curr Prices'!$A$11:$A$49,'Curr Prices'!Q$11:Q$49,,0)*_xlfn.XLOOKUP($A17,'2024 Adj Factor'!$A$11:$A$49,'2024 Adj Factor'!$B$11:$B$49,,0),0)</f>
        <v>145094.11054122288</v>
      </c>
      <c r="R17" s="38">
        <f>+IFERROR(_xlfn.XLOOKUP($A17,'Curr Prices'!$A$11:$A$49,'Curr Prices'!R$11:R$49,,0)*_xlfn.XLOOKUP($A17,'2024 Adj Factor'!$A$11:$A$49,'2024 Adj Factor'!$B$11:$B$49,,0),0)</f>
        <v>154496.92523289096</v>
      </c>
      <c r="S17" s="38">
        <f>+IFERROR(_xlfn.XLOOKUP($A17,'Curr Prices'!$A$11:$A$49,'Curr Prices'!S$11:S$49,,0)*_xlfn.XLOOKUP($A17,'2024 Adj Factor'!$A$11:$A$49,'2024 Adj Factor'!$B$11:$B$49,,0),0)</f>
        <v>164197.04133870098</v>
      </c>
      <c r="T17" s="38">
        <f>+IFERROR(_xlfn.XLOOKUP($A17,'Curr Prices'!$A$11:$A$49,'Curr Prices'!T$11:T$49,,0)*_xlfn.XLOOKUP($A17,'2024 Adj Factor'!$A$11:$A$49,'2024 Adj Factor'!$B$11:$B$49,,0),0)</f>
        <v>179294.41791068192</v>
      </c>
      <c r="U17" s="38">
        <f>+IFERROR(_xlfn.XLOOKUP($A17,'Curr Prices'!$A$11:$A$49,'Curr Prices'!U$11:U$49,,0)*_xlfn.XLOOKUP($A17,'2024 Adj Factor'!$A$11:$A$49,'2024 Adj Factor'!$B$11:$B$49,,0),0)</f>
        <v>198844.05222300603</v>
      </c>
      <c r="V17" s="38">
        <f>+IFERROR(_xlfn.XLOOKUP($A17,'Curr Prices'!$A$11:$A$49,'Curr Prices'!V$11:V$49,,0)*_xlfn.XLOOKUP($A17,'2024 Adj Factor'!$A$11:$A$49,'2024 Adj Factor'!$B$11:$B$49,,0),0)</f>
        <v>223175.17991921963</v>
      </c>
      <c r="W17" s="38">
        <f>+IFERROR(_xlfn.XLOOKUP($A17,'Curr Prices'!$A$11:$A$49,'Curr Prices'!W$11:W$49,,0)*_xlfn.XLOOKUP($A17,'2024 Adj Factor'!$A$11:$A$49,'2024 Adj Factor'!$B$11:$B$49,,0),0)</f>
        <v>227081.92588197123</v>
      </c>
      <c r="X17" s="38">
        <f>+IFERROR(_xlfn.XLOOKUP($A17,'Curr Prices'!$A$11:$A$49,'Curr Prices'!X$11:X$49,,0)*_xlfn.XLOOKUP($A17,'2024 Adj Factor'!$A$11:$A$49,'2024 Adj Factor'!$B$11:$B$49,,0),0)</f>
        <v>240744.51631165043</v>
      </c>
      <c r="Y17" s="38">
        <f>+IFERROR(_xlfn.XLOOKUP($A17,'Curr Prices'!$A$11:$A$49,'Curr Prices'!Y$11:Y$49,,0)*_xlfn.XLOOKUP($A17,'2024 Adj Factor'!$A$11:$A$49,'2024 Adj Factor'!$B$11:$B$49,,0),0)</f>
        <v>253977.93574458809</v>
      </c>
      <c r="Z17" s="38">
        <f>+IFERROR(_xlfn.XLOOKUP($A17,'Curr Prices'!$A$11:$A$49,'Curr Prices'!Z$11:Z$49,,0)*_xlfn.XLOOKUP($A17,'2024 Adj Factor'!$A$11:$A$49,'2024 Adj Factor'!$B$11:$B$49,,0),0)</f>
        <v>272911.80297463079</v>
      </c>
      <c r="AA17" s="38">
        <f>+IFERROR(_xlfn.XLOOKUP($A17,'Curr Prices'!$A$11:$A$49,'Curr Prices'!AA$11:AA$49,,0)*_xlfn.XLOOKUP($A17,'2024 Adj Factor'!$A$11:$A$49,'2024 Adj Factor'!$B$11:$B$49,,0),0)</f>
        <v>283052.73667849461</v>
      </c>
      <c r="AB17" s="38">
        <f>+IFERROR(_xlfn.XLOOKUP($A17,'Curr Prices'!$A$11:$A$49,'Curr Prices'!AB$11:AB$49,,0)*_xlfn.XLOOKUP($A17,'2024 Adj Factor'!$A$11:$A$49,'2024 Adj Factor'!$B$11:$B$49,,0),0)</f>
        <v>334235.66724524752</v>
      </c>
      <c r="AC17" s="38">
        <f>+IFERROR(_xlfn.XLOOKUP($A17,'Curr Prices'!$A$11:$A$49,'Curr Prices'!AC$11:AC$49,,0)*_xlfn.XLOOKUP($A17,'2024 Adj Factor'!$A$11:$A$49,'2024 Adj Factor'!$B$11:$B$49,,0),0)</f>
        <v>349609.55667418952</v>
      </c>
      <c r="AD17" s="38">
        <f>+IFERROR(_xlfn.XLOOKUP($A17,'Curr Prices'!$A$11:$A$49,'Curr Prices'!AD$11:AD$49,,0)*_xlfn.XLOOKUP($A17,'2024 Adj Factor'!$A$11:$A$49,'2024 Adj Factor'!$B$11:$B$49,,0),0)</f>
        <v>365035.16703153949</v>
      </c>
      <c r="AE17" s="39">
        <f>+IFERROR(_xlfn.XLOOKUP($A17,'Curr Prices'!$A$11:$A$49,'Curr Prices'!AE$11:AE$49,,0)*_xlfn.XLOOKUP($A17,'2024 Adj Factor'!$A$11:$A$49,'2024 Adj Factor'!$B$11:$B$49,,0),0)</f>
        <v>354819.97059027624</v>
      </c>
    </row>
    <row r="18" spans="1:31" ht="15" x14ac:dyDescent="0.25">
      <c r="A18" s="32" t="s">
        <v>27</v>
      </c>
      <c r="B18" s="37">
        <f>+IFERROR(_xlfn.XLOOKUP($A18,'Curr Prices'!$A$11:$A$49,'Curr Prices'!B$11:B$49,,0)*_xlfn.XLOOKUP($A18,'2024 Adj Factor'!$A$11:$A$49,'2024 Adj Factor'!$B$11:$B$49,,0),0)</f>
        <v>92280.732470578616</v>
      </c>
      <c r="C18" s="38">
        <f>+IFERROR(_xlfn.XLOOKUP($A18,'Curr Prices'!$A$11:$A$49,'Curr Prices'!C$11:C$49,,0)*_xlfn.XLOOKUP($A18,'2024 Adj Factor'!$A$11:$A$49,'2024 Adj Factor'!$B$11:$B$49,,0),0)</f>
        <v>97069.884800755579</v>
      </c>
      <c r="D18" s="38">
        <f>+IFERROR(_xlfn.XLOOKUP($A18,'Curr Prices'!$A$11:$A$49,'Curr Prices'!D$11:D$49,,0)*_xlfn.XLOOKUP($A18,'2024 Adj Factor'!$A$11:$A$49,'2024 Adj Factor'!$B$11:$B$49,,0),0)</f>
        <v>111178.07676008326</v>
      </c>
      <c r="E18" s="38">
        <f>+IFERROR(_xlfn.XLOOKUP($A18,'Curr Prices'!$A$11:$A$49,'Curr Prices'!E$11:E$49,,0)*_xlfn.XLOOKUP($A18,'2024 Adj Factor'!$A$11:$A$49,'2024 Adj Factor'!$B$11:$B$49,,0),0)</f>
        <v>116659.0994427393</v>
      </c>
      <c r="F18" s="38">
        <f>+IFERROR(_xlfn.XLOOKUP($A18,'Curr Prices'!$A$11:$A$49,'Curr Prices'!F$11:F$49,,0)*_xlfn.XLOOKUP($A18,'2024 Adj Factor'!$A$11:$A$49,'2024 Adj Factor'!$B$11:$B$49,,0),0)</f>
        <v>126549.52504761025</v>
      </c>
      <c r="G18" s="38">
        <f>+IFERROR(_xlfn.XLOOKUP($A18,'Curr Prices'!$A$11:$A$49,'Curr Prices'!G$11:G$49,,0)*_xlfn.XLOOKUP($A18,'2024 Adj Factor'!$A$11:$A$49,'2024 Adj Factor'!$B$11:$B$49,,0),0)</f>
        <v>144656.06355715104</v>
      </c>
      <c r="H18" s="38">
        <f>+IFERROR(_xlfn.XLOOKUP($A18,'Curr Prices'!$A$11:$A$49,'Curr Prices'!H$11:H$49,,0)*_xlfn.XLOOKUP($A18,'2024 Adj Factor'!$A$11:$A$49,'2024 Adj Factor'!$B$11:$B$49,,0),0)</f>
        <v>167265.51929707726</v>
      </c>
      <c r="I18" s="38">
        <f>+IFERROR(_xlfn.XLOOKUP($A18,'Curr Prices'!$A$11:$A$49,'Curr Prices'!I$11:I$49,,0)*_xlfn.XLOOKUP($A18,'2024 Adj Factor'!$A$11:$A$49,'2024 Adj Factor'!$B$11:$B$49,,0),0)</f>
        <v>193286.21436548507</v>
      </c>
      <c r="J18" s="38">
        <f>+IFERROR(_xlfn.XLOOKUP($A18,'Curr Prices'!$A$11:$A$49,'Curr Prices'!J$11:J$49,,0)*_xlfn.XLOOKUP($A18,'2024 Adj Factor'!$A$11:$A$49,'2024 Adj Factor'!$B$11:$B$49,,0),0)</f>
        <v>201781.1083308894</v>
      </c>
      <c r="K18" s="38">
        <f>+IFERROR(_xlfn.XLOOKUP($A18,'Curr Prices'!$A$11:$A$49,'Curr Prices'!K$11:K$49,,0)*_xlfn.XLOOKUP($A18,'2024 Adj Factor'!$A$11:$A$49,'2024 Adj Factor'!$B$11:$B$49,,0),0)</f>
        <v>222765.9901403226</v>
      </c>
      <c r="L18" s="38">
        <f>+IFERROR(_xlfn.XLOOKUP($A18,'Curr Prices'!$A$11:$A$49,'Curr Prices'!L$11:L$49,,0)*_xlfn.XLOOKUP($A18,'2024 Adj Factor'!$A$11:$A$49,'2024 Adj Factor'!$B$11:$B$49,,0),0)</f>
        <v>249031.17768980234</v>
      </c>
      <c r="M18" s="38">
        <f>+IFERROR(_xlfn.XLOOKUP($A18,'Curr Prices'!$A$11:$A$49,'Curr Prices'!M$11:M$49,,0)*_xlfn.XLOOKUP($A18,'2024 Adj Factor'!$A$11:$A$49,'2024 Adj Factor'!$B$11:$B$49,,0),0)</f>
        <v>259718.10124991706</v>
      </c>
      <c r="N18" s="38">
        <f>+IFERROR(_xlfn.XLOOKUP($A18,'Curr Prices'!$A$11:$A$49,'Curr Prices'!N$11:N$49,,0)*_xlfn.XLOOKUP($A18,'2024 Adj Factor'!$A$11:$A$49,'2024 Adj Factor'!$B$11:$B$49,,0),0)</f>
        <v>284354.37797345244</v>
      </c>
      <c r="O18" s="38">
        <f>+IFERROR(_xlfn.XLOOKUP($A18,'Curr Prices'!$A$11:$A$49,'Curr Prices'!O$11:O$49,,0)*_xlfn.XLOOKUP($A18,'2024 Adj Factor'!$A$11:$A$49,'2024 Adj Factor'!$B$11:$B$49,,0),0)</f>
        <v>303925.97397766489</v>
      </c>
      <c r="P18" s="38">
        <f>+IFERROR(_xlfn.XLOOKUP($A18,'Curr Prices'!$A$11:$A$49,'Curr Prices'!P$11:P$49,,0)*_xlfn.XLOOKUP($A18,'2024 Adj Factor'!$A$11:$A$49,'2024 Adj Factor'!$B$11:$B$49,,0),0)</f>
        <v>254481.02893640156</v>
      </c>
      <c r="Q18" s="38">
        <f>+IFERROR(_xlfn.XLOOKUP($A18,'Curr Prices'!$A$11:$A$49,'Curr Prices'!Q$11:Q$49,,0)*_xlfn.XLOOKUP($A18,'2024 Adj Factor'!$A$11:$A$49,'2024 Adj Factor'!$B$11:$B$49,,0),0)</f>
        <v>272736.2416431352</v>
      </c>
      <c r="R18" s="38">
        <f>+IFERROR(_xlfn.XLOOKUP($A18,'Curr Prices'!$A$11:$A$49,'Curr Prices'!R$11:R$49,,0)*_xlfn.XLOOKUP($A18,'2024 Adj Factor'!$A$11:$A$49,'2024 Adj Factor'!$B$11:$B$49,,0),0)</f>
        <v>284755.54080270574</v>
      </c>
      <c r="S18" s="38">
        <f>+IFERROR(_xlfn.XLOOKUP($A18,'Curr Prices'!$A$11:$A$49,'Curr Prices'!S$11:S$49,,0)*_xlfn.XLOOKUP($A18,'2024 Adj Factor'!$A$11:$A$49,'2024 Adj Factor'!$B$11:$B$49,,0),0)</f>
        <v>273049.31128353218</v>
      </c>
      <c r="T18" s="38">
        <f>+IFERROR(_xlfn.XLOOKUP($A18,'Curr Prices'!$A$11:$A$49,'Curr Prices'!T$11:T$49,,0)*_xlfn.XLOOKUP($A18,'2024 Adj Factor'!$A$11:$A$49,'2024 Adj Factor'!$B$11:$B$49,,0),0)</f>
        <v>278517.32327983406</v>
      </c>
      <c r="U18" s="38">
        <f>+IFERROR(_xlfn.XLOOKUP($A18,'Curr Prices'!$A$11:$A$49,'Curr Prices'!U$11:U$49,,0)*_xlfn.XLOOKUP($A18,'2024 Adj Factor'!$A$11:$A$49,'2024 Adj Factor'!$B$11:$B$49,,0),0)</f>
        <v>287970.80666797783</v>
      </c>
      <c r="V18" s="38">
        <f>+IFERROR(_xlfn.XLOOKUP($A18,'Curr Prices'!$A$11:$A$49,'Curr Prices'!V$11:V$49,,0)*_xlfn.XLOOKUP($A18,'2024 Adj Factor'!$A$11:$A$49,'2024 Adj Factor'!$B$11:$B$49,,0),0)</f>
        <v>302554.02420721517</v>
      </c>
      <c r="W18" s="38">
        <f>+IFERROR(_xlfn.XLOOKUP($A18,'Curr Prices'!$A$11:$A$49,'Curr Prices'!W$11:W$49,,0)*_xlfn.XLOOKUP($A18,'2024 Adj Factor'!$A$11:$A$49,'2024 Adj Factor'!$B$11:$B$49,,0),0)</f>
        <v>311684.40888423054</v>
      </c>
      <c r="X18" s="38">
        <f>+IFERROR(_xlfn.XLOOKUP($A18,'Curr Prices'!$A$11:$A$49,'Curr Prices'!X$11:X$49,,0)*_xlfn.XLOOKUP($A18,'2024 Adj Factor'!$A$11:$A$49,'2024 Adj Factor'!$B$11:$B$49,,0),0)</f>
        <v>338326.77080999815</v>
      </c>
      <c r="Y18" s="38">
        <f>+IFERROR(_xlfn.XLOOKUP($A18,'Curr Prices'!$A$11:$A$49,'Curr Prices'!Y$11:Y$49,,0)*_xlfn.XLOOKUP($A18,'2024 Adj Factor'!$A$11:$A$49,'2024 Adj Factor'!$B$11:$B$49,,0),0)</f>
        <v>362233.90698576905</v>
      </c>
      <c r="Z18" s="38">
        <f>+IFERROR(_xlfn.XLOOKUP($A18,'Curr Prices'!$A$11:$A$49,'Curr Prices'!Z$11:Z$49,,0)*_xlfn.XLOOKUP($A18,'2024 Adj Factor'!$A$11:$A$49,'2024 Adj Factor'!$B$11:$B$49,,0),0)</f>
        <v>391039.43104589876</v>
      </c>
      <c r="AA18" s="38">
        <f>+IFERROR(_xlfn.XLOOKUP($A18,'Curr Prices'!$A$11:$A$49,'Curr Prices'!AA$11:AA$49,,0)*_xlfn.XLOOKUP($A18,'2024 Adj Factor'!$A$11:$A$49,'2024 Adj Factor'!$B$11:$B$49,,0),0)</f>
        <v>363363.53272287251</v>
      </c>
      <c r="AB18" s="38">
        <f>+IFERROR(_xlfn.XLOOKUP($A18,'Curr Prices'!$A$11:$A$49,'Curr Prices'!AB$11:AB$49,,0)*_xlfn.XLOOKUP($A18,'2024 Adj Factor'!$A$11:$A$49,'2024 Adj Factor'!$B$11:$B$49,,0),0)</f>
        <v>416092.86290066439</v>
      </c>
      <c r="AC18" s="38">
        <f>+IFERROR(_xlfn.XLOOKUP($A18,'Curr Prices'!$A$11:$A$49,'Curr Prices'!AC$11:AC$49,,0)*_xlfn.XLOOKUP($A18,'2024 Adj Factor'!$A$11:$A$49,'2024 Adj Factor'!$B$11:$B$49,,0),0)</f>
        <v>487452.81829770061</v>
      </c>
      <c r="AD18" s="38">
        <f>+IFERROR(_xlfn.XLOOKUP($A18,'Curr Prices'!$A$11:$A$49,'Curr Prices'!AD$11:AD$49,,0)*_xlfn.XLOOKUP($A18,'2024 Adj Factor'!$A$11:$A$49,'2024 Adj Factor'!$B$11:$B$49,,0),0)</f>
        <v>531653.77909832285</v>
      </c>
      <c r="AE18" s="39">
        <f>+IFERROR(_xlfn.XLOOKUP($A18,'Curr Prices'!$A$11:$A$49,'Curr Prices'!AE$11:AE$49,,0)*_xlfn.XLOOKUP($A18,'2024 Adj Factor'!$A$11:$A$49,'2024 Adj Factor'!$B$11:$B$49,,0),0)</f>
        <v>534230.84369232669</v>
      </c>
    </row>
    <row r="19" spans="1:31" ht="15" x14ac:dyDescent="0.25">
      <c r="A19" s="32" t="s">
        <v>28</v>
      </c>
      <c r="B19" s="37">
        <f>+IFERROR(_xlfn.XLOOKUP($A19,'Curr Prices'!$A$11:$A$49,'Curr Prices'!B$11:B$49,,0)*_xlfn.XLOOKUP($A19,'2024 Adj Factor'!$A$11:$A$49,'2024 Adj Factor'!$B$11:$B$49,,0),0)</f>
        <v>5484.8</v>
      </c>
      <c r="C19" s="38">
        <f>+IFERROR(_xlfn.XLOOKUP($A19,'Curr Prices'!$A$11:$A$49,'Curr Prices'!C$11:C$49,,0)*_xlfn.XLOOKUP($A19,'2024 Adj Factor'!$A$11:$A$49,'2024 Adj Factor'!$B$11:$B$49,,0),0)</f>
        <v>5650.7</v>
      </c>
      <c r="D19" s="38">
        <f>+IFERROR(_xlfn.XLOOKUP($A19,'Curr Prices'!$A$11:$A$49,'Curr Prices'!D$11:D$49,,0)*_xlfn.XLOOKUP($A19,'2024 Adj Factor'!$A$11:$A$49,'2024 Adj Factor'!$B$11:$B$49,,0),0)</f>
        <v>6113.6</v>
      </c>
      <c r="E19" s="38">
        <f>+IFERROR(_xlfn.XLOOKUP($A19,'Curr Prices'!$A$11:$A$49,'Curr Prices'!E$11:E$49,,0)*_xlfn.XLOOKUP($A19,'2024 Adj Factor'!$A$11:$A$49,'2024 Adj Factor'!$B$11:$B$49,,0),0)</f>
        <v>6677.2</v>
      </c>
      <c r="F19" s="38">
        <f>+IFERROR(_xlfn.XLOOKUP($A19,'Curr Prices'!$A$11:$A$49,'Curr Prices'!F$11:F$49,,0)*_xlfn.XLOOKUP($A19,'2024 Adj Factor'!$A$11:$A$49,'2024 Adj Factor'!$B$11:$B$49,,0),0)</f>
        <v>7167.7</v>
      </c>
      <c r="G19" s="38">
        <f>+IFERROR(_xlfn.XLOOKUP($A19,'Curr Prices'!$A$11:$A$49,'Curr Prices'!G$11:G$49,,0)*_xlfn.XLOOKUP($A19,'2024 Adj Factor'!$A$11:$A$49,'2024 Adj Factor'!$B$11:$B$49,,0),0)</f>
        <v>8725.6</v>
      </c>
      <c r="H19" s="38">
        <f>+IFERROR(_xlfn.XLOOKUP($A19,'Curr Prices'!$A$11:$A$49,'Curr Prices'!H$11:H$49,,0)*_xlfn.XLOOKUP($A19,'2024 Adj Factor'!$A$11:$A$49,'2024 Adj Factor'!$B$11:$B$49,,0),0)</f>
        <v>8533.1</v>
      </c>
      <c r="I19" s="38">
        <f>+IFERROR(_xlfn.XLOOKUP($A19,'Curr Prices'!$A$11:$A$49,'Curr Prices'!I$11:I$49,,0)*_xlfn.XLOOKUP($A19,'2024 Adj Factor'!$A$11:$A$49,'2024 Adj Factor'!$B$11:$B$49,,0),0)</f>
        <v>8699.2000000000007</v>
      </c>
      <c r="J19" s="38">
        <f>+IFERROR(_xlfn.XLOOKUP($A19,'Curr Prices'!$A$11:$A$49,'Curr Prices'!J$11:J$49,,0)*_xlfn.XLOOKUP($A19,'2024 Adj Factor'!$A$11:$A$49,'2024 Adj Factor'!$B$11:$B$49,,0),0)</f>
        <v>8868.7000000000007</v>
      </c>
      <c r="K19" s="38">
        <f>+IFERROR(_xlfn.XLOOKUP($A19,'Curr Prices'!$A$11:$A$49,'Curr Prices'!K$11:K$49,,0)*_xlfn.XLOOKUP($A19,'2024 Adj Factor'!$A$11:$A$49,'2024 Adj Factor'!$B$11:$B$49,,0),0)</f>
        <v>9112.4</v>
      </c>
      <c r="L19" s="38">
        <f>+IFERROR(_xlfn.XLOOKUP($A19,'Curr Prices'!$A$11:$A$49,'Curr Prices'!L$11:L$49,,0)*_xlfn.XLOOKUP($A19,'2024 Adj Factor'!$A$11:$A$49,'2024 Adj Factor'!$B$11:$B$49,,0),0)</f>
        <v>9632.5</v>
      </c>
      <c r="M19" s="38">
        <f>+IFERROR(_xlfn.XLOOKUP($A19,'Curr Prices'!$A$11:$A$49,'Curr Prices'!M$11:M$49,,0)*_xlfn.XLOOKUP($A19,'2024 Adj Factor'!$A$11:$A$49,'2024 Adj Factor'!$B$11:$B$49,,0),0)</f>
        <v>10766.2</v>
      </c>
      <c r="N19" s="38">
        <f>+IFERROR(_xlfn.XLOOKUP($A19,'Curr Prices'!$A$11:$A$49,'Curr Prices'!N$11:N$49,,0)*_xlfn.XLOOKUP($A19,'2024 Adj Factor'!$A$11:$A$49,'2024 Adj Factor'!$B$11:$B$49,,0),0)</f>
        <v>11593.5</v>
      </c>
      <c r="O19" s="38">
        <f>+IFERROR(_xlfn.XLOOKUP($A19,'Curr Prices'!$A$11:$A$49,'Curr Prices'!O$11:O$49,,0)*_xlfn.XLOOKUP($A19,'2024 Adj Factor'!$A$11:$A$49,'2024 Adj Factor'!$B$11:$B$49,,0),0)</f>
        <v>12710.4</v>
      </c>
      <c r="P19" s="38">
        <f>+IFERROR(_xlfn.XLOOKUP($A19,'Curr Prices'!$A$11:$A$49,'Curr Prices'!P$11:P$49,,0)*_xlfn.XLOOKUP($A19,'2024 Adj Factor'!$A$11:$A$49,'2024 Adj Factor'!$B$11:$B$49,,0),0)</f>
        <v>12528.5</v>
      </c>
      <c r="Q19" s="38">
        <f>+IFERROR(_xlfn.XLOOKUP($A19,'Curr Prices'!$A$11:$A$49,'Curr Prices'!Q$11:Q$49,,0)*_xlfn.XLOOKUP($A19,'2024 Adj Factor'!$A$11:$A$49,'2024 Adj Factor'!$B$11:$B$49,,0),0)</f>
        <v>13755.3</v>
      </c>
      <c r="R19" s="38">
        <f>+IFERROR(_xlfn.XLOOKUP($A19,'Curr Prices'!$A$11:$A$49,'Curr Prices'!R$11:R$49,,0)*_xlfn.XLOOKUP($A19,'2024 Adj Factor'!$A$11:$A$49,'2024 Adj Factor'!$B$11:$B$49,,0),0)</f>
        <v>14908.7</v>
      </c>
      <c r="S19" s="38">
        <f>+IFERROR(_xlfn.XLOOKUP($A19,'Curr Prices'!$A$11:$A$49,'Curr Prices'!S$11:S$49,,0)*_xlfn.XLOOKUP($A19,'2024 Adj Factor'!$A$11:$A$49,'2024 Adj Factor'!$B$11:$B$49,,0),0)</f>
        <v>16170.1</v>
      </c>
      <c r="T19" s="38">
        <f>+IFERROR(_xlfn.XLOOKUP($A19,'Curr Prices'!$A$11:$A$49,'Curr Prices'!T$11:T$49,,0)*_xlfn.XLOOKUP($A19,'2024 Adj Factor'!$A$11:$A$49,'2024 Adj Factor'!$B$11:$B$49,,0),0)</f>
        <v>17150.400000000001</v>
      </c>
      <c r="U19" s="38">
        <f>+IFERROR(_xlfn.XLOOKUP($A19,'Curr Prices'!$A$11:$A$49,'Curr Prices'!U$11:U$49,,0)*_xlfn.XLOOKUP($A19,'2024 Adj Factor'!$A$11:$A$49,'2024 Adj Factor'!$B$11:$B$49,,0),0)</f>
        <v>18780.2</v>
      </c>
      <c r="V19" s="38">
        <f>+IFERROR(_xlfn.XLOOKUP($A19,'Curr Prices'!$A$11:$A$49,'Curr Prices'!V$11:V$49,,0)*_xlfn.XLOOKUP($A19,'2024 Adj Factor'!$A$11:$A$49,'2024 Adj Factor'!$B$11:$B$49,,0),0)</f>
        <v>22233.4</v>
      </c>
      <c r="W19" s="38">
        <f>+IFERROR(_xlfn.XLOOKUP($A19,'Curr Prices'!$A$11:$A$49,'Curr Prices'!W$11:W$49,,0)*_xlfn.XLOOKUP($A19,'2024 Adj Factor'!$A$11:$A$49,'2024 Adj Factor'!$B$11:$B$49,,0),0)</f>
        <v>24041.4</v>
      </c>
      <c r="X19" s="38">
        <f>+IFERROR(_xlfn.XLOOKUP($A19,'Curr Prices'!$A$11:$A$49,'Curr Prices'!X$11:X$49,,0)*_xlfn.XLOOKUP($A19,'2024 Adj Factor'!$A$11:$A$49,'2024 Adj Factor'!$B$11:$B$49,,0),0)</f>
        <v>27341.8</v>
      </c>
      <c r="Y19" s="38">
        <f>+IFERROR(_xlfn.XLOOKUP($A19,'Curr Prices'!$A$11:$A$49,'Curr Prices'!Y$11:Y$49,,0)*_xlfn.XLOOKUP($A19,'2024 Adj Factor'!$A$11:$A$49,'2024 Adj Factor'!$B$11:$B$49,,0),0)</f>
        <v>31070.799999999999</v>
      </c>
      <c r="Z19" s="38">
        <f>+IFERROR(_xlfn.XLOOKUP($A19,'Curr Prices'!$A$11:$A$49,'Curr Prices'!Z$11:Z$49,,0)*_xlfn.XLOOKUP($A19,'2024 Adj Factor'!$A$11:$A$49,'2024 Adj Factor'!$B$11:$B$49,,0),0)</f>
        <v>34230.800000000003</v>
      </c>
      <c r="AA19" s="38">
        <f>+IFERROR(_xlfn.XLOOKUP($A19,'Curr Prices'!$A$11:$A$49,'Curr Prices'!AA$11:AA$49,,0)*_xlfn.XLOOKUP($A19,'2024 Adj Factor'!$A$11:$A$49,'2024 Adj Factor'!$B$11:$B$49,,0),0)</f>
        <v>35585.599999999999</v>
      </c>
      <c r="AB19" s="38">
        <f>+IFERROR(_xlfn.XLOOKUP($A19,'Curr Prices'!$A$11:$A$49,'Curr Prices'!AB$11:AB$49,,0)*_xlfn.XLOOKUP($A19,'2024 Adj Factor'!$A$11:$A$49,'2024 Adj Factor'!$B$11:$B$49,,0),0)</f>
        <v>40537.4</v>
      </c>
      <c r="AC19" s="38">
        <f>+IFERROR(_xlfn.XLOOKUP($A19,'Curr Prices'!$A$11:$A$49,'Curr Prices'!AC$11:AC$49,,0)*_xlfn.XLOOKUP($A19,'2024 Adj Factor'!$A$11:$A$49,'2024 Adj Factor'!$B$11:$B$49,,0),0)</f>
        <v>46908.800000000003</v>
      </c>
      <c r="AD19" s="38">
        <f>+IFERROR(_xlfn.XLOOKUP($A19,'Curr Prices'!$A$11:$A$49,'Curr Prices'!AD$11:AD$49,,0)*_xlfn.XLOOKUP($A19,'2024 Adj Factor'!$A$11:$A$49,'2024 Adj Factor'!$B$11:$B$49,,0),0)</f>
        <v>53348.9</v>
      </c>
      <c r="AE19" s="39">
        <f>+IFERROR(_xlfn.XLOOKUP($A19,'Curr Prices'!$A$11:$A$49,'Curr Prices'!AE$11:AE$49,,0)*_xlfn.XLOOKUP($A19,'2024 Adj Factor'!$A$11:$A$49,'2024 Adj Factor'!$B$11:$B$49,,0),0)</f>
        <v>58318.6</v>
      </c>
    </row>
    <row r="20" spans="1:31" ht="15" x14ac:dyDescent="0.25">
      <c r="A20" s="32" t="s">
        <v>29</v>
      </c>
      <c r="B20" s="37">
        <f>+IFERROR(_xlfn.XLOOKUP($A20,'Curr Prices'!$A$11:$A$49,'Curr Prices'!B$11:B$49,,0)*_xlfn.XLOOKUP($A20,'2024 Adj Factor'!$A$11:$A$49,'2024 Adj Factor'!$B$11:$B$49,,0),0)</f>
        <v>769883.3856637883</v>
      </c>
      <c r="C20" s="38">
        <f>+IFERROR(_xlfn.XLOOKUP($A20,'Curr Prices'!$A$11:$A$49,'Curr Prices'!C$11:C$49,,0)*_xlfn.XLOOKUP($A20,'2024 Adj Factor'!$A$11:$A$49,'2024 Adj Factor'!$B$11:$B$49,,0),0)</f>
        <v>800369.24010272149</v>
      </c>
      <c r="D20" s="38">
        <f>+IFERROR(_xlfn.XLOOKUP($A20,'Curr Prices'!$A$11:$A$49,'Curr Prices'!D$11:D$49,,0)*_xlfn.XLOOKUP($A20,'2024 Adj Factor'!$A$11:$A$49,'2024 Adj Factor'!$B$11:$B$49,,0),0)</f>
        <v>835225.1345535994</v>
      </c>
      <c r="E20" s="38">
        <f>+IFERROR(_xlfn.XLOOKUP($A20,'Curr Prices'!$A$11:$A$49,'Curr Prices'!E$11:E$49,,0)*_xlfn.XLOOKUP($A20,'2024 Adj Factor'!$A$11:$A$49,'2024 Adj Factor'!$B$11:$B$49,,0),0)</f>
        <v>885856.60124804999</v>
      </c>
      <c r="F20" s="38">
        <f>+IFERROR(_xlfn.XLOOKUP($A20,'Curr Prices'!$A$11:$A$49,'Curr Prices'!F$11:F$49,,0)*_xlfn.XLOOKUP($A20,'2024 Adj Factor'!$A$11:$A$49,'2024 Adj Factor'!$B$11:$B$49,,0),0)</f>
        <v>951226.06500090403</v>
      </c>
      <c r="G20" s="38">
        <f>+IFERROR(_xlfn.XLOOKUP($A20,'Curr Prices'!$A$11:$A$49,'Curr Prices'!G$11:G$49,,0)*_xlfn.XLOOKUP($A20,'2024 Adj Factor'!$A$11:$A$49,'2024 Adj Factor'!$B$11:$B$49,,0),0)</f>
        <v>1044773.6259361005</v>
      </c>
      <c r="H20" s="38">
        <f>+IFERROR(_xlfn.XLOOKUP($A20,'Curr Prices'!$A$11:$A$49,'Curr Prices'!H$11:H$49,,0)*_xlfn.XLOOKUP($A20,'2024 Adj Factor'!$A$11:$A$49,'2024 Adj Factor'!$B$11:$B$49,,0),0)</f>
        <v>1106321.6554927789</v>
      </c>
      <c r="I20" s="38">
        <f>+IFERROR(_xlfn.XLOOKUP($A20,'Curr Prices'!$A$11:$A$49,'Curr Prices'!I$11:I$49,,0)*_xlfn.XLOOKUP($A20,'2024 Adj Factor'!$A$11:$A$49,'2024 Adj Factor'!$B$11:$B$49,,0),0)</f>
        <v>1133905.3678445045</v>
      </c>
      <c r="J20" s="38">
        <f>+IFERROR(_xlfn.XLOOKUP($A20,'Curr Prices'!$A$11:$A$49,'Curr Prices'!J$11:J$49,,0)*_xlfn.XLOOKUP($A20,'2024 Adj Factor'!$A$11:$A$49,'2024 Adj Factor'!$B$11:$B$49,,0),0)</f>
        <v>1151355.8333961659</v>
      </c>
      <c r="K20" s="38">
        <f>+IFERROR(_xlfn.XLOOKUP($A20,'Curr Prices'!$A$11:$A$49,'Curr Prices'!K$11:K$49,,0)*_xlfn.XLOOKUP($A20,'2024 Adj Factor'!$A$11:$A$49,'2024 Adj Factor'!$B$11:$B$49,,0),0)</f>
        <v>1193049.3804863447</v>
      </c>
      <c r="L20" s="38">
        <f>+IFERROR(_xlfn.XLOOKUP($A20,'Curr Prices'!$A$11:$A$49,'Curr Prices'!L$11:L$49,,0)*_xlfn.XLOOKUP($A20,'2024 Adj Factor'!$A$11:$A$49,'2024 Adj Factor'!$B$11:$B$49,,0),0)</f>
        <v>1255172.7409052979</v>
      </c>
      <c r="M20" s="38">
        <f>+IFERROR(_xlfn.XLOOKUP($A20,'Curr Prices'!$A$11:$A$49,'Curr Prices'!M$11:M$49,,0)*_xlfn.XLOOKUP($A20,'2024 Adj Factor'!$A$11:$A$49,'2024 Adj Factor'!$B$11:$B$49,,0),0)</f>
        <v>1330776.1652908812</v>
      </c>
      <c r="N20" s="38">
        <f>+IFERROR(_xlfn.XLOOKUP($A20,'Curr Prices'!$A$11:$A$49,'Curr Prices'!N$11:N$49,,0)*_xlfn.XLOOKUP($A20,'2024 Adj Factor'!$A$11:$A$49,'2024 Adj Factor'!$B$11:$B$49,,0),0)</f>
        <v>1416394.0584920591</v>
      </c>
      <c r="O20" s="38">
        <f>+IFERROR(_xlfn.XLOOKUP($A20,'Curr Prices'!$A$11:$A$49,'Curr Prices'!O$11:O$49,,0)*_xlfn.XLOOKUP($A20,'2024 Adj Factor'!$A$11:$A$49,'2024 Adj Factor'!$B$11:$B$49,,0),0)</f>
        <v>1490444.7081848364</v>
      </c>
      <c r="P20" s="38">
        <f>+IFERROR(_xlfn.XLOOKUP($A20,'Curr Prices'!$A$11:$A$49,'Curr Prices'!P$11:P$49,,0)*_xlfn.XLOOKUP($A20,'2024 Adj Factor'!$A$11:$A$49,'2024 Adj Factor'!$B$11:$B$49,,0),0)</f>
        <v>1426881.1647041892</v>
      </c>
      <c r="Q20" s="38">
        <f>+IFERROR(_xlfn.XLOOKUP($A20,'Curr Prices'!$A$11:$A$49,'Curr Prices'!Q$11:Q$49,,0)*_xlfn.XLOOKUP($A20,'2024 Adj Factor'!$A$11:$A$49,'2024 Adj Factor'!$B$11:$B$49,,0),0)</f>
        <v>1476042.8775678952</v>
      </c>
      <c r="R20" s="38">
        <f>+IFERROR(_xlfn.XLOOKUP($A20,'Curr Prices'!$A$11:$A$49,'Curr Prices'!R$11:R$49,,0)*_xlfn.XLOOKUP($A20,'2024 Adj Factor'!$A$11:$A$49,'2024 Adj Factor'!$B$11:$B$49,,0),0)</f>
        <v>1562618.4182688594</v>
      </c>
      <c r="S20" s="38">
        <f>+IFERROR(_xlfn.XLOOKUP($A20,'Curr Prices'!$A$11:$A$49,'Curr Prices'!S$11:S$49,,0)*_xlfn.XLOOKUP($A20,'2024 Adj Factor'!$A$11:$A$49,'2024 Adj Factor'!$B$11:$B$49,,0),0)</f>
        <v>1589284.0757822886</v>
      </c>
      <c r="T20" s="38">
        <f>+IFERROR(_xlfn.XLOOKUP($A20,'Curr Prices'!$A$11:$A$49,'Curr Prices'!T$11:T$49,,0)*_xlfn.XLOOKUP($A20,'2024 Adj Factor'!$A$11:$A$49,'2024 Adj Factor'!$B$11:$B$49,,0),0)</f>
        <v>1596742.3433904434</v>
      </c>
      <c r="U20" s="38">
        <f>+IFERROR(_xlfn.XLOOKUP($A20,'Curr Prices'!$A$11:$A$49,'Curr Prices'!U$11:U$49,,0)*_xlfn.XLOOKUP($A20,'2024 Adj Factor'!$A$11:$A$49,'2024 Adj Factor'!$B$11:$B$49,,0),0)</f>
        <v>1627288.0817298801</v>
      </c>
      <c r="V20" s="38">
        <f>+IFERROR(_xlfn.XLOOKUP($A20,'Curr Prices'!$A$11:$A$49,'Curr Prices'!V$11:V$49,,0)*_xlfn.XLOOKUP($A20,'2024 Adj Factor'!$A$11:$A$49,'2024 Adj Factor'!$B$11:$B$49,,0),0)</f>
        <v>1679700.1046477703</v>
      </c>
      <c r="W20" s="38">
        <f>+IFERROR(_xlfn.XLOOKUP($A20,'Curr Prices'!$A$11:$A$49,'Curr Prices'!W$11:W$49,,0)*_xlfn.XLOOKUP($A20,'2024 Adj Factor'!$A$11:$A$49,'2024 Adj Factor'!$B$11:$B$49,,0),0)</f>
        <v>1715396.6007929051</v>
      </c>
      <c r="X20" s="38">
        <f>+IFERROR(_xlfn.XLOOKUP($A20,'Curr Prices'!$A$11:$A$49,'Curr Prices'!X$11:X$49,,0)*_xlfn.XLOOKUP($A20,'2024 Adj Factor'!$A$11:$A$49,'2024 Adj Factor'!$B$11:$B$49,,0),0)</f>
        <v>1811142.791711461</v>
      </c>
      <c r="Y20" s="38">
        <f>+IFERROR(_xlfn.XLOOKUP($A20,'Curr Prices'!$A$11:$A$49,'Curr Prices'!Y$11:Y$49,,0)*_xlfn.XLOOKUP($A20,'2024 Adj Factor'!$A$11:$A$49,'2024 Adj Factor'!$B$11:$B$49,,0),0)</f>
        <v>1927947.3294599429</v>
      </c>
      <c r="Z20" s="38">
        <f>+IFERROR(_xlfn.XLOOKUP($A20,'Curr Prices'!$A$11:$A$49,'Curr Prices'!Z$11:Z$49,,0)*_xlfn.XLOOKUP($A20,'2024 Adj Factor'!$A$11:$A$49,'2024 Adj Factor'!$B$11:$B$49,,0),0)</f>
        <v>2007286.0740029614</v>
      </c>
      <c r="AA20" s="38">
        <f>+IFERROR(_xlfn.XLOOKUP($A20,'Curr Prices'!$A$11:$A$49,'Curr Prices'!AA$11:AA$49,,0)*_xlfn.XLOOKUP($A20,'2024 Adj Factor'!$A$11:$A$49,'2024 Adj Factor'!$B$11:$B$49,,0),0)</f>
        <v>1947357.631755353</v>
      </c>
      <c r="AB20" s="38">
        <f>+IFERROR(_xlfn.XLOOKUP($A20,'Curr Prices'!$A$11:$A$49,'Curr Prices'!AB$11:AB$49,,0)*_xlfn.XLOOKUP($A20,'2024 Adj Factor'!$A$11:$A$49,'2024 Adj Factor'!$B$11:$B$49,,0),0)</f>
        <v>2152979.6446616631</v>
      </c>
      <c r="AC20" s="38">
        <f>+IFERROR(_xlfn.XLOOKUP($A20,'Curr Prices'!$A$11:$A$49,'Curr Prices'!AC$11:AC$49,,0)*_xlfn.XLOOKUP($A20,'2024 Adj Factor'!$A$11:$A$49,'2024 Adj Factor'!$B$11:$B$49,,0),0)</f>
        <v>2486926.4225393361</v>
      </c>
      <c r="AD20" s="38">
        <f>+IFERROR(_xlfn.XLOOKUP($A20,'Curr Prices'!$A$11:$A$49,'Curr Prices'!AD$11:AD$49,,0)*_xlfn.XLOOKUP($A20,'2024 Adj Factor'!$A$11:$A$49,'2024 Adj Factor'!$B$11:$B$49,,0),0)</f>
        <v>2565806.1396632064</v>
      </c>
      <c r="AE20" s="39">
        <f>+IFERROR(_xlfn.XLOOKUP($A20,'Curr Prices'!$A$11:$A$49,'Curr Prices'!AE$11:AE$49,,0)*_xlfn.XLOOKUP($A20,'2024 Adj Factor'!$A$11:$A$49,'2024 Adj Factor'!$B$11:$B$49,,0),0)</f>
        <v>2671893.4388546483</v>
      </c>
    </row>
    <row r="21" spans="1:31" ht="15" x14ac:dyDescent="0.25">
      <c r="A21" s="32" t="s">
        <v>30</v>
      </c>
      <c r="B21" s="37">
        <f>+IFERROR(_xlfn.XLOOKUP($A21,'Curr Prices'!$A$11:$A$49,'Curr Prices'!B$11:B$49,,0)*_xlfn.XLOOKUP($A21,'2024 Adj Factor'!$A$11:$A$49,'2024 Adj Factor'!$B$11:$B$49,,0),0)</f>
        <v>371794.01617639523</v>
      </c>
      <c r="C21" s="38">
        <f>+IFERROR(_xlfn.XLOOKUP($A21,'Curr Prices'!$A$11:$A$49,'Curr Prices'!C$11:C$49,,0)*_xlfn.XLOOKUP($A21,'2024 Adj Factor'!$A$11:$A$49,'2024 Adj Factor'!$B$11:$B$49,,0),0)</f>
        <v>377444.70166670275</v>
      </c>
      <c r="D21" s="38">
        <f>+IFERROR(_xlfn.XLOOKUP($A21,'Curr Prices'!$A$11:$A$49,'Curr Prices'!D$11:D$49,,0)*_xlfn.XLOOKUP($A21,'2024 Adj Factor'!$A$11:$A$49,'2024 Adj Factor'!$B$11:$B$49,,0),0)</f>
        <v>382115.52528398694</v>
      </c>
      <c r="E21" s="38">
        <f>+IFERROR(_xlfn.XLOOKUP($A21,'Curr Prices'!$A$11:$A$49,'Curr Prices'!E$11:E$49,,0)*_xlfn.XLOOKUP($A21,'2024 Adj Factor'!$A$11:$A$49,'2024 Adj Factor'!$B$11:$B$49,,0),0)</f>
        <v>398198.86506399309</v>
      </c>
      <c r="F21" s="38">
        <f>+IFERROR(_xlfn.XLOOKUP($A21,'Curr Prices'!$A$11:$A$49,'Curr Prices'!F$11:F$49,,0)*_xlfn.XLOOKUP($A21,'2024 Adj Factor'!$A$11:$A$49,'2024 Adj Factor'!$B$11:$B$49,,0),0)</f>
        <v>416425.93148350029</v>
      </c>
      <c r="G21" s="38">
        <f>+IFERROR(_xlfn.XLOOKUP($A21,'Curr Prices'!$A$11:$A$49,'Curr Prices'!G$11:G$49,,0)*_xlfn.XLOOKUP($A21,'2024 Adj Factor'!$A$11:$A$49,'2024 Adj Factor'!$B$11:$B$49,,0),0)</f>
        <v>445480.29812917294</v>
      </c>
      <c r="H21" s="38">
        <f>+IFERROR(_xlfn.XLOOKUP($A21,'Curr Prices'!$A$11:$A$49,'Curr Prices'!H$11:H$49,,0)*_xlfn.XLOOKUP($A21,'2024 Adj Factor'!$A$11:$A$49,'2024 Adj Factor'!$B$11:$B$49,,0),0)</f>
        <v>466775.56633165962</v>
      </c>
      <c r="I21" s="38">
        <f>+IFERROR(_xlfn.XLOOKUP($A21,'Curr Prices'!$A$11:$A$49,'Curr Prices'!I$11:I$49,,0)*_xlfn.XLOOKUP($A21,'2024 Adj Factor'!$A$11:$A$49,'2024 Adj Factor'!$B$11:$B$49,,0),0)</f>
        <v>479010.9533465245</v>
      </c>
      <c r="J21" s="38">
        <f>+IFERROR(_xlfn.XLOOKUP($A21,'Curr Prices'!$A$11:$A$49,'Curr Prices'!J$11:J$49,,0)*_xlfn.XLOOKUP($A21,'2024 Adj Factor'!$A$11:$A$49,'2024 Adj Factor'!$B$11:$B$49,,0),0)</f>
        <v>495600.20815277676</v>
      </c>
      <c r="K21" s="38">
        <f>+IFERROR(_xlfn.XLOOKUP($A21,'Curr Prices'!$A$11:$A$49,'Curr Prices'!K$11:K$49,,0)*_xlfn.XLOOKUP($A21,'2024 Adj Factor'!$A$11:$A$49,'2024 Adj Factor'!$B$11:$B$49,,0),0)</f>
        <v>523384.89287977596</v>
      </c>
      <c r="L21" s="38">
        <f>+IFERROR(_xlfn.XLOOKUP($A21,'Curr Prices'!$A$11:$A$49,'Curr Prices'!L$11:L$49,,0)*_xlfn.XLOOKUP($A21,'2024 Adj Factor'!$A$11:$A$49,'2024 Adj Factor'!$B$11:$B$49,,0),0)</f>
        <v>558233.80182336608</v>
      </c>
      <c r="M21" s="38">
        <f>+IFERROR(_xlfn.XLOOKUP($A21,'Curr Prices'!$A$11:$A$49,'Curr Prices'!M$11:M$49,,0)*_xlfn.XLOOKUP($A21,'2024 Adj Factor'!$A$11:$A$49,'2024 Adj Factor'!$B$11:$B$49,,0),0)</f>
        <v>599967.7644893144</v>
      </c>
      <c r="N21" s="38">
        <f>+IFERROR(_xlfn.XLOOKUP($A21,'Curr Prices'!$A$11:$A$49,'Curr Prices'!N$11:N$49,,0)*_xlfn.XLOOKUP($A21,'2024 Adj Factor'!$A$11:$A$49,'2024 Adj Factor'!$B$11:$B$49,,0),0)</f>
        <v>639363.58937782864</v>
      </c>
      <c r="O21" s="38">
        <f>+IFERROR(_xlfn.XLOOKUP($A21,'Curr Prices'!$A$11:$A$49,'Curr Prices'!O$11:O$49,,0)*_xlfn.XLOOKUP($A21,'2024 Adj Factor'!$A$11:$A$49,'2024 Adj Factor'!$B$11:$B$49,,0),0)</f>
        <v>677447.47983139474</v>
      </c>
      <c r="P21" s="38">
        <f>+IFERROR(_xlfn.XLOOKUP($A21,'Curr Prices'!$A$11:$A$49,'Curr Prices'!P$11:P$49,,0)*_xlfn.XLOOKUP($A21,'2024 Adj Factor'!$A$11:$A$49,'2024 Adj Factor'!$B$11:$B$49,,0),0)</f>
        <v>646296.22364637314</v>
      </c>
      <c r="Q21" s="38">
        <f>+IFERROR(_xlfn.XLOOKUP($A21,'Curr Prices'!$A$11:$A$49,'Curr Prices'!Q$11:Q$49,,0)*_xlfn.XLOOKUP($A21,'2024 Adj Factor'!$A$11:$A$49,'2024 Adj Factor'!$B$11:$B$49,,0),0)</f>
        <v>676083.87589707249</v>
      </c>
      <c r="R21" s="38">
        <f>+IFERROR(_xlfn.XLOOKUP($A21,'Curr Prices'!$A$11:$A$49,'Curr Prices'!R$11:R$49,,0)*_xlfn.XLOOKUP($A21,'2024 Adj Factor'!$A$11:$A$49,'2024 Adj Factor'!$B$11:$B$49,,0),0)</f>
        <v>721769.62595759972</v>
      </c>
      <c r="S21" s="38">
        <f>+IFERROR(_xlfn.XLOOKUP($A21,'Curr Prices'!$A$11:$A$49,'Curr Prices'!S$11:S$49,,0)*_xlfn.XLOOKUP($A21,'2024 Adj Factor'!$A$11:$A$49,'2024 Adj Factor'!$B$11:$B$49,,0),0)</f>
        <v>744934.78484367183</v>
      </c>
      <c r="T21" s="38">
        <f>+IFERROR(_xlfn.XLOOKUP($A21,'Curr Prices'!$A$11:$A$49,'Curr Prices'!T$11:T$49,,0)*_xlfn.XLOOKUP($A21,'2024 Adj Factor'!$A$11:$A$49,'2024 Adj Factor'!$B$11:$B$49,,0),0)</f>
        <v>755640.40773557965</v>
      </c>
      <c r="U21" s="38">
        <f>+IFERROR(_xlfn.XLOOKUP($A21,'Curr Prices'!$A$11:$A$49,'Curr Prices'!U$11:U$49,,0)*_xlfn.XLOOKUP($A21,'2024 Adj Factor'!$A$11:$A$49,'2024 Adj Factor'!$B$11:$B$49,,0),0)</f>
        <v>763537.16760275757</v>
      </c>
      <c r="V21" s="38">
        <f>+IFERROR(_xlfn.XLOOKUP($A21,'Curr Prices'!$A$11:$A$49,'Curr Prices'!V$11:V$49,,0)*_xlfn.XLOOKUP($A21,'2024 Adj Factor'!$A$11:$A$49,'2024 Adj Factor'!$B$11:$B$49,,0),0)</f>
        <v>780605.94510104321</v>
      </c>
      <c r="W21" s="38">
        <f>+IFERROR(_xlfn.XLOOKUP($A21,'Curr Prices'!$A$11:$A$49,'Curr Prices'!W$11:W$49,,0)*_xlfn.XLOOKUP($A21,'2024 Adj Factor'!$A$11:$A$49,'2024 Adj Factor'!$B$11:$B$49,,0),0)</f>
        <v>795342.90411318513</v>
      </c>
      <c r="X21" s="38">
        <f>+IFERROR(_xlfn.XLOOKUP($A21,'Curr Prices'!$A$11:$A$49,'Curr Prices'!X$11:X$49,,0)*_xlfn.XLOOKUP($A21,'2024 Adj Factor'!$A$11:$A$49,'2024 Adj Factor'!$B$11:$B$49,,0),0)</f>
        <v>835136.72044531978</v>
      </c>
      <c r="Y21" s="38">
        <f>+IFERROR(_xlfn.XLOOKUP($A21,'Curr Prices'!$A$11:$A$49,'Curr Prices'!Y$11:Y$49,,0)*_xlfn.XLOOKUP($A21,'2024 Adj Factor'!$A$11:$A$49,'2024 Adj Factor'!$B$11:$B$49,,0),0)</f>
        <v>881881.63328918081</v>
      </c>
      <c r="Z21" s="38">
        <f>+IFERROR(_xlfn.XLOOKUP($A21,'Curr Prices'!$A$11:$A$49,'Curr Prices'!Z$11:Z$49,,0)*_xlfn.XLOOKUP($A21,'2024 Adj Factor'!$A$11:$A$49,'2024 Adj Factor'!$B$11:$B$49,,0),0)</f>
        <v>910212.13131292595</v>
      </c>
      <c r="AA21" s="38">
        <f>+IFERROR(_xlfn.XLOOKUP($A21,'Curr Prices'!$A$11:$A$49,'Curr Prices'!AA$11:AA$49,,0)*_xlfn.XLOOKUP($A21,'2024 Adj Factor'!$A$11:$A$49,'2024 Adj Factor'!$B$11:$B$49,,0),0)</f>
        <v>865592.11114236759</v>
      </c>
      <c r="AB21" s="38">
        <f>+IFERROR(_xlfn.XLOOKUP($A21,'Curr Prices'!$A$11:$A$49,'Curr Prices'!AB$11:AB$49,,0)*_xlfn.XLOOKUP($A21,'2024 Adj Factor'!$A$11:$A$49,'2024 Adj Factor'!$B$11:$B$49,,0),0)</f>
        <v>961421.93322260864</v>
      </c>
      <c r="AC21" s="38">
        <f>+IFERROR(_xlfn.XLOOKUP($A21,'Curr Prices'!$A$11:$A$49,'Curr Prices'!AC$11:AC$49,,0)*_xlfn.XLOOKUP($A21,'2024 Adj Factor'!$A$11:$A$49,'2024 Adj Factor'!$B$11:$B$49,,0),0)</f>
        <v>1131005.9386600808</v>
      </c>
      <c r="AD21" s="38">
        <f>+IFERROR(_xlfn.XLOOKUP($A21,'Curr Prices'!$A$11:$A$49,'Curr Prices'!AD$11:AD$49,,0)*_xlfn.XLOOKUP($A21,'2024 Adj Factor'!$A$11:$A$49,'2024 Adj Factor'!$B$11:$B$49,,0),0)</f>
        <v>1176012.0551377132</v>
      </c>
      <c r="AE21" s="39">
        <f>+IFERROR(_xlfn.XLOOKUP($A21,'Curr Prices'!$A$11:$A$49,'Curr Prices'!AE$11:AE$49,,0)*_xlfn.XLOOKUP($A21,'2024 Adj Factor'!$A$11:$A$49,'2024 Adj Factor'!$B$11:$B$49,,0),0)</f>
        <v>1163267.7793124656</v>
      </c>
    </row>
    <row r="22" spans="1:31" ht="15" x14ac:dyDescent="0.25">
      <c r="A22" s="32" t="s">
        <v>31</v>
      </c>
      <c r="B22" s="37">
        <f>+IFERROR(_xlfn.XLOOKUP($A22,'Curr Prices'!$A$11:$A$49,'Curr Prices'!B$11:B$49,,0)*_xlfn.XLOOKUP($A22,'2024 Adj Factor'!$A$11:$A$49,'2024 Adj Factor'!$B$11:$B$49,,0),0)</f>
        <v>204613.2</v>
      </c>
      <c r="C22" s="38">
        <f>+IFERROR(_xlfn.XLOOKUP($A22,'Curr Prices'!$A$11:$A$49,'Curr Prices'!C$11:C$49,,0)*_xlfn.XLOOKUP($A22,'2024 Adj Factor'!$A$11:$A$49,'2024 Adj Factor'!$B$11:$B$49,,0),0)</f>
        <v>237452</v>
      </c>
      <c r="D22" s="38">
        <f>+IFERROR(_xlfn.XLOOKUP($A22,'Curr Prices'!$A$11:$A$49,'Curr Prices'!D$11:D$49,,0)*_xlfn.XLOOKUP($A22,'2024 Adj Factor'!$A$11:$A$49,'2024 Adj Factor'!$B$11:$B$49,,0),0)</f>
        <v>266447.59999999998</v>
      </c>
      <c r="E22" s="38">
        <f>+IFERROR(_xlfn.XLOOKUP($A22,'Curr Prices'!$A$11:$A$49,'Curr Prices'!E$11:E$49,,0)*_xlfn.XLOOKUP($A22,'2024 Adj Factor'!$A$11:$A$49,'2024 Adj Factor'!$B$11:$B$49,,0),0)</f>
        <v>294773.59999999998</v>
      </c>
      <c r="F22" s="38">
        <f>+IFERROR(_xlfn.XLOOKUP($A22,'Curr Prices'!$A$11:$A$49,'Curr Prices'!F$11:F$49,,0)*_xlfn.XLOOKUP($A22,'2024 Adj Factor'!$A$11:$A$49,'2024 Adj Factor'!$B$11:$B$49,,0),0)</f>
        <v>302563.3</v>
      </c>
      <c r="G22" s="38">
        <f>+IFERROR(_xlfn.XLOOKUP($A22,'Curr Prices'!$A$11:$A$49,'Curr Prices'!G$11:G$49,,0)*_xlfn.XLOOKUP($A22,'2024 Adj Factor'!$A$11:$A$49,'2024 Adj Factor'!$B$11:$B$49,,0),0)</f>
        <v>364157.5</v>
      </c>
      <c r="H22" s="38">
        <f>+IFERROR(_xlfn.XLOOKUP($A22,'Curr Prices'!$A$11:$A$49,'Curr Prices'!H$11:H$49,,0)*_xlfn.XLOOKUP($A22,'2024 Adj Factor'!$A$11:$A$49,'2024 Adj Factor'!$B$11:$B$49,,0),0)</f>
        <v>418620.1</v>
      </c>
      <c r="I22" s="38">
        <f>+IFERROR(_xlfn.XLOOKUP($A22,'Curr Prices'!$A$11:$A$49,'Curr Prices'!I$11:I$49,,0)*_xlfn.XLOOKUP($A22,'2024 Adj Factor'!$A$11:$A$49,'2024 Adj Factor'!$B$11:$B$49,,0),0)</f>
        <v>408503.9</v>
      </c>
      <c r="J22" s="38">
        <f>+IFERROR(_xlfn.XLOOKUP($A22,'Curr Prices'!$A$11:$A$49,'Curr Prices'!J$11:J$49,,0)*_xlfn.XLOOKUP($A22,'2024 Adj Factor'!$A$11:$A$49,'2024 Adj Factor'!$B$11:$B$49,,0),0)</f>
        <v>376595.8</v>
      </c>
      <c r="K22" s="38">
        <f>+IFERROR(_xlfn.XLOOKUP($A22,'Curr Prices'!$A$11:$A$49,'Curr Prices'!K$11:K$49,,0)*_xlfn.XLOOKUP($A22,'2024 Adj Factor'!$A$11:$A$49,'2024 Adj Factor'!$B$11:$B$49,,0),0)</f>
        <v>413648.9</v>
      </c>
      <c r="L22" s="38">
        <f>+IFERROR(_xlfn.XLOOKUP($A22,'Curr Prices'!$A$11:$A$49,'Curr Prices'!L$11:L$49,,0)*_xlfn.XLOOKUP($A22,'2024 Adj Factor'!$A$11:$A$49,'2024 Adj Factor'!$B$11:$B$49,,0),0)</f>
        <v>489654</v>
      </c>
      <c r="M22" s="38">
        <f>+IFERROR(_xlfn.XLOOKUP($A22,'Curr Prices'!$A$11:$A$49,'Curr Prices'!M$11:M$49,,0)*_xlfn.XLOOKUP($A22,'2024 Adj Factor'!$A$11:$A$49,'2024 Adj Factor'!$B$11:$B$49,,0),0)</f>
        <v>558651.9</v>
      </c>
      <c r="N22" s="38">
        <f>+IFERROR(_xlfn.XLOOKUP($A22,'Curr Prices'!$A$11:$A$49,'Curr Prices'!N$11:N$49,,0)*_xlfn.XLOOKUP($A22,'2024 Adj Factor'!$A$11:$A$49,'2024 Adj Factor'!$B$11:$B$49,,0),0)</f>
        <v>649788</v>
      </c>
      <c r="O22" s="38">
        <f>+IFERROR(_xlfn.XLOOKUP($A22,'Curr Prices'!$A$11:$A$49,'Curr Prices'!O$11:O$49,,0)*_xlfn.XLOOKUP($A22,'2024 Adj Factor'!$A$11:$A$49,'2024 Adj Factor'!$B$11:$B$49,,0),0)</f>
        <v>761004</v>
      </c>
      <c r="P22" s="38">
        <f>+IFERROR(_xlfn.XLOOKUP($A22,'Curr Prices'!$A$11:$A$49,'Curr Prices'!P$11:P$49,,0)*_xlfn.XLOOKUP($A22,'2024 Adj Factor'!$A$11:$A$49,'2024 Adj Factor'!$B$11:$B$49,,0),0)</f>
        <v>630589.19999999995</v>
      </c>
      <c r="Q22" s="38">
        <f>+IFERROR(_xlfn.XLOOKUP($A22,'Curr Prices'!$A$11:$A$49,'Curr Prices'!Q$11:Q$49,,0)*_xlfn.XLOOKUP($A22,'2024 Adj Factor'!$A$11:$A$49,'2024 Adj Factor'!$B$11:$B$49,,0),0)</f>
        <v>724110.2</v>
      </c>
      <c r="R22" s="38">
        <f>+IFERROR(_xlfn.XLOOKUP($A22,'Curr Prices'!$A$11:$A$49,'Curr Prices'!R$11:R$49,,0)*_xlfn.XLOOKUP($A22,'2024 Adj Factor'!$A$11:$A$49,'2024 Adj Factor'!$B$11:$B$49,,0),0)</f>
        <v>774577.2</v>
      </c>
      <c r="S22" s="38">
        <f>+IFERROR(_xlfn.XLOOKUP($A22,'Curr Prices'!$A$11:$A$49,'Curr Prices'!S$11:S$49,,0)*_xlfn.XLOOKUP($A22,'2024 Adj Factor'!$A$11:$A$49,'2024 Adj Factor'!$B$11:$B$49,,0),0)</f>
        <v>787181.4</v>
      </c>
      <c r="T22" s="38">
        <f>+IFERROR(_xlfn.XLOOKUP($A22,'Curr Prices'!$A$11:$A$49,'Curr Prices'!T$11:T$49,,0)*_xlfn.XLOOKUP($A22,'2024 Adj Factor'!$A$11:$A$49,'2024 Adj Factor'!$B$11:$B$49,,0),0)</f>
        <v>792565.1</v>
      </c>
      <c r="U22" s="38">
        <f>+IFERROR(_xlfn.XLOOKUP($A22,'Curr Prices'!$A$11:$A$49,'Curr Prices'!U$11:U$49,,0)*_xlfn.XLOOKUP($A22,'2024 Adj Factor'!$A$11:$A$49,'2024 Adj Factor'!$B$11:$B$49,,0),0)</f>
        <v>820346.5</v>
      </c>
      <c r="V22" s="38">
        <f>+IFERROR(_xlfn.XLOOKUP($A22,'Curr Prices'!$A$11:$A$49,'Curr Prices'!V$11:V$49,,0)*_xlfn.XLOOKUP($A22,'2024 Adj Factor'!$A$11:$A$49,'2024 Adj Factor'!$B$11:$B$49,,0),0)</f>
        <v>860020.1</v>
      </c>
      <c r="W22" s="38">
        <f>+IFERROR(_xlfn.XLOOKUP($A22,'Curr Prices'!$A$11:$A$49,'Curr Prices'!W$11:W$49,,0)*_xlfn.XLOOKUP($A22,'2024 Adj Factor'!$A$11:$A$49,'2024 Adj Factor'!$B$11:$B$49,,0),0)</f>
        <v>855679.5</v>
      </c>
      <c r="X22" s="38">
        <f>+IFERROR(_xlfn.XLOOKUP($A22,'Curr Prices'!$A$11:$A$49,'Curr Prices'!X$11:X$49,,0)*_xlfn.XLOOKUP($A22,'2024 Adj Factor'!$A$11:$A$49,'2024 Adj Factor'!$B$11:$B$49,,0),0)</f>
        <v>944421.7</v>
      </c>
      <c r="Y22" s="38">
        <f>+IFERROR(_xlfn.XLOOKUP($A22,'Curr Prices'!$A$11:$A$49,'Curr Prices'!Y$11:Y$49,,0)*_xlfn.XLOOKUP($A22,'2024 Adj Factor'!$A$11:$A$49,'2024 Adj Factor'!$B$11:$B$49,,0),0)</f>
        <v>1015584.7</v>
      </c>
      <c r="Z22" s="38">
        <f>+IFERROR(_xlfn.XLOOKUP($A22,'Curr Prices'!$A$11:$A$49,'Curr Prices'!Z$11:Z$49,,0)*_xlfn.XLOOKUP($A22,'2024 Adj Factor'!$A$11:$A$49,'2024 Adj Factor'!$B$11:$B$49,,0),0)</f>
        <v>1083720.7</v>
      </c>
      <c r="AA22" s="38">
        <f>+IFERROR(_xlfn.XLOOKUP($A22,'Curr Prices'!$A$11:$A$49,'Curr Prices'!AA$11:AA$49,,0)*_xlfn.XLOOKUP($A22,'2024 Adj Factor'!$A$11:$A$49,'2024 Adj Factor'!$B$11:$B$49,,0),0)</f>
        <v>1046838.2</v>
      </c>
      <c r="AB22" s="38">
        <f>+IFERROR(_xlfn.XLOOKUP($A22,'Curr Prices'!$A$11:$A$49,'Curr Prices'!AB$11:AB$49,,0)*_xlfn.XLOOKUP($A22,'2024 Adj Factor'!$A$11:$A$49,'2024 Adj Factor'!$B$11:$B$49,,0),0)</f>
        <v>1188333.3</v>
      </c>
      <c r="AC22" s="38">
        <f>+IFERROR(_xlfn.XLOOKUP($A22,'Curr Prices'!$A$11:$A$49,'Curr Prices'!AC$11:AC$49,,0)*_xlfn.XLOOKUP($A22,'2024 Adj Factor'!$A$11:$A$49,'2024 Adj Factor'!$B$11:$B$49,,0),0)</f>
        <v>1443734.4</v>
      </c>
      <c r="AD22" s="38">
        <f>+IFERROR(_xlfn.XLOOKUP($A22,'Curr Prices'!$A$11:$A$49,'Curr Prices'!AD$11:AD$49,,0)*_xlfn.XLOOKUP($A22,'2024 Adj Factor'!$A$11:$A$49,'2024 Adj Factor'!$B$11:$B$49,,0),0)</f>
        <v>1576174.2</v>
      </c>
      <c r="AE22" s="39">
        <f>+IFERROR(_xlfn.XLOOKUP($A22,'Curr Prices'!$A$11:$A$49,'Curr Prices'!AE$11:AE$49,,0)*_xlfn.XLOOKUP($A22,'2024 Adj Factor'!$A$11:$A$49,'2024 Adj Factor'!$B$11:$B$49,,0),0)</f>
        <v>1686035.6</v>
      </c>
    </row>
    <row r="23" spans="1:31" ht="15" x14ac:dyDescent="0.25">
      <c r="A23" s="32" t="s">
        <v>32</v>
      </c>
      <c r="B23" s="37">
        <f>+IFERROR(_xlfn.XLOOKUP($A23,'Curr Prices'!$A$11:$A$49,'Curr Prices'!B$11:B$49,,0)*_xlfn.XLOOKUP($A23,'2024 Adj Factor'!$A$11:$A$49,'2024 Adj Factor'!$B$11:$B$49,,0),0)</f>
        <v>175135.7</v>
      </c>
      <c r="C23" s="38">
        <f>+IFERROR(_xlfn.XLOOKUP($A23,'Curr Prices'!$A$11:$A$49,'Curr Prices'!C$11:C$49,,0)*_xlfn.XLOOKUP($A23,'2024 Adj Factor'!$A$11:$A$49,'2024 Adj Factor'!$B$11:$B$49,,0),0)</f>
        <v>187360.4</v>
      </c>
      <c r="D23" s="38">
        <f>+IFERROR(_xlfn.XLOOKUP($A23,'Curr Prices'!$A$11:$A$49,'Curr Prices'!D$11:D$49,,0)*_xlfn.XLOOKUP($A23,'2024 Adj Factor'!$A$11:$A$49,'2024 Adj Factor'!$B$11:$B$49,,0),0)</f>
        <v>200069.9</v>
      </c>
      <c r="E23" s="38">
        <f>+IFERROR(_xlfn.XLOOKUP($A23,'Curr Prices'!$A$11:$A$49,'Curr Prices'!E$11:E$49,,0)*_xlfn.XLOOKUP($A23,'2024 Adj Factor'!$A$11:$A$49,'2024 Adj Factor'!$B$11:$B$49,,0),0)</f>
        <v>211606</v>
      </c>
      <c r="F23" s="38">
        <f>+IFERROR(_xlfn.XLOOKUP($A23,'Curr Prices'!$A$11:$A$49,'Curr Prices'!F$11:F$49,,0)*_xlfn.XLOOKUP($A23,'2024 Adj Factor'!$A$11:$A$49,'2024 Adj Factor'!$B$11:$B$49,,0),0)</f>
        <v>224528.4</v>
      </c>
      <c r="G23" s="38">
        <f>+IFERROR(_xlfn.XLOOKUP($A23,'Curr Prices'!$A$11:$A$49,'Curr Prices'!G$11:G$49,,0)*_xlfn.XLOOKUP($A23,'2024 Adj Factor'!$A$11:$A$49,'2024 Adj Factor'!$B$11:$B$49,,0),0)</f>
        <v>245036.7</v>
      </c>
      <c r="H23" s="38">
        <f>+IFERROR(_xlfn.XLOOKUP($A23,'Curr Prices'!$A$11:$A$49,'Curr Prices'!H$11:H$49,,0)*_xlfn.XLOOKUP($A23,'2024 Adj Factor'!$A$11:$A$49,'2024 Adj Factor'!$B$11:$B$49,,0),0)</f>
        <v>258906.4</v>
      </c>
      <c r="I23" s="38">
        <f>+IFERROR(_xlfn.XLOOKUP($A23,'Curr Prices'!$A$11:$A$49,'Curr Prices'!I$11:I$49,,0)*_xlfn.XLOOKUP($A23,'2024 Adj Factor'!$A$11:$A$49,'2024 Adj Factor'!$B$11:$B$49,,0),0)</f>
        <v>264970.09999999998</v>
      </c>
      <c r="J23" s="38">
        <f>+IFERROR(_xlfn.XLOOKUP($A23,'Curr Prices'!$A$11:$A$49,'Curr Prices'!J$11:J$49,,0)*_xlfn.XLOOKUP($A23,'2024 Adj Factor'!$A$11:$A$49,'2024 Adj Factor'!$B$11:$B$49,,0),0)</f>
        <v>268483.40000000002</v>
      </c>
      <c r="K23" s="38">
        <f>+IFERROR(_xlfn.XLOOKUP($A23,'Curr Prices'!$A$11:$A$49,'Curr Prices'!K$11:K$49,,0)*_xlfn.XLOOKUP($A23,'2024 Adj Factor'!$A$11:$A$49,'2024 Adj Factor'!$B$11:$B$49,,0),0)</f>
        <v>282224.7</v>
      </c>
      <c r="L23" s="38">
        <f>+IFERROR(_xlfn.XLOOKUP($A23,'Curr Prices'!$A$11:$A$49,'Curr Prices'!L$11:L$49,,0)*_xlfn.XLOOKUP($A23,'2024 Adj Factor'!$A$11:$A$49,'2024 Adj Factor'!$B$11:$B$49,,0),0)</f>
        <v>293495.7</v>
      </c>
      <c r="M23" s="38">
        <f>+IFERROR(_xlfn.XLOOKUP($A23,'Curr Prices'!$A$11:$A$49,'Curr Prices'!M$11:M$49,,0)*_xlfn.XLOOKUP($A23,'2024 Adj Factor'!$A$11:$A$49,'2024 Adj Factor'!$B$11:$B$49,,0),0)</f>
        <v>305638.40000000002</v>
      </c>
      <c r="N23" s="38">
        <f>+IFERROR(_xlfn.XLOOKUP($A23,'Curr Prices'!$A$11:$A$49,'Curr Prices'!N$11:N$49,,0)*_xlfn.XLOOKUP($A23,'2024 Adj Factor'!$A$11:$A$49,'2024 Adj Factor'!$B$11:$B$49,,0),0)</f>
        <v>324240.09999999998</v>
      </c>
      <c r="O23" s="38">
        <f>+IFERROR(_xlfn.XLOOKUP($A23,'Curr Prices'!$A$11:$A$49,'Curr Prices'!O$11:O$49,,0)*_xlfn.XLOOKUP($A23,'2024 Adj Factor'!$A$11:$A$49,'2024 Adj Factor'!$B$11:$B$49,,0),0)</f>
        <v>337446.6</v>
      </c>
      <c r="P23" s="38">
        <f>+IFERROR(_xlfn.XLOOKUP($A23,'Curr Prices'!$A$11:$A$49,'Curr Prices'!P$11:P$49,,0)*_xlfn.XLOOKUP($A23,'2024 Adj Factor'!$A$11:$A$49,'2024 Adj Factor'!$B$11:$B$49,,0),0)</f>
        <v>318054.3</v>
      </c>
      <c r="Q23" s="38">
        <f>+IFERROR(_xlfn.XLOOKUP($A23,'Curr Prices'!$A$11:$A$49,'Curr Prices'!Q$11:Q$49,,0)*_xlfn.XLOOKUP($A23,'2024 Adj Factor'!$A$11:$A$49,'2024 Adj Factor'!$B$11:$B$49,,0),0)</f>
        <v>328270.7</v>
      </c>
      <c r="R23" s="38">
        <f>+IFERROR(_xlfn.XLOOKUP($A23,'Curr Prices'!$A$11:$A$49,'Curr Prices'!R$11:R$49,,0)*_xlfn.XLOOKUP($A23,'2024 Adj Factor'!$A$11:$A$49,'2024 Adj Factor'!$B$11:$B$49,,0),0)</f>
        <v>326723.90000000002</v>
      </c>
      <c r="S23" s="38">
        <f>+IFERROR(_xlfn.XLOOKUP($A23,'Curr Prices'!$A$11:$A$49,'Curr Prices'!S$11:S$49,,0)*_xlfn.XLOOKUP($A23,'2024 Adj Factor'!$A$11:$A$49,'2024 Adj Factor'!$B$11:$B$49,,0),0)</f>
        <v>309526.09999999998</v>
      </c>
      <c r="T23" s="38">
        <f>+IFERROR(_xlfn.XLOOKUP($A23,'Curr Prices'!$A$11:$A$49,'Curr Prices'!T$11:T$49,,0)*_xlfn.XLOOKUP($A23,'2024 Adj Factor'!$A$11:$A$49,'2024 Adj Factor'!$B$11:$B$49,,0),0)</f>
        <v>307911</v>
      </c>
      <c r="U23" s="38">
        <f>+IFERROR(_xlfn.XLOOKUP($A23,'Curr Prices'!$A$11:$A$49,'Curr Prices'!U$11:U$49,,0)*_xlfn.XLOOKUP($A23,'2024 Adj Factor'!$A$11:$A$49,'2024 Adj Factor'!$B$11:$B$49,,0),0)</f>
        <v>310120</v>
      </c>
      <c r="V23" s="38">
        <f>+IFERROR(_xlfn.XLOOKUP($A23,'Curr Prices'!$A$11:$A$49,'Curr Prices'!V$11:V$49,,0)*_xlfn.XLOOKUP($A23,'2024 Adj Factor'!$A$11:$A$49,'2024 Adj Factor'!$B$11:$B$49,,0),0)</f>
        <v>317828.40000000002</v>
      </c>
      <c r="W23" s="38">
        <f>+IFERROR(_xlfn.XLOOKUP($A23,'Curr Prices'!$A$11:$A$49,'Curr Prices'!W$11:W$49,,0)*_xlfn.XLOOKUP($A23,'2024 Adj Factor'!$A$11:$A$49,'2024 Adj Factor'!$B$11:$B$49,,0),0)</f>
        <v>324827.5</v>
      </c>
      <c r="X23" s="38">
        <f>+IFERROR(_xlfn.XLOOKUP($A23,'Curr Prices'!$A$11:$A$49,'Curr Prices'!X$11:X$49,,0)*_xlfn.XLOOKUP($A23,'2024 Adj Factor'!$A$11:$A$49,'2024 Adj Factor'!$B$11:$B$49,,0),0)</f>
        <v>347272.2</v>
      </c>
      <c r="Y23" s="38">
        <f>+IFERROR(_xlfn.XLOOKUP($A23,'Curr Prices'!$A$11:$A$49,'Curr Prices'!Y$11:Y$49,,0)*_xlfn.XLOOKUP($A23,'2024 Adj Factor'!$A$11:$A$49,'2024 Adj Factor'!$B$11:$B$49,,0),0)</f>
        <v>366244.7</v>
      </c>
      <c r="Z23" s="38">
        <f>+IFERROR(_xlfn.XLOOKUP($A23,'Curr Prices'!$A$11:$A$49,'Curr Prices'!Z$11:Z$49,,0)*_xlfn.XLOOKUP($A23,'2024 Adj Factor'!$A$11:$A$49,'2024 Adj Factor'!$B$11:$B$49,,0),0)</f>
        <v>381193.5</v>
      </c>
      <c r="AA23" s="38">
        <f>+IFERROR(_xlfn.XLOOKUP($A23,'Curr Prices'!$A$11:$A$49,'Curr Prices'!AA$11:AA$49,,0)*_xlfn.XLOOKUP($A23,'2024 Adj Factor'!$A$11:$A$49,'2024 Adj Factor'!$B$11:$B$49,,0),0)</f>
        <v>352871.3</v>
      </c>
      <c r="AB23" s="38">
        <f>+IFERROR(_xlfn.XLOOKUP($A23,'Curr Prices'!$A$11:$A$49,'Curr Prices'!AB$11:AB$49,,0)*_xlfn.XLOOKUP($A23,'2024 Adj Factor'!$A$11:$A$49,'2024 Adj Factor'!$B$11:$B$49,,0),0)</f>
        <v>395951.7</v>
      </c>
      <c r="AC23" s="38">
        <f>+IFERROR(_xlfn.XLOOKUP($A23,'Curr Prices'!$A$11:$A$49,'Curr Prices'!AC$11:AC$49,,0)*_xlfn.XLOOKUP($A23,'2024 Adj Factor'!$A$11:$A$49,'2024 Adj Factor'!$B$11:$B$49,,0),0)</f>
        <v>473336</v>
      </c>
      <c r="AD23" s="38">
        <f>+IFERROR(_xlfn.XLOOKUP($A23,'Curr Prices'!$A$11:$A$49,'Curr Prices'!AD$11:AD$49,,0)*_xlfn.XLOOKUP($A23,'2024 Adj Factor'!$A$11:$A$49,'2024 Adj Factor'!$B$11:$B$49,,0),0)</f>
        <v>504302.1</v>
      </c>
      <c r="AE23" s="39">
        <f>+IFERROR(_xlfn.XLOOKUP($A23,'Curr Prices'!$A$11:$A$49,'Curr Prices'!AE$11:AE$49,,0)*_xlfn.XLOOKUP($A23,'2024 Adj Factor'!$A$11:$A$49,'2024 Adj Factor'!$B$11:$B$49,,0),0)</f>
        <v>528086.6</v>
      </c>
    </row>
    <row r="24" spans="1:31" ht="15" x14ac:dyDescent="0.25">
      <c r="A24" s="32" t="s">
        <v>33</v>
      </c>
      <c r="B24" s="37">
        <f>+IFERROR(_xlfn.XLOOKUP($A24,'Curr Prices'!$A$11:$A$49,'Curr Prices'!B$11:B$49,,0)*_xlfn.XLOOKUP($A24,'2024 Adj Factor'!$A$11:$A$49,'2024 Adj Factor'!$B$11:$B$49,,0),0)</f>
        <v>85280.856916726189</v>
      </c>
      <c r="C24" s="38">
        <f>+IFERROR(_xlfn.XLOOKUP($A24,'Curr Prices'!$A$11:$A$49,'Curr Prices'!C$11:C$49,,0)*_xlfn.XLOOKUP($A24,'2024 Adj Factor'!$A$11:$A$49,'2024 Adj Factor'!$B$11:$B$49,,0),0)</f>
        <v>91704.480079324116</v>
      </c>
      <c r="D24" s="38">
        <f>+IFERROR(_xlfn.XLOOKUP($A24,'Curr Prices'!$A$11:$A$49,'Curr Prices'!D$11:D$49,,0)*_xlfn.XLOOKUP($A24,'2024 Adj Factor'!$A$11:$A$49,'2024 Adj Factor'!$B$11:$B$49,,0),0)</f>
        <v>95117.654933359154</v>
      </c>
      <c r="E24" s="38">
        <f>+IFERROR(_xlfn.XLOOKUP($A24,'Curr Prices'!$A$11:$A$49,'Curr Prices'!E$11:E$49,,0)*_xlfn.XLOOKUP($A24,'2024 Adj Factor'!$A$11:$A$49,'2024 Adj Factor'!$B$11:$B$49,,0),0)</f>
        <v>101360.27102585406</v>
      </c>
      <c r="F24" s="38">
        <f>+IFERROR(_xlfn.XLOOKUP($A24,'Curr Prices'!$A$11:$A$49,'Curr Prices'!F$11:F$49,,0)*_xlfn.XLOOKUP($A24,'2024 Adj Factor'!$A$11:$A$49,'2024 Adj Factor'!$B$11:$B$49,,0),0)</f>
        <v>94487.818419834541</v>
      </c>
      <c r="G24" s="38">
        <f>+IFERROR(_xlfn.XLOOKUP($A24,'Curr Prices'!$A$11:$A$49,'Curr Prices'!G$11:G$49,,0)*_xlfn.XLOOKUP($A24,'2024 Adj Factor'!$A$11:$A$49,'2024 Adj Factor'!$B$11:$B$49,,0),0)</f>
        <v>111744.06219477327</v>
      </c>
      <c r="H24" s="38">
        <f>+IFERROR(_xlfn.XLOOKUP($A24,'Curr Prices'!$A$11:$A$49,'Curr Prices'!H$11:H$49,,0)*_xlfn.XLOOKUP($A24,'2024 Adj Factor'!$A$11:$A$49,'2024 Adj Factor'!$B$11:$B$49,,0),0)</f>
        <v>124829.90874874129</v>
      </c>
      <c r="I24" s="38">
        <f>+IFERROR(_xlfn.XLOOKUP($A24,'Curr Prices'!$A$11:$A$49,'Curr Prices'!I$11:I$49,,0)*_xlfn.XLOOKUP($A24,'2024 Adj Factor'!$A$11:$A$49,'2024 Adj Factor'!$B$11:$B$49,,0),0)</f>
        <v>134031.33790409574</v>
      </c>
      <c r="J24" s="38">
        <f>+IFERROR(_xlfn.XLOOKUP($A24,'Curr Prices'!$A$11:$A$49,'Curr Prices'!J$11:J$49,,0)*_xlfn.XLOOKUP($A24,'2024 Adj Factor'!$A$11:$A$49,'2024 Adj Factor'!$B$11:$B$49,,0),0)</f>
        <v>142132.96469698253</v>
      </c>
      <c r="K24" s="38">
        <f>+IFERROR(_xlfn.XLOOKUP($A24,'Curr Prices'!$A$11:$A$49,'Curr Prices'!K$11:K$49,,0)*_xlfn.XLOOKUP($A24,'2024 Adj Factor'!$A$11:$A$49,'2024 Adj Factor'!$B$11:$B$49,,0),0)</f>
        <v>167934.55792568758</v>
      </c>
      <c r="L24" s="38">
        <f>+IFERROR(_xlfn.XLOOKUP($A24,'Curr Prices'!$A$11:$A$49,'Curr Prices'!L$11:L$49,,0)*_xlfn.XLOOKUP($A24,'2024 Adj Factor'!$A$11:$A$49,'2024 Adj Factor'!$B$11:$B$49,,0),0)</f>
        <v>213074.40180072788</v>
      </c>
      <c r="M24" s="38">
        <f>+IFERROR(_xlfn.XLOOKUP($A24,'Curr Prices'!$A$11:$A$49,'Curr Prices'!M$11:M$49,,0)*_xlfn.XLOOKUP($A24,'2024 Adj Factor'!$A$11:$A$49,'2024 Adj Factor'!$B$11:$B$49,,0),0)</f>
        <v>263017.45836674637</v>
      </c>
      <c r="N24" s="38">
        <f>+IFERROR(_xlfn.XLOOKUP($A24,'Curr Prices'!$A$11:$A$49,'Curr Prices'!N$11:N$49,,0)*_xlfn.XLOOKUP($A24,'2024 Adj Factor'!$A$11:$A$49,'2024 Adj Factor'!$B$11:$B$49,,0),0)</f>
        <v>334285.87140825618</v>
      </c>
      <c r="O24" s="38">
        <f>+IFERROR(_xlfn.XLOOKUP($A24,'Curr Prices'!$A$11:$A$49,'Curr Prices'!O$11:O$49,,0)*_xlfn.XLOOKUP($A24,'2024 Adj Factor'!$A$11:$A$49,'2024 Adj Factor'!$B$11:$B$49,,0),0)</f>
        <v>385382.06784329301</v>
      </c>
      <c r="P24" s="38">
        <f>+IFERROR(_xlfn.XLOOKUP($A24,'Curr Prices'!$A$11:$A$49,'Curr Prices'!P$11:P$49,,0)*_xlfn.XLOOKUP($A24,'2024 Adj Factor'!$A$11:$A$49,'2024 Adj Factor'!$B$11:$B$49,,0),0)</f>
        <v>331950.65323581424</v>
      </c>
      <c r="Q24" s="38">
        <f>+IFERROR(_xlfn.XLOOKUP($A24,'Curr Prices'!$A$11:$A$49,'Curr Prices'!Q$11:Q$49,,0)*_xlfn.XLOOKUP($A24,'2024 Adj Factor'!$A$11:$A$49,'2024 Adj Factor'!$B$11:$B$49,,0),0)</f>
        <v>359402.02093575604</v>
      </c>
      <c r="R24" s="38">
        <f>+IFERROR(_xlfn.XLOOKUP($A24,'Curr Prices'!$A$11:$A$49,'Curr Prices'!R$11:R$49,,0)*_xlfn.XLOOKUP($A24,'2024 Adj Factor'!$A$11:$A$49,'2024 Adj Factor'!$B$11:$B$49,,0),0)</f>
        <v>394116.36825111671</v>
      </c>
      <c r="S24" s="38">
        <f>+IFERROR(_xlfn.XLOOKUP($A24,'Curr Prices'!$A$11:$A$49,'Curr Prices'!S$11:S$49,,0)*_xlfn.XLOOKUP($A24,'2024 Adj Factor'!$A$11:$A$49,'2024 Adj Factor'!$B$11:$B$49,,0),0)</f>
        <v>396822.82114335458</v>
      </c>
      <c r="T24" s="38">
        <f>+IFERROR(_xlfn.XLOOKUP($A24,'Curr Prices'!$A$11:$A$49,'Curr Prices'!T$11:T$49,,0)*_xlfn.XLOOKUP($A24,'2024 Adj Factor'!$A$11:$A$49,'2024 Adj Factor'!$B$11:$B$49,,0),0)</f>
        <v>410264.8657796334</v>
      </c>
      <c r="U24" s="38">
        <f>+IFERROR(_xlfn.XLOOKUP($A24,'Curr Prices'!$A$11:$A$49,'Curr Prices'!U$11:U$49,,0)*_xlfn.XLOOKUP($A24,'2024 Adj Factor'!$A$11:$A$49,'2024 Adj Factor'!$B$11:$B$49,,0),0)</f>
        <v>428544.02646876726</v>
      </c>
      <c r="V24" s="38">
        <f>+IFERROR(_xlfn.XLOOKUP($A24,'Curr Prices'!$A$11:$A$49,'Curr Prices'!V$11:V$49,,0)*_xlfn.XLOOKUP($A24,'2024 Adj Factor'!$A$11:$A$49,'2024 Adj Factor'!$B$11:$B$49,,0),0)</f>
        <v>444075.45444011461</v>
      </c>
      <c r="W24" s="38">
        <f>+IFERROR(_xlfn.XLOOKUP($A24,'Curr Prices'!$A$11:$A$49,'Curr Prices'!W$11:W$49,,0)*_xlfn.XLOOKUP($A24,'2024 Adj Factor'!$A$11:$A$49,'2024 Adj Factor'!$B$11:$B$49,,0),0)</f>
        <v>457151.22928406904</v>
      </c>
      <c r="X24" s="38">
        <f>+IFERROR(_xlfn.XLOOKUP($A24,'Curr Prices'!$A$11:$A$49,'Curr Prices'!X$11:X$49,,0)*_xlfn.XLOOKUP($A24,'2024 Adj Factor'!$A$11:$A$49,'2024 Adj Factor'!$B$11:$B$49,,0),0)</f>
        <v>501257.65896968887</v>
      </c>
      <c r="Y24" s="38">
        <f>+IFERROR(_xlfn.XLOOKUP($A24,'Curr Prices'!$A$11:$A$49,'Curr Prices'!Y$11:Y$49,,0)*_xlfn.XLOOKUP($A24,'2024 Adj Factor'!$A$11:$A$49,'2024 Adj Factor'!$B$11:$B$49,,0),0)</f>
        <v>549961.75334896776</v>
      </c>
      <c r="Z24" s="38">
        <f>+IFERROR(_xlfn.XLOOKUP($A24,'Curr Prices'!$A$11:$A$49,'Curr Prices'!Z$11:Z$49,,0)*_xlfn.XLOOKUP($A24,'2024 Adj Factor'!$A$11:$A$49,'2024 Adj Factor'!$B$11:$B$49,,0),0)</f>
        <v>594082.93596193148</v>
      </c>
      <c r="AA24" s="38">
        <f>+IFERROR(_xlfn.XLOOKUP($A24,'Curr Prices'!$A$11:$A$49,'Curr Prices'!AA$11:AA$49,,0)*_xlfn.XLOOKUP($A24,'2024 Adj Factor'!$A$11:$A$49,'2024 Adj Factor'!$B$11:$B$49,,0),0)</f>
        <v>572599.41108270595</v>
      </c>
      <c r="AB24" s="38">
        <f>+IFERROR(_xlfn.XLOOKUP($A24,'Curr Prices'!$A$11:$A$49,'Curr Prices'!AB$11:AB$49,,0)*_xlfn.XLOOKUP($A24,'2024 Adj Factor'!$A$11:$A$49,'2024 Adj Factor'!$B$11:$B$49,,0),0)</f>
        <v>644785.05901080358</v>
      </c>
      <c r="AC24" s="38">
        <f>+IFERROR(_xlfn.XLOOKUP($A24,'Curr Prices'!$A$11:$A$49,'Curr Prices'!AC$11:AC$49,,0)*_xlfn.XLOOKUP($A24,'2024 Adj Factor'!$A$11:$A$49,'2024 Adj Factor'!$B$11:$B$49,,0),0)</f>
        <v>791977.28480122203</v>
      </c>
      <c r="AD24" s="38">
        <f>+IFERROR(_xlfn.XLOOKUP($A24,'Curr Prices'!$A$11:$A$49,'Curr Prices'!AD$11:AD$49,,0)*_xlfn.XLOOKUP($A24,'2024 Adj Factor'!$A$11:$A$49,'2024 Adj Factor'!$B$11:$B$49,,0),0)</f>
        <v>859775.78096045123</v>
      </c>
      <c r="AE24" s="39">
        <f>+IFERROR(_xlfn.XLOOKUP($A24,'Curr Prices'!$A$11:$A$49,'Curr Prices'!AE$11:AE$49,,0)*_xlfn.XLOOKUP($A24,'2024 Adj Factor'!$A$11:$A$49,'2024 Adj Factor'!$B$11:$B$49,,0),0)</f>
        <v>914259.05091653019</v>
      </c>
    </row>
    <row r="25" spans="1:31" ht="15" x14ac:dyDescent="0.25">
      <c r="A25" s="32" t="s">
        <v>34</v>
      </c>
      <c r="B25" s="37">
        <f>+IFERROR(_xlfn.XLOOKUP($A25,'Curr Prices'!$A$11:$A$49,'Curr Prices'!B$11:B$49,,0)*_xlfn.XLOOKUP($A25,'2024 Adj Factor'!$A$11:$A$49,'2024 Adj Factor'!$B$11:$B$49,,0),0)</f>
        <v>31363.3</v>
      </c>
      <c r="C25" s="38">
        <f>+IFERROR(_xlfn.XLOOKUP($A25,'Curr Prices'!$A$11:$A$49,'Curr Prices'!C$11:C$49,,0)*_xlfn.XLOOKUP($A25,'2024 Adj Factor'!$A$11:$A$49,'2024 Adj Factor'!$B$11:$B$49,,0),0)</f>
        <v>32584.1</v>
      </c>
      <c r="D25" s="38">
        <f>+IFERROR(_xlfn.XLOOKUP($A25,'Curr Prices'!$A$11:$A$49,'Curr Prices'!D$11:D$49,,0)*_xlfn.XLOOKUP($A25,'2024 Adj Factor'!$A$11:$A$49,'2024 Adj Factor'!$B$11:$B$49,,0),0)</f>
        <v>35112.5</v>
      </c>
      <c r="E25" s="38">
        <f>+IFERROR(_xlfn.XLOOKUP($A25,'Curr Prices'!$A$11:$A$49,'Curr Prices'!E$11:E$49,,0)*_xlfn.XLOOKUP($A25,'2024 Adj Factor'!$A$11:$A$49,'2024 Adj Factor'!$B$11:$B$49,,0),0)</f>
        <v>37588.6</v>
      </c>
      <c r="F25" s="38">
        <f>+IFERROR(_xlfn.XLOOKUP($A25,'Curr Prices'!$A$11:$A$49,'Curr Prices'!F$11:F$49,,0)*_xlfn.XLOOKUP($A25,'2024 Adj Factor'!$A$11:$A$49,'2024 Adj Factor'!$B$11:$B$49,,0),0)</f>
        <v>39535</v>
      </c>
      <c r="G25" s="38">
        <f>+IFERROR(_xlfn.XLOOKUP($A25,'Curr Prices'!$A$11:$A$49,'Curr Prices'!G$11:G$49,,0)*_xlfn.XLOOKUP($A25,'2024 Adj Factor'!$A$11:$A$49,'2024 Adj Factor'!$B$11:$B$49,,0),0)</f>
        <v>41827.800000000003</v>
      </c>
      <c r="H25" s="38">
        <f>+IFERROR(_xlfn.XLOOKUP($A25,'Curr Prices'!$A$11:$A$49,'Curr Prices'!H$11:H$49,,0)*_xlfn.XLOOKUP($A25,'2024 Adj Factor'!$A$11:$A$49,'2024 Adj Factor'!$B$11:$B$49,,0),0)</f>
        <v>43900.1</v>
      </c>
      <c r="I25" s="38">
        <f>+IFERROR(_xlfn.XLOOKUP($A25,'Curr Prices'!$A$11:$A$49,'Curr Prices'!I$11:I$49,,0)*_xlfn.XLOOKUP($A25,'2024 Adj Factor'!$A$11:$A$49,'2024 Adj Factor'!$B$11:$B$49,,0),0)</f>
        <v>46861.2</v>
      </c>
      <c r="J25" s="38">
        <f>+IFERROR(_xlfn.XLOOKUP($A25,'Curr Prices'!$A$11:$A$49,'Curr Prices'!J$11:J$49,,0)*_xlfn.XLOOKUP($A25,'2024 Adj Factor'!$A$11:$A$49,'2024 Adj Factor'!$B$11:$B$49,,0),0)</f>
        <v>48955.4</v>
      </c>
      <c r="K25" s="38">
        <f>+IFERROR(_xlfn.XLOOKUP($A25,'Curr Prices'!$A$11:$A$49,'Curr Prices'!K$11:K$49,,0)*_xlfn.XLOOKUP($A25,'2024 Adj Factor'!$A$11:$A$49,'2024 Adj Factor'!$B$11:$B$49,,0),0)</f>
        <v>52439.199999999997</v>
      </c>
      <c r="L25" s="38">
        <f>+IFERROR(_xlfn.XLOOKUP($A25,'Curr Prices'!$A$11:$A$49,'Curr Prices'!L$11:L$49,,0)*_xlfn.XLOOKUP($A25,'2024 Adj Factor'!$A$11:$A$49,'2024 Adj Factor'!$B$11:$B$49,,0),0)</f>
        <v>55960.1</v>
      </c>
      <c r="M25" s="38">
        <f>+IFERROR(_xlfn.XLOOKUP($A25,'Curr Prices'!$A$11:$A$49,'Curr Prices'!M$11:M$49,,0)*_xlfn.XLOOKUP($A25,'2024 Adj Factor'!$A$11:$A$49,'2024 Adj Factor'!$B$11:$B$49,,0),0)</f>
        <v>61928</v>
      </c>
      <c r="N25" s="38">
        <f>+IFERROR(_xlfn.XLOOKUP($A25,'Curr Prices'!$A$11:$A$49,'Curr Prices'!N$11:N$49,,0)*_xlfn.XLOOKUP($A25,'2024 Adj Factor'!$A$11:$A$49,'2024 Adj Factor'!$B$11:$B$49,,0),0)</f>
        <v>70528</v>
      </c>
      <c r="O25" s="38">
        <f>+IFERROR(_xlfn.XLOOKUP($A25,'Curr Prices'!$A$11:$A$49,'Curr Prices'!O$11:O$49,,0)*_xlfn.XLOOKUP($A25,'2024 Adj Factor'!$A$11:$A$49,'2024 Adj Factor'!$B$11:$B$49,,0),0)</f>
        <v>76086.600000000006</v>
      </c>
      <c r="P25" s="38">
        <f>+IFERROR(_xlfn.XLOOKUP($A25,'Curr Prices'!$A$11:$A$49,'Curr Prices'!P$11:P$49,,0)*_xlfn.XLOOKUP($A25,'2024 Adj Factor'!$A$11:$A$49,'2024 Adj Factor'!$B$11:$B$49,,0),0)</f>
        <v>68334.100000000006</v>
      </c>
      <c r="Q25" s="38">
        <f>+IFERROR(_xlfn.XLOOKUP($A25,'Curr Prices'!$A$11:$A$49,'Curr Prices'!Q$11:Q$49,,0)*_xlfn.XLOOKUP($A25,'2024 Adj Factor'!$A$11:$A$49,'2024 Adj Factor'!$B$11:$B$49,,0),0)</f>
        <v>70378.2</v>
      </c>
      <c r="R25" s="38">
        <f>+IFERROR(_xlfn.XLOOKUP($A25,'Curr Prices'!$A$11:$A$49,'Curr Prices'!R$11:R$49,,0)*_xlfn.XLOOKUP($A25,'2024 Adj Factor'!$A$11:$A$49,'2024 Adj Factor'!$B$11:$B$49,,0),0)</f>
        <v>71859</v>
      </c>
      <c r="S25" s="38">
        <f>+IFERROR(_xlfn.XLOOKUP($A25,'Curr Prices'!$A$11:$A$49,'Curr Prices'!S$11:S$49,,0)*_xlfn.XLOOKUP($A25,'2024 Adj Factor'!$A$11:$A$49,'2024 Adj Factor'!$B$11:$B$49,,0),0)</f>
        <v>69587.600000000006</v>
      </c>
      <c r="T25" s="38">
        <f>+IFERROR(_xlfn.XLOOKUP($A25,'Curr Prices'!$A$11:$A$49,'Curr Prices'!T$11:T$49,,0)*_xlfn.XLOOKUP($A25,'2024 Adj Factor'!$A$11:$A$49,'2024 Adj Factor'!$B$11:$B$49,,0),0)</f>
        <v>68976.5</v>
      </c>
      <c r="U25" s="38">
        <f>+IFERROR(_xlfn.XLOOKUP($A25,'Curr Prices'!$A$11:$A$49,'Curr Prices'!U$11:U$49,,0)*_xlfn.XLOOKUP($A25,'2024 Adj Factor'!$A$11:$A$49,'2024 Adj Factor'!$B$11:$B$49,,0),0)</f>
        <v>71032.100000000006</v>
      </c>
      <c r="V25" s="38">
        <f>+IFERROR(_xlfn.XLOOKUP($A25,'Curr Prices'!$A$11:$A$49,'Curr Prices'!V$11:V$49,,0)*_xlfn.XLOOKUP($A25,'2024 Adj Factor'!$A$11:$A$49,'2024 Adj Factor'!$B$11:$B$49,,0),0)</f>
        <v>72881.2</v>
      </c>
      <c r="W25" s="38">
        <f>+IFERROR(_xlfn.XLOOKUP($A25,'Curr Prices'!$A$11:$A$49,'Curr Prices'!W$11:W$49,,0)*_xlfn.XLOOKUP($A25,'2024 Adj Factor'!$A$11:$A$49,'2024 Adj Factor'!$B$11:$B$49,,0),0)</f>
        <v>74804.5</v>
      </c>
      <c r="X25" s="38">
        <f>+IFERROR(_xlfn.XLOOKUP($A25,'Curr Prices'!$A$11:$A$49,'Curr Prices'!X$11:X$49,,0)*_xlfn.XLOOKUP($A25,'2024 Adj Factor'!$A$11:$A$49,'2024 Adj Factor'!$B$11:$B$49,,0),0)</f>
        <v>81291.899999999994</v>
      </c>
      <c r="Y25" s="38">
        <f>+IFERROR(_xlfn.XLOOKUP($A25,'Curr Prices'!$A$11:$A$49,'Curr Prices'!Y$11:Y$49,,0)*_xlfn.XLOOKUP($A25,'2024 Adj Factor'!$A$11:$A$49,'2024 Adj Factor'!$B$11:$B$49,,0),0)</f>
        <v>87408.8</v>
      </c>
      <c r="Z25" s="38">
        <f>+IFERROR(_xlfn.XLOOKUP($A25,'Curr Prices'!$A$11:$A$49,'Curr Prices'!Z$11:Z$49,,0)*_xlfn.XLOOKUP($A25,'2024 Adj Factor'!$A$11:$A$49,'2024 Adj Factor'!$B$11:$B$49,,0),0)</f>
        <v>91046.6</v>
      </c>
      <c r="AA25" s="38">
        <f>+IFERROR(_xlfn.XLOOKUP($A25,'Curr Prices'!$A$11:$A$49,'Curr Prices'!AA$11:AA$49,,0)*_xlfn.XLOOKUP($A25,'2024 Adj Factor'!$A$11:$A$49,'2024 Adj Factor'!$B$11:$B$49,,0),0)</f>
        <v>86660.5</v>
      </c>
      <c r="AB25" s="38">
        <f>+IFERROR(_xlfn.XLOOKUP($A25,'Curr Prices'!$A$11:$A$49,'Curr Prices'!AB$11:AB$49,,0)*_xlfn.XLOOKUP($A25,'2024 Adj Factor'!$A$11:$A$49,'2024 Adj Factor'!$B$11:$B$49,,0),0)</f>
        <v>100082.7</v>
      </c>
      <c r="AC25" s="38">
        <f>+IFERROR(_xlfn.XLOOKUP($A25,'Curr Prices'!$A$11:$A$49,'Curr Prices'!AC$11:AC$49,,0)*_xlfn.XLOOKUP($A25,'2024 Adj Factor'!$A$11:$A$49,'2024 Adj Factor'!$B$11:$B$49,,0),0)</f>
        <v>115115.5</v>
      </c>
      <c r="AD25" s="38">
        <f>+IFERROR(_xlfn.XLOOKUP($A25,'Curr Prices'!$A$11:$A$49,'Curr Prices'!AD$11:AD$49,,0)*_xlfn.XLOOKUP($A25,'2024 Adj Factor'!$A$11:$A$49,'2024 Adj Factor'!$B$11:$B$49,,0),0)</f>
        <v>123763.4</v>
      </c>
      <c r="AE25" s="39">
        <f>+IFERROR(_xlfn.XLOOKUP($A25,'Curr Prices'!$A$11:$A$49,'Curr Prices'!AE$11:AE$49,,0)*_xlfn.XLOOKUP($A25,'2024 Adj Factor'!$A$11:$A$49,'2024 Adj Factor'!$B$11:$B$49,,0),0)</f>
        <v>127441.2</v>
      </c>
    </row>
    <row r="26" spans="1:31" ht="15" x14ac:dyDescent="0.25">
      <c r="A26" s="32" t="s">
        <v>35</v>
      </c>
      <c r="B26" s="37">
        <f>+IFERROR(_xlfn.XLOOKUP($A26,'Curr Prices'!$A$11:$A$49,'Curr Prices'!B$11:B$49,,0)*_xlfn.XLOOKUP($A26,'2024 Adj Factor'!$A$11:$A$49,'2024 Adj Factor'!$B$11:$B$49,,0),0)</f>
        <v>34206.800000000003</v>
      </c>
      <c r="C26" s="38">
        <f>+IFERROR(_xlfn.XLOOKUP($A26,'Curr Prices'!$A$11:$A$49,'Curr Prices'!C$11:C$49,,0)*_xlfn.XLOOKUP($A26,'2024 Adj Factor'!$A$11:$A$49,'2024 Adj Factor'!$B$11:$B$49,,0),0)</f>
        <v>38739.1</v>
      </c>
      <c r="D26" s="38">
        <f>+IFERROR(_xlfn.XLOOKUP($A26,'Curr Prices'!$A$11:$A$49,'Curr Prices'!D$11:D$49,,0)*_xlfn.XLOOKUP($A26,'2024 Adj Factor'!$A$11:$A$49,'2024 Adj Factor'!$B$11:$B$49,,0),0)</f>
        <v>43690.1</v>
      </c>
      <c r="E26" s="38">
        <f>+IFERROR(_xlfn.XLOOKUP($A26,'Curr Prices'!$A$11:$A$49,'Curr Prices'!E$11:E$49,,0)*_xlfn.XLOOKUP($A26,'2024 Adj Factor'!$A$11:$A$49,'2024 Adj Factor'!$B$11:$B$49,,0),0)</f>
        <v>45459.4</v>
      </c>
      <c r="F26" s="38">
        <f>+IFERROR(_xlfn.XLOOKUP($A26,'Curr Prices'!$A$11:$A$49,'Curr Prices'!F$11:F$49,,0)*_xlfn.XLOOKUP($A26,'2024 Adj Factor'!$A$11:$A$49,'2024 Adj Factor'!$B$11:$B$49,,0),0)</f>
        <v>42387.199999999997</v>
      </c>
      <c r="G26" s="38">
        <f>+IFERROR(_xlfn.XLOOKUP($A26,'Curr Prices'!$A$11:$A$49,'Curr Prices'!G$11:G$49,,0)*_xlfn.XLOOKUP($A26,'2024 Adj Factor'!$A$11:$A$49,'2024 Adj Factor'!$B$11:$B$49,,0),0)</f>
        <v>50106.2</v>
      </c>
      <c r="H26" s="38">
        <f>+IFERROR(_xlfn.XLOOKUP($A26,'Curr Prices'!$A$11:$A$49,'Curr Prices'!H$11:H$49,,0)*_xlfn.XLOOKUP($A26,'2024 Adj Factor'!$A$11:$A$49,'2024 Adj Factor'!$B$11:$B$49,,0),0)</f>
        <v>53208.6</v>
      </c>
      <c r="I26" s="38">
        <f>+IFERROR(_xlfn.XLOOKUP($A26,'Curr Prices'!$A$11:$A$49,'Curr Prices'!I$11:I$49,,0)*_xlfn.XLOOKUP($A26,'2024 Adj Factor'!$A$11:$A$49,'2024 Adj Factor'!$B$11:$B$49,,0),0)</f>
        <v>58554.6</v>
      </c>
      <c r="J26" s="38">
        <f>+IFERROR(_xlfn.XLOOKUP($A26,'Curr Prices'!$A$11:$A$49,'Curr Prices'!J$11:J$49,,0)*_xlfn.XLOOKUP($A26,'2024 Adj Factor'!$A$11:$A$49,'2024 Adj Factor'!$B$11:$B$49,,0),0)</f>
        <v>66418.3</v>
      </c>
      <c r="K26" s="38">
        <f>+IFERROR(_xlfn.XLOOKUP($A26,'Curr Prices'!$A$11:$A$49,'Curr Prices'!K$11:K$49,,0)*_xlfn.XLOOKUP($A26,'2024 Adj Factor'!$A$11:$A$49,'2024 Adj Factor'!$B$11:$B$49,,0),0)</f>
        <v>73298.7</v>
      </c>
      <c r="L26" s="38">
        <f>+IFERROR(_xlfn.XLOOKUP($A26,'Curr Prices'!$A$11:$A$49,'Curr Prices'!L$11:L$49,,0)*_xlfn.XLOOKUP($A26,'2024 Adj Factor'!$A$11:$A$49,'2024 Adj Factor'!$B$11:$B$49,,0),0)</f>
        <v>82683.899999999994</v>
      </c>
      <c r="M26" s="38">
        <f>+IFERROR(_xlfn.XLOOKUP($A26,'Curr Prices'!$A$11:$A$49,'Curr Prices'!M$11:M$49,,0)*_xlfn.XLOOKUP($A26,'2024 Adj Factor'!$A$11:$A$49,'2024 Adj Factor'!$B$11:$B$49,,0),0)</f>
        <v>99114.1</v>
      </c>
      <c r="N26" s="38">
        <f>+IFERROR(_xlfn.XLOOKUP($A26,'Curr Prices'!$A$11:$A$49,'Curr Prices'!N$11:N$49,,0)*_xlfn.XLOOKUP($A26,'2024 Adj Factor'!$A$11:$A$49,'2024 Adj Factor'!$B$11:$B$49,,0),0)</f>
        <v>122801</v>
      </c>
      <c r="O26" s="38">
        <f>+IFERROR(_xlfn.XLOOKUP($A26,'Curr Prices'!$A$11:$A$49,'Curr Prices'!O$11:O$49,,0)*_xlfn.XLOOKUP($A26,'2024 Adj Factor'!$A$11:$A$49,'2024 Adj Factor'!$B$11:$B$49,,0),0)</f>
        <v>146924.9</v>
      </c>
      <c r="P26" s="38">
        <f>+IFERROR(_xlfn.XLOOKUP($A26,'Curr Prices'!$A$11:$A$49,'Curr Prices'!P$11:P$49,,0)*_xlfn.XLOOKUP($A26,'2024 Adj Factor'!$A$11:$A$49,'2024 Adj Factor'!$B$11:$B$49,,0),0)</f>
        <v>135549.4</v>
      </c>
      <c r="Q26" s="38">
        <f>+IFERROR(_xlfn.XLOOKUP($A26,'Curr Prices'!$A$11:$A$49,'Curr Prices'!Q$11:Q$49,,0)*_xlfn.XLOOKUP($A26,'2024 Adj Factor'!$A$11:$A$49,'2024 Adj Factor'!$B$11:$B$49,,0),0)</f>
        <v>144715.79999999999</v>
      </c>
      <c r="R26" s="38">
        <f>+IFERROR(_xlfn.XLOOKUP($A26,'Curr Prices'!$A$11:$A$49,'Curr Prices'!R$11:R$49,,0)*_xlfn.XLOOKUP($A26,'2024 Adj Factor'!$A$11:$A$49,'2024 Adj Factor'!$B$11:$B$49,,0),0)</f>
        <v>155688.79999999999</v>
      </c>
      <c r="S26" s="38">
        <f>+IFERROR(_xlfn.XLOOKUP($A26,'Curr Prices'!$A$11:$A$49,'Curr Prices'!S$11:S$49,,0)*_xlfn.XLOOKUP($A26,'2024 Adj Factor'!$A$11:$A$49,'2024 Adj Factor'!$B$11:$B$49,,0),0)</f>
        <v>161033</v>
      </c>
      <c r="T26" s="38">
        <f>+IFERROR(_xlfn.XLOOKUP($A26,'Curr Prices'!$A$11:$A$49,'Curr Prices'!T$11:T$49,,0)*_xlfn.XLOOKUP($A26,'2024 Adj Factor'!$A$11:$A$49,'2024 Adj Factor'!$B$11:$B$49,,0),0)</f>
        <v>161028.70000000001</v>
      </c>
      <c r="U26" s="38">
        <f>+IFERROR(_xlfn.XLOOKUP($A26,'Curr Prices'!$A$11:$A$49,'Curr Prices'!U$11:U$49,,0)*_xlfn.XLOOKUP($A26,'2024 Adj Factor'!$A$11:$A$49,'2024 Adj Factor'!$B$11:$B$49,,0),0)</f>
        <v>166717.6</v>
      </c>
      <c r="V26" s="38">
        <f>+IFERROR(_xlfn.XLOOKUP($A26,'Curr Prices'!$A$11:$A$49,'Curr Prices'!V$11:V$49,,0)*_xlfn.XLOOKUP($A26,'2024 Adj Factor'!$A$11:$A$49,'2024 Adj Factor'!$B$11:$B$49,,0),0)</f>
        <v>177923.9</v>
      </c>
      <c r="W26" s="38">
        <f>+IFERROR(_xlfn.XLOOKUP($A26,'Curr Prices'!$A$11:$A$49,'Curr Prices'!W$11:W$49,,0)*_xlfn.XLOOKUP($A26,'2024 Adj Factor'!$A$11:$A$49,'2024 Adj Factor'!$B$11:$B$49,,0),0)</f>
        <v>183007.3</v>
      </c>
      <c r="X26" s="38">
        <f>+IFERROR(_xlfn.XLOOKUP($A26,'Curr Prices'!$A$11:$A$49,'Curr Prices'!X$11:X$49,,0)*_xlfn.XLOOKUP($A26,'2024 Adj Factor'!$A$11:$A$49,'2024 Adj Factor'!$B$11:$B$49,,0),0)</f>
        <v>191294</v>
      </c>
      <c r="Y26" s="38">
        <f>+IFERROR(_xlfn.XLOOKUP($A26,'Curr Prices'!$A$11:$A$49,'Curr Prices'!Y$11:Y$49,,0)*_xlfn.XLOOKUP($A26,'2024 Adj Factor'!$A$11:$A$49,'2024 Adj Factor'!$B$11:$B$49,,0),0)</f>
        <v>206044</v>
      </c>
      <c r="Z26" s="38">
        <f>+IFERROR(_xlfn.XLOOKUP($A26,'Curr Prices'!$A$11:$A$49,'Curr Prices'!Z$11:Z$49,,0)*_xlfn.XLOOKUP($A26,'2024 Adj Factor'!$A$11:$A$49,'2024 Adj Factor'!$B$11:$B$49,,0),0)</f>
        <v>211103.2</v>
      </c>
      <c r="AA26" s="38">
        <f>+IFERROR(_xlfn.XLOOKUP($A26,'Curr Prices'!$A$11:$A$49,'Curr Prices'!AA$11:AA$49,,0)*_xlfn.XLOOKUP($A26,'2024 Adj Factor'!$A$11:$A$49,'2024 Adj Factor'!$B$11:$B$49,,0),0)</f>
        <v>201023.9</v>
      </c>
      <c r="AB26" s="38">
        <f>+IFERROR(_xlfn.XLOOKUP($A26,'Curr Prices'!$A$11:$A$49,'Curr Prices'!AB$11:AB$49,,0)*_xlfn.XLOOKUP($A26,'2024 Adj Factor'!$A$11:$A$49,'2024 Adj Factor'!$B$11:$B$49,,0),0)</f>
        <v>223381.6</v>
      </c>
      <c r="AC26" s="38">
        <f>+IFERROR(_xlfn.XLOOKUP($A26,'Curr Prices'!$A$11:$A$49,'Curr Prices'!AC$11:AC$49,,0)*_xlfn.XLOOKUP($A26,'2024 Adj Factor'!$A$11:$A$49,'2024 Adj Factor'!$B$11:$B$49,,0),0)</f>
        <v>263969.7</v>
      </c>
      <c r="AD26" s="38">
        <f>+IFERROR(_xlfn.XLOOKUP($A26,'Curr Prices'!$A$11:$A$49,'Curr Prices'!AD$11:AD$49,,0)*_xlfn.XLOOKUP($A26,'2024 Adj Factor'!$A$11:$A$49,'2024 Adj Factor'!$B$11:$B$49,,0),0)</f>
        <v>279826.40000000002</v>
      </c>
      <c r="AE26" s="39">
        <f>+IFERROR(_xlfn.XLOOKUP($A26,'Curr Prices'!$A$11:$A$49,'Curr Prices'!AE$11:AE$49,,0)*_xlfn.XLOOKUP($A26,'2024 Adj Factor'!$A$11:$A$49,'2024 Adj Factor'!$B$11:$B$49,,0),0)</f>
        <v>278414.90000000002</v>
      </c>
    </row>
    <row r="27" spans="1:31" ht="15" x14ac:dyDescent="0.25">
      <c r="A27" s="32" t="s">
        <v>36</v>
      </c>
      <c r="B27" s="37">
        <f>+IFERROR(_xlfn.XLOOKUP($A27,'Curr Prices'!$A$11:$A$49,'Curr Prices'!B$11:B$49,,0)*_xlfn.XLOOKUP($A27,'2024 Adj Factor'!$A$11:$A$49,'2024 Adj Factor'!$B$11:$B$49,,0),0)</f>
        <v>217507.61282441608</v>
      </c>
      <c r="C27" s="38">
        <f>+IFERROR(_xlfn.XLOOKUP($A27,'Curr Prices'!$A$11:$A$49,'Curr Prices'!C$11:C$49,,0)*_xlfn.XLOOKUP($A27,'2024 Adj Factor'!$A$11:$A$49,'2024 Adj Factor'!$B$11:$B$49,,0),0)</f>
        <v>222624.9692929601</v>
      </c>
      <c r="D27" s="38">
        <f>+IFERROR(_xlfn.XLOOKUP($A27,'Curr Prices'!$A$11:$A$49,'Curr Prices'!D$11:D$49,,0)*_xlfn.XLOOKUP($A27,'2024 Adj Factor'!$A$11:$A$49,'2024 Adj Factor'!$B$11:$B$49,,0),0)</f>
        <v>240295.453254894</v>
      </c>
      <c r="E27" s="38">
        <f>+IFERROR(_xlfn.XLOOKUP($A27,'Curr Prices'!$A$11:$A$49,'Curr Prices'!E$11:E$49,,0)*_xlfn.XLOOKUP($A27,'2024 Adj Factor'!$A$11:$A$49,'2024 Adj Factor'!$B$11:$B$49,,0),0)</f>
        <v>254840.73754718507</v>
      </c>
      <c r="F27" s="38">
        <f>+IFERROR(_xlfn.XLOOKUP($A27,'Curr Prices'!$A$11:$A$49,'Curr Prices'!F$11:F$49,,0)*_xlfn.XLOOKUP($A27,'2024 Adj Factor'!$A$11:$A$49,'2024 Adj Factor'!$B$11:$B$49,,0),0)</f>
        <v>270042.67168501962</v>
      </c>
      <c r="G27" s="38">
        <f>+IFERROR(_xlfn.XLOOKUP($A27,'Curr Prices'!$A$11:$A$49,'Curr Prices'!G$11:G$49,,0)*_xlfn.XLOOKUP($A27,'2024 Adj Factor'!$A$11:$A$49,'2024 Adj Factor'!$B$11:$B$49,,0),0)</f>
        <v>302187.68382169097</v>
      </c>
      <c r="H27" s="38">
        <f>+IFERROR(_xlfn.XLOOKUP($A27,'Curr Prices'!$A$11:$A$49,'Curr Prices'!H$11:H$49,,0)*_xlfn.XLOOKUP($A27,'2024 Adj Factor'!$A$11:$A$49,'2024 Adj Factor'!$B$11:$B$49,,0),0)</f>
        <v>311215.88092456752</v>
      </c>
      <c r="I27" s="38">
        <f>+IFERROR(_xlfn.XLOOKUP($A27,'Curr Prices'!$A$11:$A$49,'Curr Prices'!I$11:I$49,,0)*_xlfn.XLOOKUP($A27,'2024 Adj Factor'!$A$11:$A$49,'2024 Adj Factor'!$B$11:$B$49,,0),0)</f>
        <v>317140.96749633626</v>
      </c>
      <c r="J27" s="38">
        <f>+IFERROR(_xlfn.XLOOKUP($A27,'Curr Prices'!$A$11:$A$49,'Curr Prices'!J$11:J$49,,0)*_xlfn.XLOOKUP($A27,'2024 Adj Factor'!$A$11:$A$49,'2024 Adj Factor'!$B$11:$B$49,,0),0)</f>
        <v>324163.42357073131</v>
      </c>
      <c r="K27" s="38">
        <f>+IFERROR(_xlfn.XLOOKUP($A27,'Curr Prices'!$A$11:$A$49,'Curr Prices'!K$11:K$49,,0)*_xlfn.XLOOKUP($A27,'2024 Adj Factor'!$A$11:$A$49,'2024 Adj Factor'!$B$11:$B$49,,0),0)</f>
        <v>343117.55816614628</v>
      </c>
      <c r="L27" s="38">
        <f>+IFERROR(_xlfn.XLOOKUP($A27,'Curr Prices'!$A$11:$A$49,'Curr Prices'!L$11:L$49,,0)*_xlfn.XLOOKUP($A27,'2024 Adj Factor'!$A$11:$A$49,'2024 Adj Factor'!$B$11:$B$49,,0),0)</f>
        <v>362382.35818587855</v>
      </c>
      <c r="M27" s="38">
        <f>+IFERROR(_xlfn.XLOOKUP($A27,'Curr Prices'!$A$11:$A$49,'Curr Prices'!M$11:M$49,,0)*_xlfn.XLOOKUP($A27,'2024 Adj Factor'!$A$11:$A$49,'2024 Adj Factor'!$B$11:$B$49,,0),0)</f>
        <v>391119.50055389898</v>
      </c>
      <c r="N27" s="38">
        <f>+IFERROR(_xlfn.XLOOKUP($A27,'Curr Prices'!$A$11:$A$49,'Curr Prices'!N$11:N$49,,0)*_xlfn.XLOOKUP($A27,'2024 Adj Factor'!$A$11:$A$49,'2024 Adj Factor'!$B$11:$B$49,,0),0)</f>
        <v>422702.24370967684</v>
      </c>
      <c r="O27" s="38">
        <f>+IFERROR(_xlfn.XLOOKUP($A27,'Curr Prices'!$A$11:$A$49,'Curr Prices'!O$11:O$49,,0)*_xlfn.XLOOKUP($A27,'2024 Adj Factor'!$A$11:$A$49,'2024 Adj Factor'!$B$11:$B$49,,0),0)</f>
        <v>445143.39097651554</v>
      </c>
      <c r="P27" s="38">
        <f>+IFERROR(_xlfn.XLOOKUP($A27,'Curr Prices'!$A$11:$A$49,'Curr Prices'!P$11:P$49,,0)*_xlfn.XLOOKUP($A27,'2024 Adj Factor'!$A$11:$A$49,'2024 Adj Factor'!$B$11:$B$49,,0),0)</f>
        <v>397862.00337520207</v>
      </c>
      <c r="Q27" s="38">
        <f>+IFERROR(_xlfn.XLOOKUP($A27,'Curr Prices'!$A$11:$A$49,'Curr Prices'!Q$11:Q$49,,0)*_xlfn.XLOOKUP($A27,'2024 Adj Factor'!$A$11:$A$49,'2024 Adj Factor'!$B$11:$B$49,,0),0)</f>
        <v>416100.30813359714</v>
      </c>
      <c r="R27" s="38">
        <f>+IFERROR(_xlfn.XLOOKUP($A27,'Curr Prices'!$A$11:$A$49,'Curr Prices'!R$11:R$49,,0)*_xlfn.XLOOKUP($A27,'2024 Adj Factor'!$A$11:$A$49,'2024 Adj Factor'!$B$11:$B$49,,0),0)</f>
        <v>445363.10112451174</v>
      </c>
      <c r="S27" s="38">
        <f>+IFERROR(_xlfn.XLOOKUP($A27,'Curr Prices'!$A$11:$A$49,'Curr Prices'!S$11:S$49,,0)*_xlfn.XLOOKUP($A27,'2024 Adj Factor'!$A$11:$A$49,'2024 Adj Factor'!$B$11:$B$49,,0),0)</f>
        <v>452439.8941172284</v>
      </c>
      <c r="T27" s="38">
        <f>+IFERROR(_xlfn.XLOOKUP($A27,'Curr Prices'!$A$11:$A$49,'Curr Prices'!T$11:T$49,,0)*_xlfn.XLOOKUP($A27,'2024 Adj Factor'!$A$11:$A$49,'2024 Adj Factor'!$B$11:$B$49,,0),0)</f>
        <v>451634.29024124233</v>
      </c>
      <c r="U27" s="38">
        <f>+IFERROR(_xlfn.XLOOKUP($A27,'Curr Prices'!$A$11:$A$49,'Curr Prices'!U$11:U$49,,0)*_xlfn.XLOOKUP($A27,'2024 Adj Factor'!$A$11:$A$49,'2024 Adj Factor'!$B$11:$B$49,,0),0)</f>
        <v>453531.35743308056</v>
      </c>
      <c r="V27" s="38">
        <f>+IFERROR(_xlfn.XLOOKUP($A27,'Curr Prices'!$A$11:$A$49,'Curr Prices'!V$11:V$49,,0)*_xlfn.XLOOKUP($A27,'2024 Adj Factor'!$A$11:$A$49,'2024 Adj Factor'!$B$11:$B$49,,0),0)</f>
        <v>450855.85482441704</v>
      </c>
      <c r="W27" s="38">
        <f>+IFERROR(_xlfn.XLOOKUP($A27,'Curr Prices'!$A$11:$A$49,'Curr Prices'!W$11:W$49,,0)*_xlfn.XLOOKUP($A27,'2024 Adj Factor'!$A$11:$A$49,'2024 Adj Factor'!$B$11:$B$49,,0),0)</f>
        <v>460980.24019256496</v>
      </c>
      <c r="X27" s="38">
        <f>+IFERROR(_xlfn.XLOOKUP($A27,'Curr Prices'!$A$11:$A$49,'Curr Prices'!X$11:X$49,,0)*_xlfn.XLOOKUP($A27,'2024 Adj Factor'!$A$11:$A$49,'2024 Adj Factor'!$B$11:$B$49,,0),0)</f>
        <v>485443.66581085272</v>
      </c>
      <c r="Y27" s="38">
        <f>+IFERROR(_xlfn.XLOOKUP($A27,'Curr Prices'!$A$11:$A$49,'Curr Prices'!Y$11:Y$49,,0)*_xlfn.XLOOKUP($A27,'2024 Adj Factor'!$A$11:$A$49,'2024 Adj Factor'!$B$11:$B$49,,0),0)</f>
        <v>508317.14594955492</v>
      </c>
      <c r="Z27" s="38">
        <f>+IFERROR(_xlfn.XLOOKUP($A27,'Curr Prices'!$A$11:$A$49,'Curr Prices'!Z$11:Z$49,,0)*_xlfn.XLOOKUP($A27,'2024 Adj Factor'!$A$11:$A$49,'2024 Adj Factor'!$B$11:$B$49,,0),0)</f>
        <v>526168.00485556957</v>
      </c>
      <c r="AA27" s="38">
        <f>+IFERROR(_xlfn.XLOOKUP($A27,'Curr Prices'!$A$11:$A$49,'Curr Prices'!AA$11:AA$49,,0)*_xlfn.XLOOKUP($A27,'2024 Adj Factor'!$A$11:$A$49,'2024 Adj Factor'!$B$11:$B$49,,0),0)</f>
        <v>510282.72490797262</v>
      </c>
      <c r="AB27" s="38">
        <f>+IFERROR(_xlfn.XLOOKUP($A27,'Curr Prices'!$A$11:$A$49,'Curr Prices'!AB$11:AB$49,,0)*_xlfn.XLOOKUP($A27,'2024 Adj Factor'!$A$11:$A$49,'2024 Adj Factor'!$B$11:$B$49,,0),0)</f>
        <v>551406.32217861817</v>
      </c>
      <c r="AC27" s="38">
        <f>+IFERROR(_xlfn.XLOOKUP($A27,'Curr Prices'!$A$11:$A$49,'Curr Prices'!AC$11:AC$49,,0)*_xlfn.XLOOKUP($A27,'2024 Adj Factor'!$A$11:$A$49,'2024 Adj Factor'!$B$11:$B$49,,0),0)</f>
        <v>620612.65632271476</v>
      </c>
      <c r="AD27" s="38">
        <f>+IFERROR(_xlfn.XLOOKUP($A27,'Curr Prices'!$A$11:$A$49,'Curr Prices'!AD$11:AD$49,,0)*_xlfn.XLOOKUP($A27,'2024 Adj Factor'!$A$11:$A$49,'2024 Adj Factor'!$B$11:$B$49,,0),0)</f>
        <v>620893.79081316153</v>
      </c>
      <c r="AE27" s="39">
        <f>+IFERROR(_xlfn.XLOOKUP($A27,'Curr Prices'!$A$11:$A$49,'Curr Prices'!AE$11:AE$49,,0)*_xlfn.XLOOKUP($A27,'2024 Adj Factor'!$A$11:$A$49,'2024 Adj Factor'!$B$11:$B$49,,0),0)</f>
        <v>619444.41257879941</v>
      </c>
    </row>
    <row r="28" spans="1:31" ht="15" x14ac:dyDescent="0.25">
      <c r="A28" s="32" t="s">
        <v>37</v>
      </c>
      <c r="B28" s="37">
        <f>+IFERROR(_xlfn.XLOOKUP($A28,'Curr Prices'!$A$11:$A$49,'Curr Prices'!B$11:B$49,,0)*_xlfn.XLOOKUP($A28,'2024 Adj Factor'!$A$11:$A$49,'2024 Adj Factor'!$B$11:$B$49,,0),0)</f>
        <v>368544.3</v>
      </c>
      <c r="C28" s="38">
        <f>+IFERROR(_xlfn.XLOOKUP($A28,'Curr Prices'!$A$11:$A$49,'Curr Prices'!C$11:C$49,,0)*_xlfn.XLOOKUP($A28,'2024 Adj Factor'!$A$11:$A$49,'2024 Adj Factor'!$B$11:$B$49,,0),0)</f>
        <v>412644.5</v>
      </c>
      <c r="D28" s="38">
        <f>+IFERROR(_xlfn.XLOOKUP($A28,'Curr Prices'!$A$11:$A$49,'Curr Prices'!D$11:D$49,,0)*_xlfn.XLOOKUP($A28,'2024 Adj Factor'!$A$11:$A$49,'2024 Adj Factor'!$B$11:$B$49,,0),0)</f>
        <v>429720.5</v>
      </c>
      <c r="E28" s="38">
        <f>+IFERROR(_xlfn.XLOOKUP($A28,'Curr Prices'!$A$11:$A$49,'Curr Prices'!E$11:E$49,,0)*_xlfn.XLOOKUP($A28,'2024 Adj Factor'!$A$11:$A$49,'2024 Adj Factor'!$B$11:$B$49,,0),0)</f>
        <v>437338</v>
      </c>
      <c r="F28" s="38">
        <f>+IFERROR(_xlfn.XLOOKUP($A28,'Curr Prices'!$A$11:$A$49,'Curr Prices'!F$11:F$49,,0)*_xlfn.XLOOKUP($A28,'2024 Adj Factor'!$A$11:$A$49,'2024 Adj Factor'!$B$11:$B$49,,0),0)</f>
        <v>466188.7</v>
      </c>
      <c r="G28" s="38">
        <f>+IFERROR(_xlfn.XLOOKUP($A28,'Curr Prices'!$A$11:$A$49,'Curr Prices'!G$11:G$49,,0)*_xlfn.XLOOKUP($A28,'2024 Adj Factor'!$A$11:$A$49,'2024 Adj Factor'!$B$11:$B$49,,0),0)</f>
        <v>525677.19999999995</v>
      </c>
      <c r="H28" s="38">
        <f>+IFERROR(_xlfn.XLOOKUP($A28,'Curr Prices'!$A$11:$A$49,'Curr Prices'!H$11:H$49,,0)*_xlfn.XLOOKUP($A28,'2024 Adj Factor'!$A$11:$A$49,'2024 Adj Factor'!$B$11:$B$49,,0),0)</f>
        <v>500504.4</v>
      </c>
      <c r="I28" s="38">
        <f>+IFERROR(_xlfn.XLOOKUP($A28,'Curr Prices'!$A$11:$A$49,'Curr Prices'!I$11:I$49,,0)*_xlfn.XLOOKUP($A28,'2024 Adj Factor'!$A$11:$A$49,'2024 Adj Factor'!$B$11:$B$49,,0),0)</f>
        <v>515703</v>
      </c>
      <c r="J28" s="38">
        <f>+IFERROR(_xlfn.XLOOKUP($A28,'Curr Prices'!$A$11:$A$49,'Curr Prices'!J$11:J$49,,0)*_xlfn.XLOOKUP($A28,'2024 Adj Factor'!$A$11:$A$49,'2024 Adj Factor'!$B$11:$B$49,,0),0)</f>
        <v>530626</v>
      </c>
      <c r="K28" s="38">
        <f>+IFERROR(_xlfn.XLOOKUP($A28,'Curr Prices'!$A$11:$A$49,'Curr Prices'!K$11:K$49,,0)*_xlfn.XLOOKUP($A28,'2024 Adj Factor'!$A$11:$A$49,'2024 Adj Factor'!$B$11:$B$49,,0),0)</f>
        <v>560594.5</v>
      </c>
      <c r="L28" s="38">
        <f>+IFERROR(_xlfn.XLOOKUP($A28,'Curr Prices'!$A$11:$A$49,'Curr Prices'!L$11:L$49,,0)*_xlfn.XLOOKUP($A28,'2024 Adj Factor'!$A$11:$A$49,'2024 Adj Factor'!$B$11:$B$49,,0),0)</f>
        <v>579548.5</v>
      </c>
      <c r="M28" s="38">
        <f>+IFERROR(_xlfn.XLOOKUP($A28,'Curr Prices'!$A$11:$A$49,'Curr Prices'!M$11:M$49,,0)*_xlfn.XLOOKUP($A28,'2024 Adj Factor'!$A$11:$A$49,'2024 Adj Factor'!$B$11:$B$49,,0),0)</f>
        <v>624812.19999999995</v>
      </c>
      <c r="N28" s="38">
        <f>+IFERROR(_xlfn.XLOOKUP($A28,'Curr Prices'!$A$11:$A$49,'Curr Prices'!N$11:N$49,,0)*_xlfn.XLOOKUP($A28,'2024 Adj Factor'!$A$11:$A$49,'2024 Adj Factor'!$B$11:$B$49,,0),0)</f>
        <v>670604.1</v>
      </c>
      <c r="O28" s="38">
        <f>+IFERROR(_xlfn.XLOOKUP($A28,'Curr Prices'!$A$11:$A$49,'Curr Prices'!O$11:O$49,,0)*_xlfn.XLOOKUP($A28,'2024 Adj Factor'!$A$11:$A$49,'2024 Adj Factor'!$B$11:$B$49,,0),0)</f>
        <v>670699.6</v>
      </c>
      <c r="P28" s="38">
        <f>+IFERROR(_xlfn.XLOOKUP($A28,'Curr Prices'!$A$11:$A$49,'Curr Prices'!P$11:P$49,,0)*_xlfn.XLOOKUP($A28,'2024 Adj Factor'!$A$11:$A$49,'2024 Adj Factor'!$B$11:$B$49,,0),0)</f>
        <v>573297.19999999995</v>
      </c>
      <c r="Q28" s="38">
        <f>+IFERROR(_xlfn.XLOOKUP($A28,'Curr Prices'!$A$11:$A$49,'Curr Prices'!Q$11:Q$49,,0)*_xlfn.XLOOKUP($A28,'2024 Adj Factor'!$A$11:$A$49,'2024 Adj Factor'!$B$11:$B$49,,0),0)</f>
        <v>681498.6</v>
      </c>
      <c r="R28" s="38">
        <f>+IFERROR(_xlfn.XLOOKUP($A28,'Curr Prices'!$A$11:$A$49,'Curr Prices'!R$11:R$49,,0)*_xlfn.XLOOKUP($A28,'2024 Adj Factor'!$A$11:$A$49,'2024 Adj Factor'!$B$11:$B$49,,0),0)</f>
        <v>759859</v>
      </c>
      <c r="S28" s="38">
        <f>+IFERROR(_xlfn.XLOOKUP($A28,'Curr Prices'!$A$11:$A$49,'Curr Prices'!S$11:S$49,,0)*_xlfn.XLOOKUP($A28,'2024 Adj Factor'!$A$11:$A$49,'2024 Adj Factor'!$B$11:$B$49,,0),0)</f>
        <v>791822.1</v>
      </c>
      <c r="T28" s="38">
        <f>+IFERROR(_xlfn.XLOOKUP($A28,'Curr Prices'!$A$11:$A$49,'Curr Prices'!T$11:T$49,,0)*_xlfn.XLOOKUP($A28,'2024 Adj Factor'!$A$11:$A$49,'2024 Adj Factor'!$B$11:$B$49,,0),0)</f>
        <v>800335.7</v>
      </c>
      <c r="U28" s="38">
        <f>+IFERROR(_xlfn.XLOOKUP($A28,'Curr Prices'!$A$11:$A$49,'Curr Prices'!U$11:U$49,,0)*_xlfn.XLOOKUP($A28,'2024 Adj Factor'!$A$11:$A$49,'2024 Adj Factor'!$B$11:$B$49,,0),0)</f>
        <v>789519.4</v>
      </c>
      <c r="V28" s="38">
        <f>+IFERROR(_xlfn.XLOOKUP($A28,'Curr Prices'!$A$11:$A$49,'Curr Prices'!V$11:V$49,,0)*_xlfn.XLOOKUP($A28,'2024 Adj Factor'!$A$11:$A$49,'2024 Adj Factor'!$B$11:$B$49,,0),0)</f>
        <v>810028.7</v>
      </c>
      <c r="W28" s="38">
        <f>+IFERROR(_xlfn.XLOOKUP($A28,'Curr Prices'!$A$11:$A$49,'Curr Prices'!W$11:W$49,,0)*_xlfn.XLOOKUP($A28,'2024 Adj Factor'!$A$11:$A$49,'2024 Adj Factor'!$B$11:$B$49,,0),0)</f>
        <v>827849.4</v>
      </c>
      <c r="X28" s="38">
        <f>+IFERROR(_xlfn.XLOOKUP($A28,'Curr Prices'!$A$11:$A$49,'Curr Prices'!X$11:X$49,,0)*_xlfn.XLOOKUP($A28,'2024 Adj Factor'!$A$11:$A$49,'2024 Adj Factor'!$B$11:$B$49,,0),0)</f>
        <v>858849.9</v>
      </c>
      <c r="Y28" s="38">
        <f>+IFERROR(_xlfn.XLOOKUP($A28,'Curr Prices'!$A$11:$A$49,'Curr Prices'!Y$11:Y$49,,0)*_xlfn.XLOOKUP($A28,'2024 Adj Factor'!$A$11:$A$49,'2024 Adj Factor'!$B$11:$B$49,,0),0)</f>
        <v>855808.4</v>
      </c>
      <c r="Z28" s="38">
        <f>+IFERROR(_xlfn.XLOOKUP($A28,'Curr Prices'!$A$11:$A$49,'Curr Prices'!Z$11:Z$49,,0)*_xlfn.XLOOKUP($A28,'2024 Adj Factor'!$A$11:$A$49,'2024 Adj Factor'!$B$11:$B$49,,0),0)</f>
        <v>869292.4</v>
      </c>
      <c r="AA28" s="38">
        <f>+IFERROR(_xlfn.XLOOKUP($A28,'Curr Prices'!$A$11:$A$49,'Curr Prices'!AA$11:AA$49,,0)*_xlfn.XLOOKUP($A28,'2024 Adj Factor'!$A$11:$A$49,'2024 Adj Factor'!$B$11:$B$49,,0),0)</f>
        <v>859632.2</v>
      </c>
      <c r="AB28" s="38">
        <f>+IFERROR(_xlfn.XLOOKUP($A28,'Curr Prices'!$A$11:$A$49,'Curr Prices'!AB$11:AB$49,,0)*_xlfn.XLOOKUP($A28,'2024 Adj Factor'!$A$11:$A$49,'2024 Adj Factor'!$B$11:$B$49,,0),0)</f>
        <v>971889.9</v>
      </c>
      <c r="AC28" s="38">
        <f>+IFERROR(_xlfn.XLOOKUP($A28,'Curr Prices'!$A$11:$A$49,'Curr Prices'!AC$11:AC$49,,0)*_xlfn.XLOOKUP($A28,'2024 Adj Factor'!$A$11:$A$49,'2024 Adj Factor'!$B$11:$B$49,,0),0)</f>
        <v>1052123.8999999999</v>
      </c>
      <c r="AD28" s="38">
        <f>+IFERROR(_xlfn.XLOOKUP($A28,'Curr Prices'!$A$11:$A$49,'Curr Prices'!AD$11:AD$49,,0)*_xlfn.XLOOKUP($A28,'2024 Adj Factor'!$A$11:$A$49,'2024 Adj Factor'!$B$11:$B$49,,0),0)</f>
        <v>1033078.5</v>
      </c>
      <c r="AE28" s="39">
        <f>+IFERROR(_xlfn.XLOOKUP($A28,'Curr Prices'!$A$11:$A$49,'Curr Prices'!AE$11:AE$49,,0)*_xlfn.XLOOKUP($A28,'2024 Adj Factor'!$A$11:$A$49,'2024 Adj Factor'!$B$11:$B$49,,0),0)</f>
        <v>1075981.3999999999</v>
      </c>
    </row>
    <row r="29" spans="1:31" ht="15" x14ac:dyDescent="0.25">
      <c r="A29" s="32" t="s">
        <v>38</v>
      </c>
      <c r="B29" s="37">
        <f>+IFERROR(_xlfn.XLOOKUP($A29,'Curr Prices'!$A$11:$A$49,'Curr Prices'!B$11:B$49,,0)*_xlfn.XLOOKUP($A29,'2024 Adj Factor'!$A$11:$A$49,'2024 Adj Factor'!$B$11:$B$49,,0),0)</f>
        <v>9106.5</v>
      </c>
      <c r="C29" s="38">
        <f>+IFERROR(_xlfn.XLOOKUP($A29,'Curr Prices'!$A$11:$A$49,'Curr Prices'!C$11:C$49,,0)*_xlfn.XLOOKUP($A29,'2024 Adj Factor'!$A$11:$A$49,'2024 Adj Factor'!$B$11:$B$49,,0),0)</f>
        <v>10069.200000000001</v>
      </c>
      <c r="D29" s="38">
        <f>+IFERROR(_xlfn.XLOOKUP($A29,'Curr Prices'!$A$11:$A$49,'Curr Prices'!D$11:D$49,,0)*_xlfn.XLOOKUP($A29,'2024 Adj Factor'!$A$11:$A$49,'2024 Adj Factor'!$B$11:$B$49,,0),0)</f>
        <v>11054.8</v>
      </c>
      <c r="E29" s="38">
        <f>+IFERROR(_xlfn.XLOOKUP($A29,'Curr Prices'!$A$11:$A$49,'Curr Prices'!E$11:E$49,,0)*_xlfn.XLOOKUP($A29,'2024 Adj Factor'!$A$11:$A$49,'2024 Adj Factor'!$B$11:$B$49,,0),0)</f>
        <v>12429.3</v>
      </c>
      <c r="F29" s="38">
        <f>+IFERROR(_xlfn.XLOOKUP($A29,'Curr Prices'!$A$11:$A$49,'Curr Prices'!F$11:F$49,,0)*_xlfn.XLOOKUP($A29,'2024 Adj Factor'!$A$11:$A$49,'2024 Adj Factor'!$B$11:$B$49,,0),0)</f>
        <v>13986.6</v>
      </c>
      <c r="G29" s="38">
        <f>+IFERROR(_xlfn.XLOOKUP($A29,'Curr Prices'!$A$11:$A$49,'Curr Prices'!G$11:G$49,,0)*_xlfn.XLOOKUP($A29,'2024 Adj Factor'!$A$11:$A$49,'2024 Adj Factor'!$B$11:$B$49,,0),0)</f>
        <v>16843.5</v>
      </c>
      <c r="H29" s="38">
        <f>+IFERROR(_xlfn.XLOOKUP($A29,'Curr Prices'!$A$11:$A$49,'Curr Prices'!H$11:H$49,,0)*_xlfn.XLOOKUP($A29,'2024 Adj Factor'!$A$11:$A$49,'2024 Adj Factor'!$B$11:$B$49,,0),0)</f>
        <v>15831.3</v>
      </c>
      <c r="I29" s="38">
        <f>+IFERROR(_xlfn.XLOOKUP($A29,'Curr Prices'!$A$11:$A$49,'Curr Prices'!I$11:I$49,,0)*_xlfn.XLOOKUP($A29,'2024 Adj Factor'!$A$11:$A$49,'2024 Adj Factor'!$B$11:$B$49,,0),0)</f>
        <v>17006.599999999999</v>
      </c>
      <c r="J29" s="38">
        <f>+IFERROR(_xlfn.XLOOKUP($A29,'Curr Prices'!$A$11:$A$49,'Curr Prices'!J$11:J$49,,0)*_xlfn.XLOOKUP($A29,'2024 Adj Factor'!$A$11:$A$49,'2024 Adj Factor'!$B$11:$B$49,,0),0)</f>
        <v>17707.599999999999</v>
      </c>
      <c r="K29" s="38">
        <f>+IFERROR(_xlfn.XLOOKUP($A29,'Curr Prices'!$A$11:$A$49,'Curr Prices'!K$11:K$49,,0)*_xlfn.XLOOKUP($A29,'2024 Adj Factor'!$A$11:$A$49,'2024 Adj Factor'!$B$11:$B$49,,0),0)</f>
        <v>19716.400000000001</v>
      </c>
      <c r="L29" s="38">
        <f>+IFERROR(_xlfn.XLOOKUP($A29,'Curr Prices'!$A$11:$A$49,'Curr Prices'!L$11:L$49,,0)*_xlfn.XLOOKUP($A29,'2024 Adj Factor'!$A$11:$A$49,'2024 Adj Factor'!$B$11:$B$49,,0),0)</f>
        <v>24460</v>
      </c>
      <c r="M29" s="38">
        <f>+IFERROR(_xlfn.XLOOKUP($A29,'Curr Prices'!$A$11:$A$49,'Curr Prices'!M$11:M$49,,0)*_xlfn.XLOOKUP($A29,'2024 Adj Factor'!$A$11:$A$49,'2024 Adj Factor'!$B$11:$B$49,,0),0)</f>
        <v>25887.599999999999</v>
      </c>
      <c r="N29" s="38">
        <f>+IFERROR(_xlfn.XLOOKUP($A29,'Curr Prices'!$A$11:$A$49,'Curr Prices'!N$11:N$49,,0)*_xlfn.XLOOKUP($A29,'2024 Adj Factor'!$A$11:$A$49,'2024 Adj Factor'!$B$11:$B$49,,0),0)</f>
        <v>29963.9</v>
      </c>
      <c r="O29" s="38">
        <f>+IFERROR(_xlfn.XLOOKUP($A29,'Curr Prices'!$A$11:$A$49,'Curr Prices'!O$11:O$49,,0)*_xlfn.XLOOKUP($A29,'2024 Adj Factor'!$A$11:$A$49,'2024 Adj Factor'!$B$11:$B$49,,0),0)</f>
        <v>20543</v>
      </c>
      <c r="P29" s="38">
        <f>+IFERROR(_xlfn.XLOOKUP($A29,'Curr Prices'!$A$11:$A$49,'Curr Prices'!P$11:P$49,,0)*_xlfn.XLOOKUP($A29,'2024 Adj Factor'!$A$11:$A$49,'2024 Adj Factor'!$B$11:$B$49,,0),0)</f>
        <v>16864.900000000001</v>
      </c>
      <c r="Q29" s="38">
        <f>+IFERROR(_xlfn.XLOOKUP($A29,'Curr Prices'!$A$11:$A$49,'Curr Prices'!Q$11:Q$49,,0)*_xlfn.XLOOKUP($A29,'2024 Adj Factor'!$A$11:$A$49,'2024 Adj Factor'!$B$11:$B$49,,0),0)</f>
        <v>19168.7</v>
      </c>
      <c r="R29" s="38">
        <f>+IFERROR(_xlfn.XLOOKUP($A29,'Curr Prices'!$A$11:$A$49,'Curr Prices'!R$11:R$49,,0)*_xlfn.XLOOKUP($A29,'2024 Adj Factor'!$A$11:$A$49,'2024 Adj Factor'!$B$11:$B$49,,0),0)</f>
        <v>20614.8</v>
      </c>
      <c r="S29" s="38">
        <f>+IFERROR(_xlfn.XLOOKUP($A29,'Curr Prices'!$A$11:$A$49,'Curr Prices'!S$11:S$49,,0)*_xlfn.XLOOKUP($A29,'2024 Adj Factor'!$A$11:$A$49,'2024 Adj Factor'!$B$11:$B$49,,0),0)</f>
        <v>22010.799999999999</v>
      </c>
      <c r="T29" s="38">
        <f>+IFERROR(_xlfn.XLOOKUP($A29,'Curr Prices'!$A$11:$A$49,'Curr Prices'!T$11:T$49,,0)*_xlfn.XLOOKUP($A29,'2024 Adj Factor'!$A$11:$A$49,'2024 Adj Factor'!$B$11:$B$49,,0),0)</f>
        <v>22946.6</v>
      </c>
      <c r="U29" s="38">
        <f>+IFERROR(_xlfn.XLOOKUP($A29,'Curr Prices'!$A$11:$A$49,'Curr Prices'!U$11:U$49,,0)*_xlfn.XLOOKUP($A29,'2024 Adj Factor'!$A$11:$A$49,'2024 Adj Factor'!$B$11:$B$49,,0),0)</f>
        <v>25254.2</v>
      </c>
      <c r="V29" s="38">
        <f>+IFERROR(_xlfn.XLOOKUP($A29,'Curr Prices'!$A$11:$A$49,'Curr Prices'!V$11:V$49,,0)*_xlfn.XLOOKUP($A29,'2024 Adj Factor'!$A$11:$A$49,'2024 Adj Factor'!$B$11:$B$49,,0),0)</f>
        <v>29222.1</v>
      </c>
      <c r="W29" s="38">
        <f>+IFERROR(_xlfn.XLOOKUP($A29,'Curr Prices'!$A$11:$A$49,'Curr Prices'!W$11:W$49,,0)*_xlfn.XLOOKUP($A29,'2024 Adj Factor'!$A$11:$A$49,'2024 Adj Factor'!$B$11:$B$49,,0),0)</f>
        <v>34151.599999999999</v>
      </c>
      <c r="X29" s="38">
        <f>+IFERROR(_xlfn.XLOOKUP($A29,'Curr Prices'!$A$11:$A$49,'Curr Prices'!X$11:X$49,,0)*_xlfn.XLOOKUP($A29,'2024 Adj Factor'!$A$11:$A$49,'2024 Adj Factor'!$B$11:$B$49,,0),0)</f>
        <v>39923.800000000003</v>
      </c>
      <c r="Y29" s="38">
        <f>+IFERROR(_xlfn.XLOOKUP($A29,'Curr Prices'!$A$11:$A$49,'Curr Prices'!Y$11:Y$49,,0)*_xlfn.XLOOKUP($A29,'2024 Adj Factor'!$A$11:$A$49,'2024 Adj Factor'!$B$11:$B$49,,0),0)</f>
        <v>40805.5</v>
      </c>
      <c r="Z29" s="38">
        <f>+IFERROR(_xlfn.XLOOKUP($A29,'Curr Prices'!$A$11:$A$49,'Curr Prices'!Z$11:Z$49,,0)*_xlfn.XLOOKUP($A29,'2024 Adj Factor'!$A$11:$A$49,'2024 Adj Factor'!$B$11:$B$49,,0),0)</f>
        <v>38995.9</v>
      </c>
      <c r="AA29" s="38">
        <f>+IFERROR(_xlfn.XLOOKUP($A29,'Curr Prices'!$A$11:$A$49,'Curr Prices'!AA$11:AA$49,,0)*_xlfn.XLOOKUP($A29,'2024 Adj Factor'!$A$11:$A$49,'2024 Adj Factor'!$B$11:$B$49,,0),0)</f>
        <v>33103.9</v>
      </c>
      <c r="AB29" s="38">
        <f>+IFERROR(_xlfn.XLOOKUP($A29,'Curr Prices'!$A$11:$A$49,'Curr Prices'!AB$11:AB$49,,0)*_xlfn.XLOOKUP($A29,'2024 Adj Factor'!$A$11:$A$49,'2024 Adj Factor'!$B$11:$B$49,,0),0)</f>
        <v>39865.699999999997</v>
      </c>
      <c r="AC29" s="38">
        <f>+IFERROR(_xlfn.XLOOKUP($A29,'Curr Prices'!$A$11:$A$49,'Curr Prices'!AC$11:AC$49,,0)*_xlfn.XLOOKUP($A29,'2024 Adj Factor'!$A$11:$A$49,'2024 Adj Factor'!$B$11:$B$49,,0),0)</f>
        <v>50697.2</v>
      </c>
      <c r="AD29" s="38">
        <f>+IFERROR(_xlfn.XLOOKUP($A29,'Curr Prices'!$A$11:$A$49,'Curr Prices'!AD$11:AD$49,,0)*_xlfn.XLOOKUP($A29,'2024 Adj Factor'!$A$11:$A$49,'2024 Adj Factor'!$B$11:$B$49,,0),0)</f>
        <v>54055.9</v>
      </c>
      <c r="AE29" s="39">
        <f>+IFERROR(_xlfn.XLOOKUP($A29,'Curr Prices'!$A$11:$A$49,'Curr Prices'!AE$11:AE$49,,0)*_xlfn.XLOOKUP($A29,'2024 Adj Factor'!$A$11:$A$49,'2024 Adj Factor'!$B$11:$B$49,,0),0)</f>
        <v>0</v>
      </c>
    </row>
    <row r="30" spans="1:31" ht="15" x14ac:dyDescent="0.25">
      <c r="A30" s="32" t="s">
        <v>39</v>
      </c>
      <c r="B30" s="37">
        <f>+IFERROR(_xlfn.XLOOKUP($A30,'Curr Prices'!$A$11:$A$49,'Curr Prices'!B$11:B$49,,0)*_xlfn.XLOOKUP($A30,'2024 Adj Factor'!$A$11:$A$49,'2024 Adj Factor'!$B$11:$B$49,,0),0)</f>
        <v>0</v>
      </c>
      <c r="C30" s="38">
        <f>+IFERROR(_xlfn.XLOOKUP($A30,'Curr Prices'!$A$11:$A$49,'Curr Prices'!C$11:C$49,,0)*_xlfn.XLOOKUP($A30,'2024 Adj Factor'!$A$11:$A$49,'2024 Adj Factor'!$B$11:$B$49,,0),0)</f>
        <v>0</v>
      </c>
      <c r="D30" s="38">
        <f>+IFERROR(_xlfn.XLOOKUP($A30,'Curr Prices'!$A$11:$A$49,'Curr Prices'!D$11:D$49,,0)*_xlfn.XLOOKUP($A30,'2024 Adj Factor'!$A$11:$A$49,'2024 Adj Factor'!$B$11:$B$49,,0),0)</f>
        <v>0</v>
      </c>
      <c r="E30" s="38">
        <f>+IFERROR(_xlfn.XLOOKUP($A30,'Curr Prices'!$A$11:$A$49,'Curr Prices'!E$11:E$49,,0)*_xlfn.XLOOKUP($A30,'2024 Adj Factor'!$A$11:$A$49,'2024 Adj Factor'!$B$11:$B$49,,0),0)</f>
        <v>0</v>
      </c>
      <c r="F30" s="38">
        <f>+IFERROR(_xlfn.XLOOKUP($A30,'Curr Prices'!$A$11:$A$49,'Curr Prices'!F$11:F$49,,0)*_xlfn.XLOOKUP($A30,'2024 Adj Factor'!$A$11:$A$49,'2024 Adj Factor'!$B$11:$B$49,,0),0)</f>
        <v>0</v>
      </c>
      <c r="G30" s="38">
        <f>+IFERROR(_xlfn.XLOOKUP($A30,'Curr Prices'!$A$11:$A$49,'Curr Prices'!G$11:G$49,,0)*_xlfn.XLOOKUP($A30,'2024 Adj Factor'!$A$11:$A$49,'2024 Adj Factor'!$B$11:$B$49,,0),0)</f>
        <v>0</v>
      </c>
      <c r="H30" s="38">
        <f>+IFERROR(_xlfn.XLOOKUP($A30,'Curr Prices'!$A$11:$A$49,'Curr Prices'!H$11:H$49,,0)*_xlfn.XLOOKUP($A30,'2024 Adj Factor'!$A$11:$A$49,'2024 Adj Factor'!$B$11:$B$49,,0),0)</f>
        <v>0</v>
      </c>
      <c r="I30" s="38">
        <f>+IFERROR(_xlfn.XLOOKUP($A30,'Curr Prices'!$A$11:$A$49,'Curr Prices'!I$11:I$49,,0)*_xlfn.XLOOKUP($A30,'2024 Adj Factor'!$A$11:$A$49,'2024 Adj Factor'!$B$11:$B$49,,0),0)</f>
        <v>0</v>
      </c>
      <c r="J30" s="38">
        <f>+IFERROR(_xlfn.XLOOKUP($A30,'Curr Prices'!$A$11:$A$49,'Curr Prices'!J$11:J$49,,0)*_xlfn.XLOOKUP($A30,'2024 Adj Factor'!$A$11:$A$49,'2024 Adj Factor'!$B$11:$B$49,,0),0)</f>
        <v>0</v>
      </c>
      <c r="K30" s="38">
        <f>+IFERROR(_xlfn.XLOOKUP($A30,'Curr Prices'!$A$11:$A$49,'Curr Prices'!K$11:K$49,,0)*_xlfn.XLOOKUP($A30,'2024 Adj Factor'!$A$11:$A$49,'2024 Adj Factor'!$B$11:$B$49,,0),0)</f>
        <v>0</v>
      </c>
      <c r="L30" s="38">
        <f>+IFERROR(_xlfn.XLOOKUP($A30,'Curr Prices'!$A$11:$A$49,'Curr Prices'!L$11:L$49,,0)*_xlfn.XLOOKUP($A30,'2024 Adj Factor'!$A$11:$A$49,'2024 Adj Factor'!$B$11:$B$49,,0),0)</f>
        <v>0</v>
      </c>
      <c r="M30" s="38">
        <f>+IFERROR(_xlfn.XLOOKUP($A30,'Curr Prices'!$A$11:$A$49,'Curr Prices'!M$11:M$49,,0)*_xlfn.XLOOKUP($A30,'2024 Adj Factor'!$A$11:$A$49,'2024 Adj Factor'!$B$11:$B$49,,0),0)</f>
        <v>0</v>
      </c>
      <c r="N30" s="38">
        <f>+IFERROR(_xlfn.XLOOKUP($A30,'Curr Prices'!$A$11:$A$49,'Curr Prices'!N$11:N$49,,0)*_xlfn.XLOOKUP($A30,'2024 Adj Factor'!$A$11:$A$49,'2024 Adj Factor'!$B$11:$B$49,,0),0)</f>
        <v>0</v>
      </c>
      <c r="O30" s="38">
        <f>+IFERROR(_xlfn.XLOOKUP($A30,'Curr Prices'!$A$11:$A$49,'Curr Prices'!O$11:O$49,,0)*_xlfn.XLOOKUP($A30,'2024 Adj Factor'!$A$11:$A$49,'2024 Adj Factor'!$B$11:$B$49,,0),0)</f>
        <v>0</v>
      </c>
      <c r="P30" s="38">
        <f>+IFERROR(_xlfn.XLOOKUP($A30,'Curr Prices'!$A$11:$A$49,'Curr Prices'!P$11:P$49,,0)*_xlfn.XLOOKUP($A30,'2024 Adj Factor'!$A$11:$A$49,'2024 Adj Factor'!$B$11:$B$49,,0),0)</f>
        <v>0</v>
      </c>
      <c r="Q30" s="38">
        <f>+IFERROR(_xlfn.XLOOKUP($A30,'Curr Prices'!$A$11:$A$49,'Curr Prices'!Q$11:Q$49,,0)*_xlfn.XLOOKUP($A30,'2024 Adj Factor'!$A$11:$A$49,'2024 Adj Factor'!$B$11:$B$49,,0),0)</f>
        <v>0</v>
      </c>
      <c r="R30" s="38">
        <f>+IFERROR(_xlfn.XLOOKUP($A30,'Curr Prices'!$A$11:$A$49,'Curr Prices'!R$11:R$49,,0)*_xlfn.XLOOKUP($A30,'2024 Adj Factor'!$A$11:$A$49,'2024 Adj Factor'!$B$11:$B$49,,0),0)</f>
        <v>0</v>
      </c>
      <c r="S30" s="38">
        <f>+IFERROR(_xlfn.XLOOKUP($A30,'Curr Prices'!$A$11:$A$49,'Curr Prices'!S$11:S$49,,0)*_xlfn.XLOOKUP($A30,'2024 Adj Factor'!$A$11:$A$49,'2024 Adj Factor'!$B$11:$B$49,,0),0)</f>
        <v>0</v>
      </c>
      <c r="T30" s="38">
        <f>+IFERROR(_xlfn.XLOOKUP($A30,'Curr Prices'!$A$11:$A$49,'Curr Prices'!T$11:T$49,,0)*_xlfn.XLOOKUP($A30,'2024 Adj Factor'!$A$11:$A$49,'2024 Adj Factor'!$B$11:$B$49,,0),0)</f>
        <v>11935.2</v>
      </c>
      <c r="U30" s="38">
        <f>+IFERROR(_xlfn.XLOOKUP($A30,'Curr Prices'!$A$11:$A$49,'Curr Prices'!U$11:U$49,,0)*_xlfn.XLOOKUP($A30,'2024 Adj Factor'!$A$11:$A$49,'2024 Adj Factor'!$B$11:$B$49,,0),0)</f>
        <v>12611.1</v>
      </c>
      <c r="V30" s="38">
        <f>+IFERROR(_xlfn.XLOOKUP($A30,'Curr Prices'!$A$11:$A$49,'Curr Prices'!V$11:V$49,,0)*_xlfn.XLOOKUP($A30,'2024 Adj Factor'!$A$11:$A$49,'2024 Adj Factor'!$B$11:$B$49,,0),0)</f>
        <v>13813.2</v>
      </c>
      <c r="W30" s="38">
        <f>+IFERROR(_xlfn.XLOOKUP($A30,'Curr Prices'!$A$11:$A$49,'Curr Prices'!W$11:W$49,,0)*_xlfn.XLOOKUP($A30,'2024 Adj Factor'!$A$11:$A$49,'2024 Adj Factor'!$B$11:$B$49,,0),0)</f>
        <v>15296.4</v>
      </c>
      <c r="X30" s="38">
        <f>+IFERROR(_xlfn.XLOOKUP($A30,'Curr Prices'!$A$11:$A$49,'Curr Prices'!X$11:X$49,,0)*_xlfn.XLOOKUP($A30,'2024 Adj Factor'!$A$11:$A$49,'2024 Adj Factor'!$B$11:$B$49,,0),0)</f>
        <v>14044</v>
      </c>
      <c r="Y30" s="38">
        <f>+IFERROR(_xlfn.XLOOKUP($A30,'Curr Prices'!$A$11:$A$49,'Curr Prices'!Y$11:Y$49,,0)*_xlfn.XLOOKUP($A30,'2024 Adj Factor'!$A$11:$A$49,'2024 Adj Factor'!$B$11:$B$49,,0),0)</f>
        <v>14288.2</v>
      </c>
      <c r="Z30" s="38">
        <f>+IFERROR(_xlfn.XLOOKUP($A30,'Curr Prices'!$A$11:$A$49,'Curr Prices'!Z$11:Z$49,,0)*_xlfn.XLOOKUP($A30,'2024 Adj Factor'!$A$11:$A$49,'2024 Adj Factor'!$B$11:$B$49,,0),0)</f>
        <v>14844</v>
      </c>
      <c r="AA30" s="38">
        <f>+IFERROR(_xlfn.XLOOKUP($A30,'Curr Prices'!$A$11:$A$49,'Curr Prices'!AA$11:AA$49,,0)*_xlfn.XLOOKUP($A30,'2024 Adj Factor'!$A$11:$A$49,'2024 Adj Factor'!$B$11:$B$49,,0),0)</f>
        <v>14050.5</v>
      </c>
      <c r="AB30" s="38">
        <f>+IFERROR(_xlfn.XLOOKUP($A30,'Curr Prices'!$A$11:$A$49,'Curr Prices'!AB$11:AB$49,,0)*_xlfn.XLOOKUP($A30,'2024 Adj Factor'!$A$11:$A$49,'2024 Adj Factor'!$B$11:$B$49,,0),0)</f>
        <v>15376</v>
      </c>
      <c r="AC30" s="38">
        <f>+IFERROR(_xlfn.XLOOKUP($A30,'Curr Prices'!$A$11:$A$49,'Curr Prices'!AC$11:AC$49,,0)*_xlfn.XLOOKUP($A30,'2024 Adj Factor'!$A$11:$A$49,'2024 Adj Factor'!$B$11:$B$49,,0),0)</f>
        <v>19622.3</v>
      </c>
      <c r="AD30" s="38">
        <f>+IFERROR(_xlfn.XLOOKUP($A30,'Curr Prices'!$A$11:$A$49,'Curr Prices'!AD$11:AD$49,,0)*_xlfn.XLOOKUP($A30,'2024 Adj Factor'!$A$11:$A$49,'2024 Adj Factor'!$B$11:$B$49,,0),0)</f>
        <v>0</v>
      </c>
      <c r="AE30" s="39">
        <f>+IFERROR(_xlfn.XLOOKUP($A30,'Curr Prices'!$A$11:$A$49,'Curr Prices'!AE$11:AE$49,,0)*_xlfn.XLOOKUP($A30,'2024 Adj Factor'!$A$11:$A$49,'2024 Adj Factor'!$B$11:$B$49,,0),0)</f>
        <v>0</v>
      </c>
    </row>
    <row r="31" spans="1:31" ht="15" x14ac:dyDescent="0.25">
      <c r="A31" s="32" t="s">
        <v>40</v>
      </c>
      <c r="B31" s="37">
        <f>+IFERROR(_xlfn.XLOOKUP($A31,'Curr Prices'!$A$11:$A$49,'Curr Prices'!B$11:B$49,,0)*_xlfn.XLOOKUP($A31,'2024 Adj Factor'!$A$11:$A$49,'2024 Adj Factor'!$B$11:$B$49,,0),0)</f>
        <v>190954.9</v>
      </c>
      <c r="C31" s="38">
        <f>+IFERROR(_xlfn.XLOOKUP($A31,'Curr Prices'!$A$11:$A$49,'Curr Prices'!C$11:C$49,,0)*_xlfn.XLOOKUP($A31,'2024 Adj Factor'!$A$11:$A$49,'2024 Adj Factor'!$B$11:$B$49,,0),0)</f>
        <v>210453.8</v>
      </c>
      <c r="D31" s="38">
        <f>+IFERROR(_xlfn.XLOOKUP($A31,'Curr Prices'!$A$11:$A$49,'Curr Prices'!D$11:D$49,,0)*_xlfn.XLOOKUP($A31,'2024 Adj Factor'!$A$11:$A$49,'2024 Adj Factor'!$B$11:$B$49,,0),0)</f>
        <v>235039.5</v>
      </c>
      <c r="E31" s="38">
        <f>+IFERROR(_xlfn.XLOOKUP($A31,'Curr Prices'!$A$11:$A$49,'Curr Prices'!E$11:E$49,,0)*_xlfn.XLOOKUP($A31,'2024 Adj Factor'!$A$11:$A$49,'2024 Adj Factor'!$B$11:$B$49,,0),0)</f>
        <v>233423.4</v>
      </c>
      <c r="F31" s="38">
        <f>+IFERROR(_xlfn.XLOOKUP($A31,'Curr Prices'!$A$11:$A$49,'Curr Prices'!F$11:F$49,,0)*_xlfn.XLOOKUP($A31,'2024 Adj Factor'!$A$11:$A$49,'2024 Adj Factor'!$B$11:$B$49,,0),0)</f>
        <v>255701.5</v>
      </c>
      <c r="G31" s="38">
        <f>+IFERROR(_xlfn.XLOOKUP($A31,'Curr Prices'!$A$11:$A$49,'Curr Prices'!G$11:G$49,,0)*_xlfn.XLOOKUP($A31,'2024 Adj Factor'!$A$11:$A$49,'2024 Adj Factor'!$B$11:$B$49,,0),0)</f>
        <v>299346.8</v>
      </c>
      <c r="H31" s="38">
        <f>+IFERROR(_xlfn.XLOOKUP($A31,'Curr Prices'!$A$11:$A$49,'Curr Prices'!H$11:H$49,,0)*_xlfn.XLOOKUP($A31,'2024 Adj Factor'!$A$11:$A$49,'2024 Adj Factor'!$B$11:$B$49,,0),0)</f>
        <v>316678.8</v>
      </c>
      <c r="I31" s="38">
        <f>+IFERROR(_xlfn.XLOOKUP($A31,'Curr Prices'!$A$11:$A$49,'Curr Prices'!I$11:I$49,,0)*_xlfn.XLOOKUP($A31,'2024 Adj Factor'!$A$11:$A$49,'2024 Adj Factor'!$B$11:$B$49,,0),0)</f>
        <v>340756.5</v>
      </c>
      <c r="J31" s="38">
        <f>+IFERROR(_xlfn.XLOOKUP($A31,'Curr Prices'!$A$11:$A$49,'Curr Prices'!J$11:J$49,,0)*_xlfn.XLOOKUP($A31,'2024 Adj Factor'!$A$11:$A$49,'2024 Adj Factor'!$B$11:$B$49,,0),0)</f>
        <v>330086.2</v>
      </c>
      <c r="K31" s="38">
        <f>+IFERROR(_xlfn.XLOOKUP($A31,'Curr Prices'!$A$11:$A$49,'Curr Prices'!K$11:K$49,,0)*_xlfn.XLOOKUP($A31,'2024 Adj Factor'!$A$11:$A$49,'2024 Adj Factor'!$B$11:$B$49,,0),0)</f>
        <v>343823.9</v>
      </c>
      <c r="L31" s="38">
        <f>+IFERROR(_xlfn.XLOOKUP($A31,'Curr Prices'!$A$11:$A$49,'Curr Prices'!L$11:L$49,,0)*_xlfn.XLOOKUP($A31,'2024 Adj Factor'!$A$11:$A$49,'2024 Adj Factor'!$B$11:$B$49,,0),0)</f>
        <v>398552.9</v>
      </c>
      <c r="M31" s="38">
        <f>+IFERROR(_xlfn.XLOOKUP($A31,'Curr Prices'!$A$11:$A$49,'Curr Prices'!M$11:M$49,,0)*_xlfn.XLOOKUP($A31,'2024 Adj Factor'!$A$11:$A$49,'2024 Adj Factor'!$B$11:$B$49,,0),0)</f>
        <v>445406.6</v>
      </c>
      <c r="N31" s="38">
        <f>+IFERROR(_xlfn.XLOOKUP($A31,'Curr Prices'!$A$11:$A$49,'Curr Prices'!N$11:N$49,,0)*_xlfn.XLOOKUP($A31,'2024 Adj Factor'!$A$11:$A$49,'2024 Adj Factor'!$B$11:$B$49,,0),0)</f>
        <v>485865.7</v>
      </c>
      <c r="O31" s="38">
        <f>+IFERROR(_xlfn.XLOOKUP($A31,'Curr Prices'!$A$11:$A$49,'Curr Prices'!O$11:O$49,,0)*_xlfn.XLOOKUP($A31,'2024 Adj Factor'!$A$11:$A$49,'2024 Adj Factor'!$B$11:$B$49,,0),0)</f>
        <v>528015.69999999995</v>
      </c>
      <c r="P31" s="38">
        <f>+IFERROR(_xlfn.XLOOKUP($A31,'Curr Prices'!$A$11:$A$49,'Curr Prices'!P$11:P$49,,0)*_xlfn.XLOOKUP($A31,'2024 Adj Factor'!$A$11:$A$49,'2024 Adj Factor'!$B$11:$B$49,,0),0)</f>
        <v>462910.6</v>
      </c>
      <c r="Q31" s="38">
        <f>+IFERROR(_xlfn.XLOOKUP($A31,'Curr Prices'!$A$11:$A$49,'Curr Prices'!Q$11:Q$49,,0)*_xlfn.XLOOKUP($A31,'2024 Adj Factor'!$A$11:$A$49,'2024 Adj Factor'!$B$11:$B$49,,0),0)</f>
        <v>527903.80000000005</v>
      </c>
      <c r="R31" s="38">
        <f>+IFERROR(_xlfn.XLOOKUP($A31,'Curr Prices'!$A$11:$A$49,'Curr Prices'!R$11:R$49,,0)*_xlfn.XLOOKUP($A31,'2024 Adj Factor'!$A$11:$A$49,'2024 Adj Factor'!$B$11:$B$49,,0),0)</f>
        <v>585819.69999999995</v>
      </c>
      <c r="S31" s="38">
        <f>+IFERROR(_xlfn.XLOOKUP($A31,'Curr Prices'!$A$11:$A$49,'Curr Prices'!S$11:S$49,,0)*_xlfn.XLOOKUP($A31,'2024 Adj Factor'!$A$11:$A$49,'2024 Adj Factor'!$B$11:$B$49,,0),0)</f>
        <v>647598.4</v>
      </c>
      <c r="T31" s="38">
        <f>+IFERROR(_xlfn.XLOOKUP($A31,'Curr Prices'!$A$11:$A$49,'Curr Prices'!T$11:T$49,,0)*_xlfn.XLOOKUP($A31,'2024 Adj Factor'!$A$11:$A$49,'2024 Adj Factor'!$B$11:$B$49,,0),0)</f>
        <v>645687.69999999995</v>
      </c>
      <c r="U31" s="38">
        <f>+IFERROR(_xlfn.XLOOKUP($A31,'Curr Prices'!$A$11:$A$49,'Curr Prices'!U$11:U$49,,0)*_xlfn.XLOOKUP($A31,'2024 Adj Factor'!$A$11:$A$49,'2024 Adj Factor'!$B$11:$B$49,,0),0)</f>
        <v>625388.4</v>
      </c>
      <c r="V31" s="38">
        <f>+IFERROR(_xlfn.XLOOKUP($A31,'Curr Prices'!$A$11:$A$49,'Curr Prices'!V$11:V$49,,0)*_xlfn.XLOOKUP($A31,'2024 Adj Factor'!$A$11:$A$49,'2024 Adj Factor'!$B$11:$B$49,,0),0)</f>
        <v>583232.5</v>
      </c>
      <c r="W31" s="38">
        <f>+IFERROR(_xlfn.XLOOKUP($A31,'Curr Prices'!$A$11:$A$49,'Curr Prices'!W$11:W$49,,0)*_xlfn.XLOOKUP($A31,'2024 Adj Factor'!$A$11:$A$49,'2024 Adj Factor'!$B$11:$B$49,,0),0)</f>
        <v>557733.69999999995</v>
      </c>
      <c r="X31" s="38">
        <f>+IFERROR(_xlfn.XLOOKUP($A31,'Curr Prices'!$A$11:$A$49,'Curr Prices'!X$11:X$49,,0)*_xlfn.XLOOKUP($A31,'2024 Adj Factor'!$A$11:$A$49,'2024 Adj Factor'!$B$11:$B$49,,0),0)</f>
        <v>586488.80000000005</v>
      </c>
      <c r="Y31" s="38">
        <f>+IFERROR(_xlfn.XLOOKUP($A31,'Curr Prices'!$A$11:$A$49,'Curr Prices'!Y$11:Y$49,,0)*_xlfn.XLOOKUP($A31,'2024 Adj Factor'!$A$11:$A$49,'2024 Adj Factor'!$B$11:$B$49,,0),0)</f>
        <v>614515.4</v>
      </c>
      <c r="Z31" s="38">
        <f>+IFERROR(_xlfn.XLOOKUP($A31,'Curr Prices'!$A$11:$A$49,'Curr Prices'!Z$11:Z$49,,0)*_xlfn.XLOOKUP($A31,'2024 Adj Factor'!$A$11:$A$49,'2024 Adj Factor'!$B$11:$B$49,,0),0)</f>
        <v>614230.1</v>
      </c>
      <c r="AA31" s="38">
        <f>+IFERROR(_xlfn.XLOOKUP($A31,'Curr Prices'!$A$11:$A$49,'Curr Prices'!AA$11:AA$49,,0)*_xlfn.XLOOKUP($A31,'2024 Adj Factor'!$A$11:$A$49,'2024 Adj Factor'!$B$11:$B$49,,0),0)</f>
        <v>545143.69999999995</v>
      </c>
      <c r="AB31" s="38">
        <f>+IFERROR(_xlfn.XLOOKUP($A31,'Curr Prices'!$A$11:$A$49,'Curr Prices'!AB$11:AB$49,,0)*_xlfn.XLOOKUP($A31,'2024 Adj Factor'!$A$11:$A$49,'2024 Adj Factor'!$B$11:$B$49,,0),0)</f>
        <v>687163.8</v>
      </c>
      <c r="AC31" s="38">
        <f>+IFERROR(_xlfn.XLOOKUP($A31,'Curr Prices'!$A$11:$A$49,'Curr Prices'!AC$11:AC$49,,0)*_xlfn.XLOOKUP($A31,'2024 Adj Factor'!$A$11:$A$49,'2024 Adj Factor'!$B$11:$B$49,,0),0)</f>
        <v>876587.5</v>
      </c>
      <c r="AD31" s="38">
        <f>+IFERROR(_xlfn.XLOOKUP($A31,'Curr Prices'!$A$11:$A$49,'Curr Prices'!AD$11:AD$49,,0)*_xlfn.XLOOKUP($A31,'2024 Adj Factor'!$A$11:$A$49,'2024 Adj Factor'!$B$11:$B$49,,0),0)</f>
        <v>736388</v>
      </c>
      <c r="AE31" s="39">
        <f>+IFERROR(_xlfn.XLOOKUP($A31,'Curr Prices'!$A$11:$A$49,'Curr Prices'!AE$11:AE$49,,0)*_xlfn.XLOOKUP($A31,'2024 Adj Factor'!$A$11:$A$49,'2024 Adj Factor'!$B$11:$B$49,,0),0)</f>
        <v>740528.4</v>
      </c>
    </row>
    <row r="32" spans="1:31" ht="15" x14ac:dyDescent="0.25">
      <c r="A32" s="32" t="s">
        <v>41</v>
      </c>
      <c r="B32" s="37">
        <f>+IFERROR(_xlfn.XLOOKUP($A32,'Curr Prices'!$A$11:$A$49,'Curr Prices'!B$11:B$49,,0)*_xlfn.XLOOKUP($A32,'2024 Adj Factor'!$A$11:$A$49,'2024 Adj Factor'!$B$11:$B$49,,0),0)</f>
        <v>531318.80000000005</v>
      </c>
      <c r="C32" s="38">
        <f>+IFERROR(_xlfn.XLOOKUP($A32,'Curr Prices'!$A$11:$A$49,'Curr Prices'!C$11:C$49,,0)*_xlfn.XLOOKUP($A32,'2024 Adj Factor'!$A$11:$A$49,'2024 Adj Factor'!$B$11:$B$49,,0),0)</f>
        <v>532674.30000000005</v>
      </c>
      <c r="D32" s="38">
        <f>+IFERROR(_xlfn.XLOOKUP($A32,'Curr Prices'!$A$11:$A$49,'Curr Prices'!D$11:D$49,,0)*_xlfn.XLOOKUP($A32,'2024 Adj Factor'!$A$11:$A$49,'2024 Adj Factor'!$B$11:$B$49,,0),0)</f>
        <v>519937.3</v>
      </c>
      <c r="E32" s="38">
        <f>+IFERROR(_xlfn.XLOOKUP($A32,'Curr Prices'!$A$11:$A$49,'Curr Prices'!E$11:E$49,,0)*_xlfn.XLOOKUP($A32,'2024 Adj Factor'!$A$11:$A$49,'2024 Adj Factor'!$B$11:$B$49,,0),0)</f>
        <v>542393.9</v>
      </c>
      <c r="F32" s="38">
        <f>+IFERROR(_xlfn.XLOOKUP($A32,'Curr Prices'!$A$11:$A$49,'Curr Prices'!F$11:F$49,,0)*_xlfn.XLOOKUP($A32,'2024 Adj Factor'!$A$11:$A$49,'2024 Adj Factor'!$B$11:$B$49,,0),0)</f>
        <v>560182.30000000005</v>
      </c>
      <c r="G32" s="38">
        <f>+IFERROR(_xlfn.XLOOKUP($A32,'Curr Prices'!$A$11:$A$49,'Curr Prices'!G$11:G$49,,0)*_xlfn.XLOOKUP($A32,'2024 Adj Factor'!$A$11:$A$49,'2024 Adj Factor'!$B$11:$B$49,,0),0)</f>
        <v>601154.80000000005</v>
      </c>
      <c r="H32" s="38">
        <f>+IFERROR(_xlfn.XLOOKUP($A32,'Curr Prices'!$A$11:$A$49,'Curr Prices'!H$11:H$49,,0)*_xlfn.XLOOKUP($A32,'2024 Adj Factor'!$A$11:$A$49,'2024 Adj Factor'!$B$11:$B$49,,0),0)</f>
        <v>633334.9</v>
      </c>
      <c r="I32" s="38">
        <f>+IFERROR(_xlfn.XLOOKUP($A32,'Curr Prices'!$A$11:$A$49,'Curr Prices'!I$11:I$49,,0)*_xlfn.XLOOKUP($A32,'2024 Adj Factor'!$A$11:$A$49,'2024 Adj Factor'!$B$11:$B$49,,0),0)</f>
        <v>659186.1</v>
      </c>
      <c r="J32" s="38">
        <f>+IFERROR(_xlfn.XLOOKUP($A32,'Curr Prices'!$A$11:$A$49,'Curr Prices'!J$11:J$49,,0)*_xlfn.XLOOKUP($A32,'2024 Adj Factor'!$A$11:$A$49,'2024 Adj Factor'!$B$11:$B$49,,0),0)</f>
        <v>638594.80000000005</v>
      </c>
      <c r="K32" s="38">
        <f>+IFERROR(_xlfn.XLOOKUP($A32,'Curr Prices'!$A$11:$A$49,'Curr Prices'!K$11:K$49,,0)*_xlfn.XLOOKUP($A32,'2024 Adj Factor'!$A$11:$A$49,'2024 Adj Factor'!$B$11:$B$49,,0),0)</f>
        <v>655735.19999999995</v>
      </c>
      <c r="L32" s="38">
        <f>+IFERROR(_xlfn.XLOOKUP($A32,'Curr Prices'!$A$11:$A$49,'Curr Prices'!L$11:L$49,,0)*_xlfn.XLOOKUP($A32,'2024 Adj Factor'!$A$11:$A$49,'2024 Adj Factor'!$B$11:$B$49,,0),0)</f>
        <v>680197.7</v>
      </c>
      <c r="M32" s="38">
        <f>+IFERROR(_xlfn.XLOOKUP($A32,'Curr Prices'!$A$11:$A$49,'Curr Prices'!M$11:M$49,,0)*_xlfn.XLOOKUP($A32,'2024 Adj Factor'!$A$11:$A$49,'2024 Adj Factor'!$B$11:$B$49,,0),0)</f>
        <v>713784.2</v>
      </c>
      <c r="N32" s="38">
        <f>+IFERROR(_xlfn.XLOOKUP($A32,'Curr Prices'!$A$11:$A$49,'Curr Prices'!N$11:N$49,,0)*_xlfn.XLOOKUP($A32,'2024 Adj Factor'!$A$11:$A$49,'2024 Adj Factor'!$B$11:$B$49,,0),0)</f>
        <v>732159.9</v>
      </c>
      <c r="O32" s="38">
        <f>+IFERROR(_xlfn.XLOOKUP($A32,'Curr Prices'!$A$11:$A$49,'Curr Prices'!O$11:O$49,,0)*_xlfn.XLOOKUP($A32,'2024 Adj Factor'!$A$11:$A$49,'2024 Adj Factor'!$B$11:$B$49,,0),0)</f>
        <v>799076</v>
      </c>
      <c r="P32" s="38">
        <f>+IFERROR(_xlfn.XLOOKUP($A32,'Curr Prices'!$A$11:$A$49,'Curr Prices'!P$11:P$49,,0)*_xlfn.XLOOKUP($A32,'2024 Adj Factor'!$A$11:$A$49,'2024 Adj Factor'!$B$11:$B$49,,0),0)</f>
        <v>820626.2</v>
      </c>
      <c r="Q32" s="38">
        <f>+IFERROR(_xlfn.XLOOKUP($A32,'Curr Prices'!$A$11:$A$49,'Curr Prices'!Q$11:Q$49,,0)*_xlfn.XLOOKUP($A32,'2024 Adj Factor'!$A$11:$A$49,'2024 Adj Factor'!$B$11:$B$49,,0),0)</f>
        <v>920985.4</v>
      </c>
      <c r="R32" s="38">
        <f>+IFERROR(_xlfn.XLOOKUP($A32,'Curr Prices'!$A$11:$A$49,'Curr Prices'!R$11:R$49,,0)*_xlfn.XLOOKUP($A32,'2024 Adj Factor'!$A$11:$A$49,'2024 Adj Factor'!$B$11:$B$49,,0),0)</f>
        <v>1047296.9</v>
      </c>
      <c r="S32" s="38">
        <f>+IFERROR(_xlfn.XLOOKUP($A32,'Curr Prices'!$A$11:$A$49,'Curr Prices'!S$11:S$49,,0)*_xlfn.XLOOKUP($A32,'2024 Adj Factor'!$A$11:$A$49,'2024 Adj Factor'!$B$11:$B$49,,0),0)</f>
        <v>1094687.8</v>
      </c>
      <c r="T32" s="38">
        <f>+IFERROR(_xlfn.XLOOKUP($A32,'Curr Prices'!$A$11:$A$49,'Curr Prices'!T$11:T$49,,0)*_xlfn.XLOOKUP($A32,'2024 Adj Factor'!$A$11:$A$49,'2024 Adj Factor'!$B$11:$B$49,,0),0)</f>
        <v>1087195.6000000001</v>
      </c>
      <c r="U32" s="38">
        <f>+IFERROR(_xlfn.XLOOKUP($A32,'Curr Prices'!$A$11:$A$49,'Curr Prices'!U$11:U$49,,0)*_xlfn.XLOOKUP($A32,'2024 Adj Factor'!$A$11:$A$49,'2024 Adj Factor'!$B$11:$B$49,,0),0)</f>
        <v>1118684.2</v>
      </c>
      <c r="V32" s="38">
        <f>+IFERROR(_xlfn.XLOOKUP($A32,'Curr Prices'!$A$11:$A$49,'Curr Prices'!V$11:V$49,,0)*_xlfn.XLOOKUP($A32,'2024 Adj Factor'!$A$11:$A$49,'2024 Adj Factor'!$B$11:$B$49,,0),0)</f>
        <v>1263984.1000000001</v>
      </c>
      <c r="W32" s="38">
        <f>+IFERROR(_xlfn.XLOOKUP($A32,'Curr Prices'!$A$11:$A$49,'Curr Prices'!W$11:W$49,,0)*_xlfn.XLOOKUP($A32,'2024 Adj Factor'!$A$11:$A$49,'2024 Adj Factor'!$B$11:$B$49,,0),0)</f>
        <v>1254465.3999999999</v>
      </c>
      <c r="X32" s="38">
        <f>+IFERROR(_xlfn.XLOOKUP($A32,'Curr Prices'!$A$11:$A$49,'Curr Prices'!X$11:X$49,,0)*_xlfn.XLOOKUP($A32,'2024 Adj Factor'!$A$11:$A$49,'2024 Adj Factor'!$B$11:$B$49,,0),0)</f>
        <v>1266488.7</v>
      </c>
      <c r="Y32" s="38">
        <f>+IFERROR(_xlfn.XLOOKUP($A32,'Curr Prices'!$A$11:$A$49,'Curr Prices'!Y$11:Y$49,,0)*_xlfn.XLOOKUP($A32,'2024 Adj Factor'!$A$11:$A$49,'2024 Adj Factor'!$B$11:$B$49,,0),0)</f>
        <v>1282274</v>
      </c>
      <c r="Z32" s="38">
        <f>+IFERROR(_xlfn.XLOOKUP($A32,'Curr Prices'!$A$11:$A$49,'Curr Prices'!Z$11:Z$49,,0)*_xlfn.XLOOKUP($A32,'2024 Adj Factor'!$A$11:$A$49,'2024 Adj Factor'!$B$11:$B$49,,0),0)</f>
        <v>1358918.4</v>
      </c>
      <c r="AA32" s="38">
        <f>+IFERROR(_xlfn.XLOOKUP($A32,'Curr Prices'!$A$11:$A$49,'Curr Prices'!AA$11:AA$49,,0)*_xlfn.XLOOKUP($A32,'2024 Adj Factor'!$A$11:$A$49,'2024 Adj Factor'!$B$11:$B$49,,0),0)</f>
        <v>1347336.8</v>
      </c>
      <c r="AB32" s="38">
        <f>+IFERROR(_xlfn.XLOOKUP($A32,'Curr Prices'!$A$11:$A$49,'Curr Prices'!AB$11:AB$49,,0)*_xlfn.XLOOKUP($A32,'2024 Adj Factor'!$A$11:$A$49,'2024 Adj Factor'!$B$11:$B$49,,0),0)</f>
        <v>1514649.3</v>
      </c>
      <c r="AC32" s="38">
        <f>+IFERROR(_xlfn.XLOOKUP($A32,'Curr Prices'!$A$11:$A$49,'Curr Prices'!AC$11:AC$49,,0)*_xlfn.XLOOKUP($A32,'2024 Adj Factor'!$A$11:$A$49,'2024 Adj Factor'!$B$11:$B$49,,0),0)</f>
        <v>1795339.9</v>
      </c>
      <c r="AD32" s="38">
        <f>+IFERROR(_xlfn.XLOOKUP($A32,'Curr Prices'!$A$11:$A$49,'Curr Prices'!AD$11:AD$49,,0)*_xlfn.XLOOKUP($A32,'2024 Adj Factor'!$A$11:$A$49,'2024 Adj Factor'!$B$11:$B$49,,0),0)</f>
        <v>1868804.1</v>
      </c>
      <c r="AE32" s="39">
        <f>+IFERROR(_xlfn.XLOOKUP($A32,'Curr Prices'!$A$11:$A$49,'Curr Prices'!AE$11:AE$49,,0)*_xlfn.XLOOKUP($A32,'2024 Adj Factor'!$A$11:$A$49,'2024 Adj Factor'!$B$11:$B$49,,0),0)</f>
        <v>0</v>
      </c>
    </row>
    <row r="33" spans="1:31" ht="15" x14ac:dyDescent="0.25">
      <c r="A33" s="32" t="s">
        <v>42</v>
      </c>
      <c r="B33" s="37">
        <f>+IFERROR(_xlfn.XLOOKUP($A33,'Curr Prices'!$A$11:$A$49,'Curr Prices'!B$11:B$49,,0)*_xlfn.XLOOKUP($A33,'2024 Adj Factor'!$A$11:$A$49,'2024 Adj Factor'!$B$11:$B$49,,0),0)</f>
        <v>1729300.5</v>
      </c>
      <c r="C33" s="38">
        <f>+IFERROR(_xlfn.XLOOKUP($A33,'Curr Prices'!$A$11:$A$49,'Curr Prices'!C$11:C$49,,0)*_xlfn.XLOOKUP($A33,'2024 Adj Factor'!$A$11:$A$49,'2024 Adj Factor'!$B$11:$B$49,,0),0)</f>
        <v>1880723.8</v>
      </c>
      <c r="D33" s="38">
        <f>+IFERROR(_xlfn.XLOOKUP($A33,'Curr Prices'!$A$11:$A$49,'Curr Prices'!D$11:D$49,,0)*_xlfn.XLOOKUP($A33,'2024 Adj Factor'!$A$11:$A$49,'2024 Adj Factor'!$B$11:$B$49,,0),0)</f>
        <v>2325497.6</v>
      </c>
      <c r="E33" s="38">
        <f>+IFERROR(_xlfn.XLOOKUP($A33,'Curr Prices'!$A$11:$A$49,'Curr Prices'!E$11:E$49,,0)*_xlfn.XLOOKUP($A33,'2024 Adj Factor'!$A$11:$A$49,'2024 Adj Factor'!$B$11:$B$49,,0),0)</f>
        <v>2504200</v>
      </c>
      <c r="F33" s="38">
        <f>+IFERROR(_xlfn.XLOOKUP($A33,'Curr Prices'!$A$11:$A$49,'Curr Prices'!F$11:F$49,,0)*_xlfn.XLOOKUP($A33,'2024 Adj Factor'!$A$11:$A$49,'2024 Adj Factor'!$B$11:$B$49,,0),0)</f>
        <v>2671635.2000000002</v>
      </c>
      <c r="G33" s="38">
        <f>+IFERROR(_xlfn.XLOOKUP($A33,'Curr Prices'!$A$11:$A$49,'Curr Prices'!G$11:G$49,,0)*_xlfn.XLOOKUP($A33,'2024 Adj Factor'!$A$11:$A$49,'2024 Adj Factor'!$B$11:$B$49,,0),0)</f>
        <v>3038795.4</v>
      </c>
      <c r="H33" s="38">
        <f>+IFERROR(_xlfn.XLOOKUP($A33,'Curr Prices'!$A$11:$A$49,'Curr Prices'!H$11:H$49,,0)*_xlfn.XLOOKUP($A33,'2024 Adj Factor'!$A$11:$A$49,'2024 Adj Factor'!$B$11:$B$49,,0),0)</f>
        <v>3107739.6</v>
      </c>
      <c r="I33" s="38">
        <f>+IFERROR(_xlfn.XLOOKUP($A33,'Curr Prices'!$A$11:$A$49,'Curr Prices'!I$11:I$49,,0)*_xlfn.XLOOKUP($A33,'2024 Adj Factor'!$A$11:$A$49,'2024 Adj Factor'!$B$11:$B$49,,0),0)</f>
        <v>3203600.3</v>
      </c>
      <c r="J33" s="38">
        <f>+IFERROR(_xlfn.XLOOKUP($A33,'Curr Prices'!$A$11:$A$49,'Curr Prices'!J$11:J$49,,0)*_xlfn.XLOOKUP($A33,'2024 Adj Factor'!$A$11:$A$49,'2024 Adj Factor'!$B$11:$B$49,,0),0)</f>
        <v>3056198.8</v>
      </c>
      <c r="K33" s="38">
        <f>+IFERROR(_xlfn.XLOOKUP($A33,'Curr Prices'!$A$11:$A$49,'Curr Prices'!K$11:K$49,,0)*_xlfn.XLOOKUP($A33,'2024 Adj Factor'!$A$11:$A$49,'2024 Adj Factor'!$B$11:$B$49,,0),0)</f>
        <v>3289218.5</v>
      </c>
      <c r="L33" s="38">
        <f>+IFERROR(_xlfn.XLOOKUP($A33,'Curr Prices'!$A$11:$A$49,'Curr Prices'!L$11:L$49,,0)*_xlfn.XLOOKUP($A33,'2024 Adj Factor'!$A$11:$A$49,'2024 Adj Factor'!$B$11:$B$49,,0),0)</f>
        <v>3420672.7</v>
      </c>
      <c r="M33" s="38">
        <f>+IFERROR(_xlfn.XLOOKUP($A33,'Curr Prices'!$A$11:$A$49,'Curr Prices'!M$11:M$49,,0)*_xlfn.XLOOKUP($A33,'2024 Adj Factor'!$A$11:$A$49,'2024 Adj Factor'!$B$11:$B$49,,0),0)</f>
        <v>3684785.8</v>
      </c>
      <c r="N33" s="38">
        <f>+IFERROR(_xlfn.XLOOKUP($A33,'Curr Prices'!$A$11:$A$49,'Curr Prices'!N$11:N$49,,0)*_xlfn.XLOOKUP($A33,'2024 Adj Factor'!$A$11:$A$49,'2024 Adj Factor'!$B$11:$B$49,,0),0)</f>
        <v>3890988.4</v>
      </c>
      <c r="O33" s="38">
        <f>+IFERROR(_xlfn.XLOOKUP($A33,'Curr Prices'!$A$11:$A$49,'Curr Prices'!O$11:O$49,,0)*_xlfn.XLOOKUP($A33,'2024 Adj Factor'!$A$11:$A$49,'2024 Adj Factor'!$B$11:$B$49,,0),0)</f>
        <v>3458468.1</v>
      </c>
      <c r="P33" s="38">
        <f>+IFERROR(_xlfn.XLOOKUP($A33,'Curr Prices'!$A$11:$A$49,'Curr Prices'!P$11:P$49,,0)*_xlfn.XLOOKUP($A33,'2024 Adj Factor'!$A$11:$A$49,'2024 Adj Factor'!$B$11:$B$49,,0),0)</f>
        <v>3024495.5</v>
      </c>
      <c r="Q33" s="38">
        <f>+IFERROR(_xlfn.XLOOKUP($A33,'Curr Prices'!$A$11:$A$49,'Curr Prices'!Q$11:Q$49,,0)*_xlfn.XLOOKUP($A33,'2024 Adj Factor'!$A$11:$A$49,'2024 Adj Factor'!$B$11:$B$49,,0),0)</f>
        <v>3244557.3</v>
      </c>
      <c r="R33" s="38">
        <f>+IFERROR(_xlfn.XLOOKUP($A33,'Curr Prices'!$A$11:$A$49,'Curr Prices'!R$11:R$49,,0)*_xlfn.XLOOKUP($A33,'2024 Adj Factor'!$A$11:$A$49,'2024 Adj Factor'!$B$11:$B$49,,0),0)</f>
        <v>3317768.6</v>
      </c>
      <c r="S33" s="38">
        <f>+IFERROR(_xlfn.XLOOKUP($A33,'Curr Prices'!$A$11:$A$49,'Curr Prices'!S$11:S$49,,0)*_xlfn.XLOOKUP($A33,'2024 Adj Factor'!$A$11:$A$49,'2024 Adj Factor'!$B$11:$B$49,,0),0)</f>
        <v>3649882.2</v>
      </c>
      <c r="T33" s="38">
        <f>+IFERROR(_xlfn.XLOOKUP($A33,'Curr Prices'!$A$11:$A$49,'Curr Prices'!T$11:T$49,,0)*_xlfn.XLOOKUP($A33,'2024 Adj Factor'!$A$11:$A$49,'2024 Adj Factor'!$B$11:$B$49,,0),0)</f>
        <v>3632427.1</v>
      </c>
      <c r="U33" s="38">
        <f>+IFERROR(_xlfn.XLOOKUP($A33,'Curr Prices'!$A$11:$A$49,'Curr Prices'!U$11:U$49,,0)*_xlfn.XLOOKUP($A33,'2024 Adj Factor'!$A$11:$A$49,'2024 Adj Factor'!$B$11:$B$49,,0),0)</f>
        <v>3954330.6</v>
      </c>
      <c r="V33" s="38">
        <f>+IFERROR(_xlfn.XLOOKUP($A33,'Curr Prices'!$A$11:$A$49,'Curr Prices'!V$11:V$49,,0)*_xlfn.XLOOKUP($A33,'2024 Adj Factor'!$A$11:$A$49,'2024 Adj Factor'!$B$11:$B$49,,0),0)</f>
        <v>4489000.3</v>
      </c>
      <c r="W33" s="38">
        <f>+IFERROR(_xlfn.XLOOKUP($A33,'Curr Prices'!$A$11:$A$49,'Curr Prices'!W$11:W$49,,0)*_xlfn.XLOOKUP($A33,'2024 Adj Factor'!$A$11:$A$49,'2024 Adj Factor'!$B$11:$B$49,,0),0)</f>
        <v>4111656.2</v>
      </c>
      <c r="X33" s="38">
        <f>+IFERROR(_xlfn.XLOOKUP($A33,'Curr Prices'!$A$11:$A$49,'Curr Prices'!X$11:X$49,,0)*_xlfn.XLOOKUP($A33,'2024 Adj Factor'!$A$11:$A$49,'2024 Adj Factor'!$B$11:$B$49,,0),0)</f>
        <v>4007594.6</v>
      </c>
      <c r="Y33" s="38">
        <f>+IFERROR(_xlfn.XLOOKUP($A33,'Curr Prices'!$A$11:$A$49,'Curr Prices'!Y$11:Y$49,,0)*_xlfn.XLOOKUP($A33,'2024 Adj Factor'!$A$11:$A$49,'2024 Adj Factor'!$B$11:$B$49,,0),0)</f>
        <v>4123911.8</v>
      </c>
      <c r="Z33" s="38">
        <f>+IFERROR(_xlfn.XLOOKUP($A33,'Curr Prices'!$A$11:$A$49,'Curr Prices'!Z$11:Z$49,,0)*_xlfn.XLOOKUP($A33,'2024 Adj Factor'!$A$11:$A$49,'2024 Adj Factor'!$B$11:$B$49,,0),0)</f>
        <v>4285954.2</v>
      </c>
      <c r="AA33" s="38">
        <f>+IFERROR(_xlfn.XLOOKUP($A33,'Curr Prices'!$A$11:$A$49,'Curr Prices'!AA$11:AA$49,,0)*_xlfn.XLOOKUP($A33,'2024 Adj Factor'!$A$11:$A$49,'2024 Adj Factor'!$B$11:$B$49,,0),0)</f>
        <v>0</v>
      </c>
      <c r="AB33" s="38">
        <f>+IFERROR(_xlfn.XLOOKUP($A33,'Curr Prices'!$A$11:$A$49,'Curr Prices'!AB$11:AB$49,,0)*_xlfn.XLOOKUP($A33,'2024 Adj Factor'!$A$11:$A$49,'2024 Adj Factor'!$B$11:$B$49,,0),0)</f>
        <v>0</v>
      </c>
      <c r="AC33" s="38">
        <f>+IFERROR(_xlfn.XLOOKUP($A33,'Curr Prices'!$A$11:$A$49,'Curr Prices'!AC$11:AC$49,,0)*_xlfn.XLOOKUP($A33,'2024 Adj Factor'!$A$11:$A$49,'2024 Adj Factor'!$B$11:$B$49,,0),0)</f>
        <v>0</v>
      </c>
      <c r="AD33" s="38">
        <f>+IFERROR(_xlfn.XLOOKUP($A33,'Curr Prices'!$A$11:$A$49,'Curr Prices'!AD$11:AD$49,,0)*_xlfn.XLOOKUP($A33,'2024 Adj Factor'!$A$11:$A$49,'2024 Adj Factor'!$B$11:$B$49,,0),0)</f>
        <v>0</v>
      </c>
      <c r="AE33" s="39">
        <f>+IFERROR(_xlfn.XLOOKUP($A33,'Curr Prices'!$A$11:$A$49,'Curr Prices'!AE$11:AE$49,,0)*_xlfn.XLOOKUP($A33,'2024 Adj Factor'!$A$11:$A$49,'2024 Adj Factor'!$B$11:$B$49,,0),0)</f>
        <v>0</v>
      </c>
    </row>
    <row r="34" spans="1:31" ht="15" x14ac:dyDescent="0.25">
      <c r="A34" s="32" t="s">
        <v>43</v>
      </c>
      <c r="B34" s="37">
        <f>+IFERROR(_xlfn.XLOOKUP($A34,'Curr Prices'!$A$11:$A$49,'Curr Prices'!B$11:B$49,,0)*_xlfn.XLOOKUP($A34,'2024 Adj Factor'!$A$11:$A$49,'2024 Adj Factor'!$B$11:$B$49,,0),0)</f>
        <v>0</v>
      </c>
      <c r="C34" s="38">
        <f>+IFERROR(_xlfn.XLOOKUP($A34,'Curr Prices'!$A$11:$A$49,'Curr Prices'!C$11:C$49,,0)*_xlfn.XLOOKUP($A34,'2024 Adj Factor'!$A$11:$A$49,'2024 Adj Factor'!$B$11:$B$49,,0),0)</f>
        <v>0</v>
      </c>
      <c r="D34" s="38">
        <f>+IFERROR(_xlfn.XLOOKUP($A34,'Curr Prices'!$A$11:$A$49,'Curr Prices'!D$11:D$49,,0)*_xlfn.XLOOKUP($A34,'2024 Adj Factor'!$A$11:$A$49,'2024 Adj Factor'!$B$11:$B$49,,0),0)</f>
        <v>0</v>
      </c>
      <c r="E34" s="38">
        <f>+IFERROR(_xlfn.XLOOKUP($A34,'Curr Prices'!$A$11:$A$49,'Curr Prices'!E$11:E$49,,0)*_xlfn.XLOOKUP($A34,'2024 Adj Factor'!$A$11:$A$49,'2024 Adj Factor'!$B$11:$B$49,,0),0)</f>
        <v>0</v>
      </c>
      <c r="F34" s="38">
        <f>+IFERROR(_xlfn.XLOOKUP($A34,'Curr Prices'!$A$11:$A$49,'Curr Prices'!F$11:F$49,,0)*_xlfn.XLOOKUP($A34,'2024 Adj Factor'!$A$11:$A$49,'2024 Adj Factor'!$B$11:$B$49,,0),0)</f>
        <v>0</v>
      </c>
      <c r="G34" s="38">
        <f>+IFERROR(_xlfn.XLOOKUP($A34,'Curr Prices'!$A$11:$A$49,'Curr Prices'!G$11:G$49,,0)*_xlfn.XLOOKUP($A34,'2024 Adj Factor'!$A$11:$A$49,'2024 Adj Factor'!$B$11:$B$49,,0),0)</f>
        <v>10535.3</v>
      </c>
      <c r="H34" s="38">
        <f>+IFERROR(_xlfn.XLOOKUP($A34,'Curr Prices'!$A$11:$A$49,'Curr Prices'!H$11:H$49,,0)*_xlfn.XLOOKUP($A34,'2024 Adj Factor'!$A$11:$A$49,'2024 Adj Factor'!$B$11:$B$49,,0),0)</f>
        <v>11056.4</v>
      </c>
      <c r="I34" s="38">
        <f>+IFERROR(_xlfn.XLOOKUP($A34,'Curr Prices'!$A$11:$A$49,'Curr Prices'!I$11:I$49,,0)*_xlfn.XLOOKUP($A34,'2024 Adj Factor'!$A$11:$A$49,'2024 Adj Factor'!$B$11:$B$49,,0),0)</f>
        <v>11940.5</v>
      </c>
      <c r="J34" s="38">
        <f>+IFERROR(_xlfn.XLOOKUP($A34,'Curr Prices'!$A$11:$A$49,'Curr Prices'!J$11:J$49,,0)*_xlfn.XLOOKUP($A34,'2024 Adj Factor'!$A$11:$A$49,'2024 Adj Factor'!$B$11:$B$49,,0),0)</f>
        <v>12462.1</v>
      </c>
      <c r="K34" s="38">
        <f>+IFERROR(_xlfn.XLOOKUP($A34,'Curr Prices'!$A$11:$A$49,'Curr Prices'!K$11:K$49,,0)*_xlfn.XLOOKUP($A34,'2024 Adj Factor'!$A$11:$A$49,'2024 Adj Factor'!$B$11:$B$49,,0),0)</f>
        <v>13796.3</v>
      </c>
      <c r="L34" s="38">
        <f>+IFERROR(_xlfn.XLOOKUP($A34,'Curr Prices'!$A$11:$A$49,'Curr Prices'!L$11:L$49,,0)*_xlfn.XLOOKUP($A34,'2024 Adj Factor'!$A$11:$A$49,'2024 Adj Factor'!$B$11:$B$49,,0),0)</f>
        <v>15972.9</v>
      </c>
      <c r="M34" s="38">
        <f>+IFERROR(_xlfn.XLOOKUP($A34,'Curr Prices'!$A$11:$A$49,'Curr Prices'!M$11:M$49,,0)*_xlfn.XLOOKUP($A34,'2024 Adj Factor'!$A$11:$A$49,'2024 Adj Factor'!$B$11:$B$49,,0),0)</f>
        <v>17258.099999999999</v>
      </c>
      <c r="N34" s="38">
        <f>+IFERROR(_xlfn.XLOOKUP($A34,'Curr Prices'!$A$11:$A$49,'Curr Prices'!N$11:N$49,,0)*_xlfn.XLOOKUP($A34,'2024 Adj Factor'!$A$11:$A$49,'2024 Adj Factor'!$B$11:$B$49,,0),0)</f>
        <v>19635.599999999999</v>
      </c>
      <c r="O34" s="38">
        <f>+IFERROR(_xlfn.XLOOKUP($A34,'Curr Prices'!$A$11:$A$49,'Curr Prices'!O$11:O$49,,0)*_xlfn.XLOOKUP($A34,'2024 Adj Factor'!$A$11:$A$49,'2024 Adj Factor'!$B$11:$B$49,,0),0)</f>
        <v>22904</v>
      </c>
      <c r="P34" s="38">
        <f>+IFERROR(_xlfn.XLOOKUP($A34,'Curr Prices'!$A$11:$A$49,'Curr Prices'!P$11:P$49,,0)*_xlfn.XLOOKUP($A34,'2024 Adj Factor'!$A$11:$A$49,'2024 Adj Factor'!$B$11:$B$49,,0),0)</f>
        <v>21173</v>
      </c>
      <c r="Q34" s="38">
        <f>+IFERROR(_xlfn.XLOOKUP($A34,'Curr Prices'!$A$11:$A$49,'Curr Prices'!Q$11:Q$49,,0)*_xlfn.XLOOKUP($A34,'2024 Adj Factor'!$A$11:$A$49,'2024 Adj Factor'!$B$11:$B$49,,0),0)</f>
        <v>22287.3</v>
      </c>
      <c r="R34" s="38">
        <f>+IFERROR(_xlfn.XLOOKUP($A34,'Curr Prices'!$A$11:$A$49,'Curr Prices'!R$11:R$49,,0)*_xlfn.XLOOKUP($A34,'2024 Adj Factor'!$A$11:$A$49,'2024 Adj Factor'!$B$11:$B$49,,0),0)</f>
        <v>23661.9</v>
      </c>
      <c r="S34" s="38">
        <f>+IFERROR(_xlfn.XLOOKUP($A34,'Curr Prices'!$A$11:$A$49,'Curr Prices'!S$11:S$49,,0)*_xlfn.XLOOKUP($A34,'2024 Adj Factor'!$A$11:$A$49,'2024 Adj Factor'!$B$11:$B$49,,0),0)</f>
        <v>23666.1</v>
      </c>
      <c r="T34" s="38">
        <f>+IFERROR(_xlfn.XLOOKUP($A34,'Curr Prices'!$A$11:$A$49,'Curr Prices'!T$11:T$49,,0)*_xlfn.XLOOKUP($A34,'2024 Adj Factor'!$A$11:$A$49,'2024 Adj Factor'!$B$11:$B$49,,0),0)</f>
        <v>24149.4</v>
      </c>
      <c r="U34" s="38">
        <f>+IFERROR(_xlfn.XLOOKUP($A34,'Curr Prices'!$A$11:$A$49,'Curr Prices'!U$11:U$49,,0)*_xlfn.XLOOKUP($A34,'2024 Adj Factor'!$A$11:$A$49,'2024 Adj Factor'!$B$11:$B$49,,0),0)</f>
        <v>24478.3</v>
      </c>
      <c r="V34" s="38">
        <f>+IFERROR(_xlfn.XLOOKUP($A34,'Curr Prices'!$A$11:$A$49,'Curr Prices'!V$11:V$49,,0)*_xlfn.XLOOKUP($A34,'2024 Adj Factor'!$A$11:$A$49,'2024 Adj Factor'!$B$11:$B$49,,0),0)</f>
        <v>25346.9</v>
      </c>
      <c r="W34" s="38">
        <f>+IFERROR(_xlfn.XLOOKUP($A34,'Curr Prices'!$A$11:$A$49,'Curr Prices'!W$11:W$49,,0)*_xlfn.XLOOKUP($A34,'2024 Adj Factor'!$A$11:$A$49,'2024 Adj Factor'!$B$11:$B$49,,0),0)</f>
        <v>26585.599999999999</v>
      </c>
      <c r="X34" s="38">
        <f>+IFERROR(_xlfn.XLOOKUP($A34,'Curr Prices'!$A$11:$A$49,'Curr Prices'!X$11:X$49,,0)*_xlfn.XLOOKUP($A34,'2024 Adj Factor'!$A$11:$A$49,'2024 Adj Factor'!$B$11:$B$49,,0),0)</f>
        <v>28171</v>
      </c>
      <c r="Y34" s="38">
        <f>+IFERROR(_xlfn.XLOOKUP($A34,'Curr Prices'!$A$11:$A$49,'Curr Prices'!Y$11:Y$49,,0)*_xlfn.XLOOKUP($A34,'2024 Adj Factor'!$A$11:$A$49,'2024 Adj Factor'!$B$11:$B$49,,0),0)</f>
        <v>29392</v>
      </c>
      <c r="Z34" s="38">
        <f>+IFERROR(_xlfn.XLOOKUP($A34,'Curr Prices'!$A$11:$A$49,'Curr Prices'!Z$11:Z$49,,0)*_xlfn.XLOOKUP($A34,'2024 Adj Factor'!$A$11:$A$49,'2024 Adj Factor'!$B$11:$B$49,,0),0)</f>
        <v>30233.599999999999</v>
      </c>
      <c r="AA34" s="38">
        <f>+IFERROR(_xlfn.XLOOKUP($A34,'Curr Prices'!$A$11:$A$49,'Curr Prices'!AA$11:AA$49,,0)*_xlfn.XLOOKUP($A34,'2024 Adj Factor'!$A$11:$A$49,'2024 Adj Factor'!$B$11:$B$49,,0),0)</f>
        <v>28892.9</v>
      </c>
      <c r="AB34" s="38">
        <f>+IFERROR(_xlfn.XLOOKUP($A34,'Curr Prices'!$A$11:$A$49,'Curr Prices'!AB$11:AB$49,,0)*_xlfn.XLOOKUP($A34,'2024 Adj Factor'!$A$11:$A$49,'2024 Adj Factor'!$B$11:$B$49,,0),0)</f>
        <v>32745.1</v>
      </c>
      <c r="AC34" s="38">
        <f>+IFERROR(_xlfn.XLOOKUP($A34,'Curr Prices'!$A$11:$A$49,'Curr Prices'!AC$11:AC$49,,0)*_xlfn.XLOOKUP($A34,'2024 Adj Factor'!$A$11:$A$49,'2024 Adj Factor'!$B$11:$B$49,,0),0)</f>
        <v>39106.199999999997</v>
      </c>
      <c r="AD34" s="38">
        <f>+IFERROR(_xlfn.XLOOKUP($A34,'Curr Prices'!$A$11:$A$49,'Curr Prices'!AD$11:AD$49,,0)*_xlfn.XLOOKUP($A34,'2024 Adj Factor'!$A$11:$A$49,'2024 Adj Factor'!$B$11:$B$49,,0),0)</f>
        <v>41433.699999999997</v>
      </c>
      <c r="AE34" s="39">
        <f>+IFERROR(_xlfn.XLOOKUP($A34,'Curr Prices'!$A$11:$A$49,'Curr Prices'!AE$11:AE$49,,0)*_xlfn.XLOOKUP($A34,'2024 Adj Factor'!$A$11:$A$49,'2024 Adj Factor'!$B$11:$B$49,,0),0)</f>
        <v>0</v>
      </c>
    </row>
    <row r="35" spans="1:31" ht="15" x14ac:dyDescent="0.25">
      <c r="A35" s="32" t="s">
        <v>44</v>
      </c>
      <c r="B35" s="37">
        <f>+IFERROR(_xlfn.XLOOKUP($A35,'Curr Prices'!$A$11:$A$49,'Curr Prices'!B$11:B$49,,0)*_xlfn.XLOOKUP($A35,'2024 Adj Factor'!$A$11:$A$49,'2024 Adj Factor'!$B$11:$B$49,,0),0)</f>
        <v>0</v>
      </c>
      <c r="C35" s="38">
        <f>+IFERROR(_xlfn.XLOOKUP($A35,'Curr Prices'!$A$11:$A$49,'Curr Prices'!C$11:C$49,,0)*_xlfn.XLOOKUP($A35,'2024 Adj Factor'!$A$11:$A$49,'2024 Adj Factor'!$B$11:$B$49,,0),0)</f>
        <v>0</v>
      </c>
      <c r="D35" s="38">
        <f>+IFERROR(_xlfn.XLOOKUP($A35,'Curr Prices'!$A$11:$A$49,'Curr Prices'!D$11:D$49,,0)*_xlfn.XLOOKUP($A35,'2024 Adj Factor'!$A$11:$A$49,'2024 Adj Factor'!$B$11:$B$49,,0),0)</f>
        <v>0</v>
      </c>
      <c r="E35" s="38">
        <f>+IFERROR(_xlfn.XLOOKUP($A35,'Curr Prices'!$A$11:$A$49,'Curr Prices'!E$11:E$49,,0)*_xlfn.XLOOKUP($A35,'2024 Adj Factor'!$A$11:$A$49,'2024 Adj Factor'!$B$11:$B$49,,0),0)</f>
        <v>0</v>
      </c>
      <c r="F35" s="38">
        <f>+IFERROR(_xlfn.XLOOKUP($A35,'Curr Prices'!$A$11:$A$49,'Curr Prices'!F$11:F$49,,0)*_xlfn.XLOOKUP($A35,'2024 Adj Factor'!$A$11:$A$49,'2024 Adj Factor'!$B$11:$B$49,,0),0)</f>
        <v>0</v>
      </c>
      <c r="G35" s="38">
        <f>+IFERROR(_xlfn.XLOOKUP($A35,'Curr Prices'!$A$11:$A$49,'Curr Prices'!G$11:G$49,,0)*_xlfn.XLOOKUP($A35,'2024 Adj Factor'!$A$11:$A$49,'2024 Adj Factor'!$B$11:$B$49,,0),0)</f>
        <v>0</v>
      </c>
      <c r="H35" s="38">
        <f>+IFERROR(_xlfn.XLOOKUP($A35,'Curr Prices'!$A$11:$A$49,'Curr Prices'!H$11:H$49,,0)*_xlfn.XLOOKUP($A35,'2024 Adj Factor'!$A$11:$A$49,'2024 Adj Factor'!$B$11:$B$49,,0),0)</f>
        <v>0</v>
      </c>
      <c r="I35" s="38">
        <f>+IFERROR(_xlfn.XLOOKUP($A35,'Curr Prices'!$A$11:$A$49,'Curr Prices'!I$11:I$49,,0)*_xlfn.XLOOKUP($A35,'2024 Adj Factor'!$A$11:$A$49,'2024 Adj Factor'!$B$11:$B$49,,0),0)</f>
        <v>0</v>
      </c>
      <c r="J35" s="38">
        <f>+IFERROR(_xlfn.XLOOKUP($A35,'Curr Prices'!$A$11:$A$49,'Curr Prices'!J$11:J$49,,0)*_xlfn.XLOOKUP($A35,'2024 Adj Factor'!$A$11:$A$49,'2024 Adj Factor'!$B$11:$B$49,,0),0)</f>
        <v>0</v>
      </c>
      <c r="K35" s="38">
        <f>+IFERROR(_xlfn.XLOOKUP($A35,'Curr Prices'!$A$11:$A$49,'Curr Prices'!K$11:K$49,,0)*_xlfn.XLOOKUP($A35,'2024 Adj Factor'!$A$11:$A$49,'2024 Adj Factor'!$B$11:$B$49,,0),0)</f>
        <v>0</v>
      </c>
      <c r="L35" s="38">
        <f>+IFERROR(_xlfn.XLOOKUP($A35,'Curr Prices'!$A$11:$A$49,'Curr Prices'!L$11:L$49,,0)*_xlfn.XLOOKUP($A35,'2024 Adj Factor'!$A$11:$A$49,'2024 Adj Factor'!$B$11:$B$49,,0),0)</f>
        <v>0</v>
      </c>
      <c r="M35" s="38">
        <f>+IFERROR(_xlfn.XLOOKUP($A35,'Curr Prices'!$A$11:$A$49,'Curr Prices'!M$11:M$49,,0)*_xlfn.XLOOKUP($A35,'2024 Adj Factor'!$A$11:$A$49,'2024 Adj Factor'!$B$11:$B$49,,0),0)</f>
        <v>4372.2</v>
      </c>
      <c r="N35" s="38">
        <f>+IFERROR(_xlfn.XLOOKUP($A35,'Curr Prices'!$A$11:$A$49,'Curr Prices'!N$11:N$49,,0)*_xlfn.XLOOKUP($A35,'2024 Adj Factor'!$A$11:$A$49,'2024 Adj Factor'!$B$11:$B$49,,0),0)</f>
        <v>5208.8999999999996</v>
      </c>
      <c r="O35" s="38">
        <f>+IFERROR(_xlfn.XLOOKUP($A35,'Curr Prices'!$A$11:$A$49,'Curr Prices'!O$11:O$49,,0)*_xlfn.XLOOKUP($A35,'2024 Adj Factor'!$A$11:$A$49,'2024 Adj Factor'!$B$11:$B$49,,0),0)</f>
        <v>6459.8</v>
      </c>
      <c r="P35" s="38">
        <f>+IFERROR(_xlfn.XLOOKUP($A35,'Curr Prices'!$A$11:$A$49,'Curr Prices'!P$11:P$49,,0)*_xlfn.XLOOKUP($A35,'2024 Adj Factor'!$A$11:$A$49,'2024 Adj Factor'!$B$11:$B$49,,0),0)</f>
        <v>4641</v>
      </c>
      <c r="Q35" s="38">
        <f>+IFERROR(_xlfn.XLOOKUP($A35,'Curr Prices'!$A$11:$A$49,'Curr Prices'!Q$11:Q$49,,0)*_xlfn.XLOOKUP($A35,'2024 Adj Factor'!$A$11:$A$49,'2024 Adj Factor'!$B$11:$B$49,,0),0)</f>
        <v>5204.2</v>
      </c>
      <c r="R35" s="38">
        <f>+IFERROR(_xlfn.XLOOKUP($A35,'Curr Prices'!$A$11:$A$49,'Curr Prices'!R$11:R$49,,0)*_xlfn.XLOOKUP($A35,'2024 Adj Factor'!$A$11:$A$49,'2024 Adj Factor'!$B$11:$B$49,,0),0)</f>
        <v>5380.4</v>
      </c>
      <c r="S35" s="38">
        <f>+IFERROR(_xlfn.XLOOKUP($A35,'Curr Prices'!$A$11:$A$49,'Curr Prices'!S$11:S$49,,0)*_xlfn.XLOOKUP($A35,'2024 Adj Factor'!$A$11:$A$49,'2024 Adj Factor'!$B$11:$B$49,,0),0)</f>
        <v>5300.4</v>
      </c>
      <c r="T35" s="38">
        <f>+IFERROR(_xlfn.XLOOKUP($A35,'Curr Prices'!$A$11:$A$49,'Curr Prices'!T$11:T$49,,0)*_xlfn.XLOOKUP($A35,'2024 Adj Factor'!$A$11:$A$49,'2024 Adj Factor'!$B$11:$B$49,,0),0)</f>
        <v>5477.4</v>
      </c>
      <c r="U35" s="38">
        <f>+IFERROR(_xlfn.XLOOKUP($A35,'Curr Prices'!$A$11:$A$49,'Curr Prices'!U$11:U$49,,0)*_xlfn.XLOOKUP($A35,'2024 Adj Factor'!$A$11:$A$49,'2024 Adj Factor'!$B$11:$B$49,,0),0)</f>
        <v>5517.4</v>
      </c>
      <c r="V35" s="38">
        <f>+IFERROR(_xlfn.XLOOKUP($A35,'Curr Prices'!$A$11:$A$49,'Curr Prices'!V$11:V$49,,0)*_xlfn.XLOOKUP($A35,'2024 Adj Factor'!$A$11:$A$49,'2024 Adj Factor'!$B$11:$B$49,,0),0)</f>
        <v>5831.8</v>
      </c>
      <c r="W35" s="38">
        <f>+IFERROR(_xlfn.XLOOKUP($A35,'Curr Prices'!$A$11:$A$49,'Curr Prices'!W$11:W$49,,0)*_xlfn.XLOOKUP($A35,'2024 Adj Factor'!$A$11:$A$49,'2024 Adj Factor'!$B$11:$B$49,,0),0)</f>
        <v>6396.2</v>
      </c>
      <c r="X35" s="38">
        <f>+IFERROR(_xlfn.XLOOKUP($A35,'Curr Prices'!$A$11:$A$49,'Curr Prices'!X$11:X$49,,0)*_xlfn.XLOOKUP($A35,'2024 Adj Factor'!$A$11:$A$49,'2024 Adj Factor'!$B$11:$B$49,,0),0)</f>
        <v>7094.4</v>
      </c>
      <c r="Y35" s="38">
        <f>+IFERROR(_xlfn.XLOOKUP($A35,'Curr Prices'!$A$11:$A$49,'Curr Prices'!Y$11:Y$49,,0)*_xlfn.XLOOKUP($A35,'2024 Adj Factor'!$A$11:$A$49,'2024 Adj Factor'!$B$11:$B$49,,0),0)</f>
        <v>7780.9</v>
      </c>
      <c r="Z35" s="38">
        <f>+IFERROR(_xlfn.XLOOKUP($A35,'Curr Prices'!$A$11:$A$49,'Curr Prices'!Z$11:Z$49,,0)*_xlfn.XLOOKUP($A35,'2024 Adj Factor'!$A$11:$A$49,'2024 Adj Factor'!$B$11:$B$49,,0),0)</f>
        <v>8155.7</v>
      </c>
      <c r="AA35" s="38">
        <f>+IFERROR(_xlfn.XLOOKUP($A35,'Curr Prices'!$A$11:$A$49,'Curr Prices'!AA$11:AA$49,,0)*_xlfn.XLOOKUP($A35,'2024 Adj Factor'!$A$11:$A$49,'2024 Adj Factor'!$B$11:$B$49,,0),0)</f>
        <v>6904.5</v>
      </c>
      <c r="AB35" s="38">
        <f>+IFERROR(_xlfn.XLOOKUP($A35,'Curr Prices'!$A$11:$A$49,'Curr Prices'!AB$11:AB$49,,0)*_xlfn.XLOOKUP($A35,'2024 Adj Factor'!$A$11:$A$49,'2024 Adj Factor'!$B$11:$B$49,,0),0)</f>
        <v>7965.8</v>
      </c>
      <c r="AC35" s="38">
        <f>+IFERROR(_xlfn.XLOOKUP($A35,'Curr Prices'!$A$11:$A$49,'Curr Prices'!AC$11:AC$49,,0)*_xlfn.XLOOKUP($A35,'2024 Adj Factor'!$A$11:$A$49,'2024 Adj Factor'!$B$11:$B$49,,0),0)</f>
        <v>9553.5</v>
      </c>
      <c r="AD35" s="38">
        <f>+IFERROR(_xlfn.XLOOKUP($A35,'Curr Prices'!$A$11:$A$49,'Curr Prices'!AD$11:AD$49,,0)*_xlfn.XLOOKUP($A35,'2024 Adj Factor'!$A$11:$A$49,'2024 Adj Factor'!$B$11:$B$49,,0),0)</f>
        <v>11191.6</v>
      </c>
      <c r="AE35" s="39">
        <f>+IFERROR(_xlfn.XLOOKUP($A35,'Curr Prices'!$A$11:$A$49,'Curr Prices'!AE$11:AE$49,,0)*_xlfn.XLOOKUP($A35,'2024 Adj Factor'!$A$11:$A$49,'2024 Adj Factor'!$B$11:$B$49,,0),0)</f>
        <v>12276.8</v>
      </c>
    </row>
    <row r="36" spans="1:31" ht="15" x14ac:dyDescent="0.25">
      <c r="A36" s="32" t="s">
        <v>45</v>
      </c>
      <c r="B36" s="37">
        <f>+IFERROR(_xlfn.XLOOKUP($A36,'Curr Prices'!$A$11:$A$49,'Curr Prices'!B$11:B$49,,0)*_xlfn.XLOOKUP($A36,'2024 Adj Factor'!$A$11:$A$49,'2024 Adj Factor'!$B$11:$B$49,,0),0)</f>
        <v>0</v>
      </c>
      <c r="C36" s="38">
        <f>+IFERROR(_xlfn.XLOOKUP($A36,'Curr Prices'!$A$11:$A$49,'Curr Prices'!C$11:C$49,,0)*_xlfn.XLOOKUP($A36,'2024 Adj Factor'!$A$11:$A$49,'2024 Adj Factor'!$B$11:$B$49,,0),0)</f>
        <v>0</v>
      </c>
      <c r="D36" s="38">
        <f>+IFERROR(_xlfn.XLOOKUP($A36,'Curr Prices'!$A$11:$A$49,'Curr Prices'!D$11:D$49,,0)*_xlfn.XLOOKUP($A36,'2024 Adj Factor'!$A$11:$A$49,'2024 Adj Factor'!$B$11:$B$49,,0),0)</f>
        <v>0</v>
      </c>
      <c r="E36" s="38">
        <f>+IFERROR(_xlfn.XLOOKUP($A36,'Curr Prices'!$A$11:$A$49,'Curr Prices'!E$11:E$49,,0)*_xlfn.XLOOKUP($A36,'2024 Adj Factor'!$A$11:$A$49,'2024 Adj Factor'!$B$11:$B$49,,0),0)</f>
        <v>0</v>
      </c>
      <c r="F36" s="38">
        <f>+IFERROR(_xlfn.XLOOKUP($A36,'Curr Prices'!$A$11:$A$49,'Curr Prices'!F$11:F$49,,0)*_xlfn.XLOOKUP($A36,'2024 Adj Factor'!$A$11:$A$49,'2024 Adj Factor'!$B$11:$B$49,,0),0)</f>
        <v>0</v>
      </c>
      <c r="G36" s="38">
        <f>+IFERROR(_xlfn.XLOOKUP($A36,'Curr Prices'!$A$11:$A$49,'Curr Prices'!G$11:G$49,,0)*_xlfn.XLOOKUP($A36,'2024 Adj Factor'!$A$11:$A$49,'2024 Adj Factor'!$B$11:$B$49,,0),0)</f>
        <v>8291.7000000000007</v>
      </c>
      <c r="H36" s="38">
        <f>+IFERROR(_xlfn.XLOOKUP($A36,'Curr Prices'!$A$11:$A$49,'Curr Prices'!H$11:H$49,,0)*_xlfn.XLOOKUP($A36,'2024 Adj Factor'!$A$11:$A$49,'2024 Adj Factor'!$B$11:$B$49,,0),0)</f>
        <v>8194.6</v>
      </c>
      <c r="I36" s="38">
        <f>+IFERROR(_xlfn.XLOOKUP($A36,'Curr Prices'!$A$11:$A$49,'Curr Prices'!I$11:I$49,,0)*_xlfn.XLOOKUP($A36,'2024 Adj Factor'!$A$11:$A$49,'2024 Adj Factor'!$B$11:$B$49,,0),0)</f>
        <v>8103.6</v>
      </c>
      <c r="J36" s="38">
        <f>+IFERROR(_xlfn.XLOOKUP($A36,'Curr Prices'!$A$11:$A$49,'Curr Prices'!J$11:J$49,,0)*_xlfn.XLOOKUP($A36,'2024 Adj Factor'!$A$11:$A$49,'2024 Adj Factor'!$B$11:$B$49,,0),0)</f>
        <v>8455.2999999999993</v>
      </c>
      <c r="K36" s="38">
        <f>+IFERROR(_xlfn.XLOOKUP($A36,'Curr Prices'!$A$11:$A$49,'Curr Prices'!K$11:K$49,,0)*_xlfn.XLOOKUP($A36,'2024 Adj Factor'!$A$11:$A$49,'2024 Adj Factor'!$B$11:$B$49,,0),0)</f>
        <v>9198.7999999999993</v>
      </c>
      <c r="L36" s="38">
        <f>+IFERROR(_xlfn.XLOOKUP($A36,'Curr Prices'!$A$11:$A$49,'Curr Prices'!L$11:L$49,,0)*_xlfn.XLOOKUP($A36,'2024 Adj Factor'!$A$11:$A$49,'2024 Adj Factor'!$B$11:$B$49,,0),0)</f>
        <v>10070.799999999999</v>
      </c>
      <c r="M36" s="38">
        <f>+IFERROR(_xlfn.XLOOKUP($A36,'Curr Prices'!$A$11:$A$49,'Curr Prices'!M$11:M$49,,0)*_xlfn.XLOOKUP($A36,'2024 Adj Factor'!$A$11:$A$49,'2024 Adj Factor'!$B$11:$B$49,,0),0)</f>
        <v>11156.9</v>
      </c>
      <c r="N36" s="38">
        <f>+IFERROR(_xlfn.XLOOKUP($A36,'Curr Prices'!$A$11:$A$49,'Curr Prices'!N$11:N$49,,0)*_xlfn.XLOOKUP($A36,'2024 Adj Factor'!$A$11:$A$49,'2024 Adj Factor'!$B$11:$B$49,,0),0)</f>
        <v>12667.9</v>
      </c>
      <c r="O36" s="38">
        <f>+IFERROR(_xlfn.XLOOKUP($A36,'Curr Prices'!$A$11:$A$49,'Curr Prices'!O$11:O$49,,0)*_xlfn.XLOOKUP($A36,'2024 Adj Factor'!$A$11:$A$49,'2024 Adj Factor'!$B$11:$B$49,,0),0)</f>
        <v>14250.8</v>
      </c>
      <c r="P36" s="38">
        <f>+IFERROR(_xlfn.XLOOKUP($A36,'Curr Prices'!$A$11:$A$49,'Curr Prices'!P$11:P$49,,0)*_xlfn.XLOOKUP($A36,'2024 Adj Factor'!$A$11:$A$49,'2024 Adj Factor'!$B$11:$B$49,,0),0)</f>
        <v>13114.2</v>
      </c>
      <c r="Q36" s="38">
        <f>+IFERROR(_xlfn.XLOOKUP($A36,'Curr Prices'!$A$11:$A$49,'Curr Prices'!Q$11:Q$49,,0)*_xlfn.XLOOKUP($A36,'2024 Adj Factor'!$A$11:$A$49,'2024 Adj Factor'!$B$11:$B$49,,0),0)</f>
        <v>13748.6</v>
      </c>
      <c r="R36" s="38">
        <f>+IFERROR(_xlfn.XLOOKUP($A36,'Curr Prices'!$A$11:$A$49,'Curr Prices'!R$11:R$49,,0)*_xlfn.XLOOKUP($A36,'2024 Adj Factor'!$A$11:$A$49,'2024 Adj Factor'!$B$11:$B$49,,0),0)</f>
        <v>14633.1</v>
      </c>
      <c r="S36" s="38">
        <f>+IFERROR(_xlfn.XLOOKUP($A36,'Curr Prices'!$A$11:$A$49,'Curr Prices'!S$11:S$49,,0)*_xlfn.XLOOKUP($A36,'2024 Adj Factor'!$A$11:$A$49,'2024 Adj Factor'!$B$11:$B$49,,0),0)</f>
        <v>14457.7</v>
      </c>
      <c r="T36" s="38">
        <f>+IFERROR(_xlfn.XLOOKUP($A36,'Curr Prices'!$A$11:$A$49,'Curr Prices'!T$11:T$49,,0)*_xlfn.XLOOKUP($A36,'2024 Adj Factor'!$A$11:$A$49,'2024 Adj Factor'!$B$11:$B$49,,0),0)</f>
        <v>15103.4</v>
      </c>
      <c r="U36" s="38">
        <f>+IFERROR(_xlfn.XLOOKUP($A36,'Curr Prices'!$A$11:$A$49,'Curr Prices'!U$11:U$49,,0)*_xlfn.XLOOKUP($A36,'2024 Adj Factor'!$A$11:$A$49,'2024 Adj Factor'!$B$11:$B$49,,0),0)</f>
        <v>15941.4</v>
      </c>
      <c r="V36" s="38">
        <f>+IFERROR(_xlfn.XLOOKUP($A36,'Curr Prices'!$A$11:$A$49,'Curr Prices'!V$11:V$49,,0)*_xlfn.XLOOKUP($A36,'2024 Adj Factor'!$A$11:$A$49,'2024 Adj Factor'!$B$11:$B$49,,0),0)</f>
        <v>16917.3</v>
      </c>
      <c r="W36" s="38">
        <f>+IFERROR(_xlfn.XLOOKUP($A36,'Curr Prices'!$A$11:$A$49,'Curr Prices'!W$11:W$49,,0)*_xlfn.XLOOKUP($A36,'2024 Adj Factor'!$A$11:$A$49,'2024 Adj Factor'!$B$11:$B$49,,0),0)</f>
        <v>17831.599999999999</v>
      </c>
      <c r="X36" s="38">
        <f>+IFERROR(_xlfn.XLOOKUP($A36,'Curr Prices'!$A$11:$A$49,'Curr Prices'!X$11:X$49,,0)*_xlfn.XLOOKUP($A36,'2024 Adj Factor'!$A$11:$A$49,'2024 Adj Factor'!$B$11:$B$49,,0),0)</f>
        <v>18755.2</v>
      </c>
      <c r="Y36" s="38">
        <f>+IFERROR(_xlfn.XLOOKUP($A36,'Curr Prices'!$A$11:$A$49,'Curr Prices'!Y$11:Y$49,,0)*_xlfn.XLOOKUP($A36,'2024 Adj Factor'!$A$11:$A$49,'2024 Adj Factor'!$B$11:$B$49,,0),0)</f>
        <v>20500</v>
      </c>
      <c r="Z36" s="38">
        <f>+IFERROR(_xlfn.XLOOKUP($A36,'Curr Prices'!$A$11:$A$49,'Curr Prices'!Z$11:Z$49,,0)*_xlfn.XLOOKUP($A36,'2024 Adj Factor'!$A$11:$A$49,'2024 Adj Factor'!$B$11:$B$49,,0),0)</f>
        <v>21475.9</v>
      </c>
      <c r="AA36" s="38">
        <f>+IFERROR(_xlfn.XLOOKUP($A36,'Curr Prices'!$A$11:$A$49,'Curr Prices'!AA$11:AA$49,,0)*_xlfn.XLOOKUP($A36,'2024 Adj Factor'!$A$11:$A$49,'2024 Adj Factor'!$B$11:$B$49,,0),0)</f>
        <v>20272.099999999999</v>
      </c>
      <c r="AB36" s="38">
        <f>+IFERROR(_xlfn.XLOOKUP($A36,'Curr Prices'!$A$11:$A$49,'Curr Prices'!AB$11:AB$49,,0)*_xlfn.XLOOKUP($A36,'2024 Adj Factor'!$A$11:$A$49,'2024 Adj Factor'!$B$11:$B$49,,0),0)</f>
        <v>23087.1</v>
      </c>
      <c r="AC36" s="38">
        <f>+IFERROR(_xlfn.XLOOKUP($A36,'Curr Prices'!$A$11:$A$49,'Curr Prices'!AC$11:AC$49,,0)*_xlfn.XLOOKUP($A36,'2024 Adj Factor'!$A$11:$A$49,'2024 Adj Factor'!$B$11:$B$49,,0),0)</f>
        <v>0</v>
      </c>
      <c r="AD36" s="38">
        <f>+IFERROR(_xlfn.XLOOKUP($A36,'Curr Prices'!$A$11:$A$49,'Curr Prices'!AD$11:AD$49,,0)*_xlfn.XLOOKUP($A36,'2024 Adj Factor'!$A$11:$A$49,'2024 Adj Factor'!$B$11:$B$49,,0),0)</f>
        <v>0</v>
      </c>
      <c r="AE36" s="39">
        <f>+IFERROR(_xlfn.XLOOKUP($A36,'Curr Prices'!$A$11:$A$49,'Curr Prices'!AE$11:AE$49,,0)*_xlfn.XLOOKUP($A36,'2024 Adj Factor'!$A$11:$A$49,'2024 Adj Factor'!$B$11:$B$49,,0),0)</f>
        <v>0</v>
      </c>
    </row>
    <row r="37" spans="1:31" ht="15" x14ac:dyDescent="0.25">
      <c r="A37" s="32" t="s">
        <v>46</v>
      </c>
      <c r="B37" s="37">
        <f>+IFERROR(_xlfn.XLOOKUP($A37,'Curr Prices'!$A$11:$A$49,'Curr Prices'!B$11:B$49,,0)*_xlfn.XLOOKUP($A37,'2024 Adj Factor'!$A$11:$A$49,'2024 Adj Factor'!$B$11:$B$49,,0),0)</f>
        <v>3489.4</v>
      </c>
      <c r="C37" s="38">
        <f>+IFERROR(_xlfn.XLOOKUP($A37,'Curr Prices'!$A$11:$A$49,'Curr Prices'!C$11:C$49,,0)*_xlfn.XLOOKUP($A37,'2024 Adj Factor'!$A$11:$A$49,'2024 Adj Factor'!$B$11:$B$49,,0),0)</f>
        <v>3951.4</v>
      </c>
      <c r="D37" s="38">
        <f>+IFERROR(_xlfn.XLOOKUP($A37,'Curr Prices'!$A$11:$A$49,'Curr Prices'!D$11:D$49,,0)*_xlfn.XLOOKUP($A37,'2024 Adj Factor'!$A$11:$A$49,'2024 Adj Factor'!$B$11:$B$49,,0),0)</f>
        <v>3047.4</v>
      </c>
      <c r="E37" s="38">
        <f>+IFERROR(_xlfn.XLOOKUP($A37,'Curr Prices'!$A$11:$A$49,'Curr Prices'!E$11:E$49,,0)*_xlfn.XLOOKUP($A37,'2024 Adj Factor'!$A$11:$A$49,'2024 Adj Factor'!$B$11:$B$49,,0),0)</f>
        <v>3557.8</v>
      </c>
      <c r="F37" s="38">
        <f>+IFERROR(_xlfn.XLOOKUP($A37,'Curr Prices'!$A$11:$A$49,'Curr Prices'!F$11:F$49,,0)*_xlfn.XLOOKUP($A37,'2024 Adj Factor'!$A$11:$A$49,'2024 Adj Factor'!$B$11:$B$49,,0),0)</f>
        <v>4822.6000000000004</v>
      </c>
      <c r="G37" s="38">
        <f>+IFERROR(_xlfn.XLOOKUP($A37,'Curr Prices'!$A$11:$A$49,'Curr Prices'!G$11:G$49,,0)*_xlfn.XLOOKUP($A37,'2024 Adj Factor'!$A$11:$A$49,'2024 Adj Factor'!$B$11:$B$49,,0),0)</f>
        <v>6036.4</v>
      </c>
      <c r="H37" s="38">
        <f>+IFERROR(_xlfn.XLOOKUP($A37,'Curr Prices'!$A$11:$A$49,'Curr Prices'!H$11:H$49,,0)*_xlfn.XLOOKUP($A37,'2024 Adj Factor'!$A$11:$A$49,'2024 Adj Factor'!$B$11:$B$49,,0),0)</f>
        <v>7038</v>
      </c>
      <c r="I37" s="38">
        <f>+IFERROR(_xlfn.XLOOKUP($A37,'Curr Prices'!$A$11:$A$49,'Curr Prices'!I$11:I$49,,0)*_xlfn.XLOOKUP($A37,'2024 Adj Factor'!$A$11:$A$49,'2024 Adj Factor'!$B$11:$B$49,,0),0)</f>
        <v>7429.1</v>
      </c>
      <c r="J37" s="38">
        <f>+IFERROR(_xlfn.XLOOKUP($A37,'Curr Prices'!$A$11:$A$49,'Curr Prices'!J$11:J$49,,0)*_xlfn.XLOOKUP($A37,'2024 Adj Factor'!$A$11:$A$49,'2024 Adj Factor'!$B$11:$B$49,,0),0)</f>
        <v>7664.9</v>
      </c>
      <c r="K37" s="38">
        <f>+IFERROR(_xlfn.XLOOKUP($A37,'Curr Prices'!$A$11:$A$49,'Curr Prices'!K$11:K$49,,0)*_xlfn.XLOOKUP($A37,'2024 Adj Factor'!$A$11:$A$49,'2024 Adj Factor'!$B$11:$B$49,,0),0)</f>
        <v>9131.6</v>
      </c>
      <c r="L37" s="38">
        <f>+IFERROR(_xlfn.XLOOKUP($A37,'Curr Prices'!$A$11:$A$49,'Curr Prices'!L$11:L$49,,0)*_xlfn.XLOOKUP($A37,'2024 Adj Factor'!$A$11:$A$49,'2024 Adj Factor'!$B$11:$B$49,,0),0)</f>
        <v>10177.4</v>
      </c>
      <c r="M37" s="38">
        <f>+IFERROR(_xlfn.XLOOKUP($A37,'Curr Prices'!$A$11:$A$49,'Curr Prices'!M$11:M$49,,0)*_xlfn.XLOOKUP($A37,'2024 Adj Factor'!$A$11:$A$49,'2024 Adj Factor'!$B$11:$B$49,,0),0)</f>
        <v>11124.4</v>
      </c>
      <c r="N37" s="38">
        <f>+IFERROR(_xlfn.XLOOKUP($A37,'Curr Prices'!$A$11:$A$49,'Curr Prices'!N$11:N$49,,0)*_xlfn.XLOOKUP($A37,'2024 Adj Factor'!$A$11:$A$49,'2024 Adj Factor'!$B$11:$B$49,,0),0)</f>
        <v>12454.2</v>
      </c>
      <c r="O37" s="38">
        <f>+IFERROR(_xlfn.XLOOKUP($A37,'Curr Prices'!$A$11:$A$49,'Curr Prices'!O$11:O$49,,0)*_xlfn.XLOOKUP($A37,'2024 Adj Factor'!$A$11:$A$49,'2024 Adj Factor'!$B$11:$B$49,,0),0)</f>
        <v>14292</v>
      </c>
      <c r="P37" s="38">
        <f>+IFERROR(_xlfn.XLOOKUP($A37,'Curr Prices'!$A$11:$A$49,'Curr Prices'!P$11:P$49,,0)*_xlfn.XLOOKUP($A37,'2024 Adj Factor'!$A$11:$A$49,'2024 Adj Factor'!$B$11:$B$49,,0),0)</f>
        <v>14152.2</v>
      </c>
      <c r="Q37" s="38">
        <f>+IFERROR(_xlfn.XLOOKUP($A37,'Curr Prices'!$A$11:$A$49,'Curr Prices'!Q$11:Q$49,,0)*_xlfn.XLOOKUP($A37,'2024 Adj Factor'!$A$11:$A$49,'2024 Adj Factor'!$B$11:$B$49,,0),0)</f>
        <v>14026.5</v>
      </c>
      <c r="R37" s="38">
        <f>+IFERROR(_xlfn.XLOOKUP($A37,'Curr Prices'!$A$11:$A$49,'Curr Prices'!R$11:R$49,,0)*_xlfn.XLOOKUP($A37,'2024 Adj Factor'!$A$11:$A$49,'2024 Adj Factor'!$B$11:$B$49,,0),0)</f>
        <v>14701.2</v>
      </c>
      <c r="S37" s="38">
        <f>+IFERROR(_xlfn.XLOOKUP($A37,'Curr Prices'!$A$11:$A$49,'Curr Prices'!S$11:S$49,,0)*_xlfn.XLOOKUP($A37,'2024 Adj Factor'!$A$11:$A$49,'2024 Adj Factor'!$B$11:$B$49,,0),0)</f>
        <v>14956.2</v>
      </c>
      <c r="T37" s="38">
        <f>+IFERROR(_xlfn.XLOOKUP($A37,'Curr Prices'!$A$11:$A$49,'Curr Prices'!T$11:T$49,,0)*_xlfn.XLOOKUP($A37,'2024 Adj Factor'!$A$11:$A$49,'2024 Adj Factor'!$B$11:$B$49,,0),0)</f>
        <v>15370.3</v>
      </c>
      <c r="U37" s="38">
        <f>+IFERROR(_xlfn.XLOOKUP($A37,'Curr Prices'!$A$11:$A$49,'Curr Prices'!U$11:U$49,,0)*_xlfn.XLOOKUP($A37,'2024 Adj Factor'!$A$11:$A$49,'2024 Adj Factor'!$B$11:$B$49,,0),0)</f>
        <v>15493.8</v>
      </c>
      <c r="V37" s="38">
        <f>+IFERROR(_xlfn.XLOOKUP($A37,'Curr Prices'!$A$11:$A$49,'Curr Prices'!V$11:V$49,,0)*_xlfn.XLOOKUP($A37,'2024 Adj Factor'!$A$11:$A$49,'2024 Adj Factor'!$B$11:$B$49,,0),0)</f>
        <v>16002.8</v>
      </c>
      <c r="W37" s="38">
        <f>+IFERROR(_xlfn.XLOOKUP($A37,'Curr Prices'!$A$11:$A$49,'Curr Prices'!W$11:W$49,,0)*_xlfn.XLOOKUP($A37,'2024 Adj Factor'!$A$11:$A$49,'2024 Adj Factor'!$B$11:$B$49,,0),0)</f>
        <v>16757.599999999999</v>
      </c>
      <c r="X37" s="38">
        <f>+IFERROR(_xlfn.XLOOKUP($A37,'Curr Prices'!$A$11:$A$49,'Curr Prices'!X$11:X$49,,0)*_xlfn.XLOOKUP($A37,'2024 Adj Factor'!$A$11:$A$49,'2024 Adj Factor'!$B$11:$B$49,,0),0)</f>
        <v>17808.7</v>
      </c>
      <c r="Y37" s="38">
        <f>+IFERROR(_xlfn.XLOOKUP($A37,'Curr Prices'!$A$11:$A$49,'Curr Prices'!Y$11:Y$49,,0)*_xlfn.XLOOKUP($A37,'2024 Adj Factor'!$A$11:$A$49,'2024 Adj Factor'!$B$11:$B$49,,0),0)</f>
        <v>19469.400000000001</v>
      </c>
      <c r="Z37" s="38">
        <f>+IFERROR(_xlfn.XLOOKUP($A37,'Curr Prices'!$A$11:$A$49,'Curr Prices'!Z$11:Z$49,,0)*_xlfn.XLOOKUP($A37,'2024 Adj Factor'!$A$11:$A$49,'2024 Adj Factor'!$B$11:$B$49,,0),0)</f>
        <v>20504.599999999999</v>
      </c>
      <c r="AA37" s="38">
        <f>+IFERROR(_xlfn.XLOOKUP($A37,'Curr Prices'!$A$11:$A$49,'Curr Prices'!AA$11:AA$49,,0)*_xlfn.XLOOKUP($A37,'2024 Adj Factor'!$A$11:$A$49,'2024 Adj Factor'!$B$11:$B$49,,0),0)</f>
        <v>19907.400000000001</v>
      </c>
      <c r="AB37" s="38">
        <f>+IFERROR(_xlfn.XLOOKUP($A37,'Curr Prices'!$A$11:$A$49,'Curr Prices'!AB$11:AB$49,,0)*_xlfn.XLOOKUP($A37,'2024 Adj Factor'!$A$11:$A$49,'2024 Adj Factor'!$B$11:$B$49,,0),0)</f>
        <v>22803</v>
      </c>
      <c r="AC37" s="38">
        <f>+IFERROR(_xlfn.XLOOKUP($A37,'Curr Prices'!$A$11:$A$49,'Curr Prices'!AC$11:AC$49,,0)*_xlfn.XLOOKUP($A37,'2024 Adj Factor'!$A$11:$A$49,'2024 Adj Factor'!$B$11:$B$49,,0),0)</f>
        <v>26395.200000000001</v>
      </c>
      <c r="AD37" s="38">
        <f>+IFERROR(_xlfn.XLOOKUP($A37,'Curr Prices'!$A$11:$A$49,'Curr Prices'!AD$11:AD$49,,0)*_xlfn.XLOOKUP($A37,'2024 Adj Factor'!$A$11:$A$49,'2024 Adj Factor'!$B$11:$B$49,,0),0)</f>
        <v>31394.799999999999</v>
      </c>
      <c r="AE37" s="39">
        <f>+IFERROR(_xlfn.XLOOKUP($A37,'Curr Prices'!$A$11:$A$49,'Curr Prices'!AE$11:AE$49,,0)*_xlfn.XLOOKUP($A37,'2024 Adj Factor'!$A$11:$A$49,'2024 Adj Factor'!$B$11:$B$49,,0),0)</f>
        <v>36326.5</v>
      </c>
    </row>
    <row r="38" spans="1:31" ht="15" x14ac:dyDescent="0.25">
      <c r="A38" s="32" t="s">
        <v>47</v>
      </c>
      <c r="B38" s="37">
        <f>+IFERROR(_xlfn.XLOOKUP($A38,'Curr Prices'!$A$11:$A$49,'Curr Prices'!B$11:B$49,,0)*_xlfn.XLOOKUP($A38,'2024 Adj Factor'!$A$11:$A$49,'2024 Adj Factor'!$B$11:$B$49,,0),0)</f>
        <v>105928.4949349271</v>
      </c>
      <c r="C38" s="38">
        <f>+IFERROR(_xlfn.XLOOKUP($A38,'Curr Prices'!$A$11:$A$49,'Curr Prices'!C$11:C$49,,0)*_xlfn.XLOOKUP($A38,'2024 Adj Factor'!$A$11:$A$49,'2024 Adj Factor'!$B$11:$B$49,,0),0)</f>
        <v>74972.423364725648</v>
      </c>
      <c r="D38" s="38">
        <f>+IFERROR(_xlfn.XLOOKUP($A38,'Curr Prices'!$A$11:$A$49,'Curr Prices'!D$11:D$49,,0)*_xlfn.XLOOKUP($A38,'2024 Adj Factor'!$A$11:$A$49,'2024 Adj Factor'!$B$11:$B$49,,0),0)</f>
        <v>94676.307877930303</v>
      </c>
      <c r="E38" s="38">
        <f>+IFERROR(_xlfn.XLOOKUP($A38,'Curr Prices'!$A$11:$A$49,'Curr Prices'!E$11:E$49,,0)*_xlfn.XLOOKUP($A38,'2024 Adj Factor'!$A$11:$A$49,'2024 Adj Factor'!$B$11:$B$49,,0),0)</f>
        <v>75070.943479146415</v>
      </c>
      <c r="F38" s="38">
        <f>+IFERROR(_xlfn.XLOOKUP($A38,'Curr Prices'!$A$11:$A$49,'Curr Prices'!F$11:F$49,,0)*_xlfn.XLOOKUP($A38,'2024 Adj Factor'!$A$11:$A$49,'2024 Adj Factor'!$B$11:$B$49,,0),0)</f>
        <v>77923.598927037383</v>
      </c>
      <c r="G38" s="38">
        <f>+IFERROR(_xlfn.XLOOKUP($A38,'Curr Prices'!$A$11:$A$49,'Curr Prices'!G$11:G$49,,0)*_xlfn.XLOOKUP($A38,'2024 Adj Factor'!$A$11:$A$49,'2024 Adj Factor'!$B$11:$B$49,,0),0)</f>
        <v>121362.52875881184</v>
      </c>
      <c r="H38" s="38">
        <f>+IFERROR(_xlfn.XLOOKUP($A38,'Curr Prices'!$A$11:$A$49,'Curr Prices'!H$11:H$49,,0)*_xlfn.XLOOKUP($A38,'2024 Adj Factor'!$A$11:$A$49,'2024 Adj Factor'!$B$11:$B$49,,0),0)</f>
        <v>55596.477996432805</v>
      </c>
      <c r="I38" s="38">
        <f>+IFERROR(_xlfn.XLOOKUP($A38,'Curr Prices'!$A$11:$A$49,'Curr Prices'!I$11:I$49,,0)*_xlfn.XLOOKUP($A38,'2024 Adj Factor'!$A$11:$A$49,'2024 Adj Factor'!$B$11:$B$49,,0),0)</f>
        <v>66159.300994378733</v>
      </c>
      <c r="J38" s="38">
        <f>+IFERROR(_xlfn.XLOOKUP($A38,'Curr Prices'!$A$11:$A$49,'Curr Prices'!J$11:J$49,,0)*_xlfn.XLOOKUP($A38,'2024 Adj Factor'!$A$11:$A$49,'2024 Adj Factor'!$B$11:$B$49,,0),0)</f>
        <v>69388.602160603012</v>
      </c>
      <c r="K38" s="38">
        <f>+IFERROR(_xlfn.XLOOKUP($A38,'Curr Prices'!$A$11:$A$49,'Curr Prices'!K$11:K$49,,0)*_xlfn.XLOOKUP($A38,'2024 Adj Factor'!$A$11:$A$49,'2024 Adj Factor'!$B$11:$B$49,,0),0)</f>
        <v>73760.432238024208</v>
      </c>
      <c r="L38" s="38">
        <f>+IFERROR(_xlfn.XLOOKUP($A38,'Curr Prices'!$A$11:$A$49,'Curr Prices'!L$11:L$49,,0)*_xlfn.XLOOKUP($A38,'2024 Adj Factor'!$A$11:$A$49,'2024 Adj Factor'!$B$11:$B$49,,0),0)</f>
        <v>79250.161198037124</v>
      </c>
      <c r="M38" s="38">
        <f>+IFERROR(_xlfn.XLOOKUP($A38,'Curr Prices'!$A$11:$A$49,'Curr Prices'!M$11:M$49,,0)*_xlfn.XLOOKUP($A38,'2024 Adj Factor'!$A$11:$A$49,'2024 Adj Factor'!$B$11:$B$49,,0),0)</f>
        <v>91403.143121437242</v>
      </c>
      <c r="N38" s="38">
        <f>+IFERROR(_xlfn.XLOOKUP($A38,'Curr Prices'!$A$11:$A$49,'Curr Prices'!N$11:N$49,,0)*_xlfn.XLOOKUP($A38,'2024 Adj Factor'!$A$11:$A$49,'2024 Adj Factor'!$B$11:$B$49,,0),0)</f>
        <v>109350.96194347073</v>
      </c>
      <c r="O38" s="38">
        <f>+IFERROR(_xlfn.XLOOKUP($A38,'Curr Prices'!$A$11:$A$49,'Curr Prices'!O$11:O$49,,0)*_xlfn.XLOOKUP($A38,'2024 Adj Factor'!$A$11:$A$49,'2024 Adj Factor'!$B$11:$B$49,,0),0)</f>
        <v>119025.16671836874</v>
      </c>
      <c r="P38" s="38">
        <f>+IFERROR(_xlfn.XLOOKUP($A38,'Curr Prices'!$A$11:$A$49,'Curr Prices'!P$11:P$49,,0)*_xlfn.XLOOKUP($A38,'2024 Adj Factor'!$A$11:$A$49,'2024 Adj Factor'!$B$11:$B$49,,0),0)</f>
        <v>99807.932826537435</v>
      </c>
      <c r="Q38" s="38">
        <f>+IFERROR(_xlfn.XLOOKUP($A38,'Curr Prices'!$A$11:$A$49,'Curr Prices'!Q$11:Q$49,,0)*_xlfn.XLOOKUP($A38,'2024 Adj Factor'!$A$11:$A$49,'2024 Adj Factor'!$B$11:$B$49,,0),0)</f>
        <v>99392.404872035258</v>
      </c>
      <c r="R38" s="38">
        <f>+IFERROR(_xlfn.XLOOKUP($A38,'Curr Prices'!$A$11:$A$49,'Curr Prices'!R$11:R$49,,0)*_xlfn.XLOOKUP($A38,'2024 Adj Factor'!$A$11:$A$49,'2024 Adj Factor'!$B$11:$B$49,,0),0)</f>
        <v>111984.43781096497</v>
      </c>
      <c r="S38" s="38">
        <f>+IFERROR(_xlfn.XLOOKUP($A38,'Curr Prices'!$A$11:$A$49,'Curr Prices'!S$11:S$49,,0)*_xlfn.XLOOKUP($A38,'2024 Adj Factor'!$A$11:$A$49,'2024 Adj Factor'!$B$11:$B$49,,0),0)</f>
        <v>106026.5999365062</v>
      </c>
      <c r="T38" s="38">
        <f>+IFERROR(_xlfn.XLOOKUP($A38,'Curr Prices'!$A$11:$A$49,'Curr Prices'!T$11:T$49,,0)*_xlfn.XLOOKUP($A38,'2024 Adj Factor'!$A$11:$A$49,'2024 Adj Factor'!$B$11:$B$49,,0),0)</f>
        <v>114186.61143597394</v>
      </c>
      <c r="U38" s="38">
        <f>+IFERROR(_xlfn.XLOOKUP($A38,'Curr Prices'!$A$11:$A$49,'Curr Prices'!U$11:U$49,,0)*_xlfn.XLOOKUP($A38,'2024 Adj Factor'!$A$11:$A$49,'2024 Adj Factor'!$B$11:$B$49,,0),0)</f>
        <v>107767.02971064147</v>
      </c>
      <c r="V38" s="38">
        <f>+IFERROR(_xlfn.XLOOKUP($A38,'Curr Prices'!$A$11:$A$49,'Curr Prices'!V$11:V$49,,0)*_xlfn.XLOOKUP($A38,'2024 Adj Factor'!$A$11:$A$49,'2024 Adj Factor'!$B$11:$B$49,,0),0)</f>
        <v>109759.70972155912</v>
      </c>
      <c r="W38" s="38">
        <f>+IFERROR(_xlfn.XLOOKUP($A38,'Curr Prices'!$A$11:$A$49,'Curr Prices'!W$11:W$49,,0)*_xlfn.XLOOKUP($A38,'2024 Adj Factor'!$A$11:$A$49,'2024 Adj Factor'!$B$11:$B$49,,0),0)</f>
        <v>112156.84801120129</v>
      </c>
      <c r="X38" s="38">
        <f>+IFERROR(_xlfn.XLOOKUP($A38,'Curr Prices'!$A$11:$A$49,'Curr Prices'!X$11:X$49,,0)*_xlfn.XLOOKUP($A38,'2024 Adj Factor'!$A$11:$A$49,'2024 Adj Factor'!$B$11:$B$49,,0),0)</f>
        <v>119592.34923102423</v>
      </c>
      <c r="Y38" s="38">
        <f>+IFERROR(_xlfn.XLOOKUP($A38,'Curr Prices'!$A$11:$A$49,'Curr Prices'!Y$11:Y$49,,0)*_xlfn.XLOOKUP($A38,'2024 Adj Factor'!$A$11:$A$49,'2024 Adj Factor'!$B$11:$B$49,,0),0)</f>
        <v>130221.03679984696</v>
      </c>
      <c r="Z38" s="38">
        <f>+IFERROR(_xlfn.XLOOKUP($A38,'Curr Prices'!$A$11:$A$49,'Curr Prices'!Z$11:Z$49,,0)*_xlfn.XLOOKUP($A38,'2024 Adj Factor'!$A$11:$A$49,'2024 Adj Factor'!$B$11:$B$49,,0),0)</f>
        <v>140215.70868850689</v>
      </c>
      <c r="AA38" s="38">
        <f>+IFERROR(_xlfn.XLOOKUP($A38,'Curr Prices'!$A$11:$A$49,'Curr Prices'!AA$11:AA$49,,0)*_xlfn.XLOOKUP($A38,'2024 Adj Factor'!$A$11:$A$49,'2024 Adj Factor'!$B$11:$B$49,,0),0)</f>
        <v>139939.52027785542</v>
      </c>
      <c r="AB38" s="38">
        <f>+IFERROR(_xlfn.XLOOKUP($A38,'Curr Prices'!$A$11:$A$49,'Curr Prices'!AB$11:AB$49,,0)*_xlfn.XLOOKUP($A38,'2024 Adj Factor'!$A$11:$A$49,'2024 Adj Factor'!$B$11:$B$49,,0),0)</f>
        <v>161557.49010395666</v>
      </c>
      <c r="AC38" s="38">
        <f>+IFERROR(_xlfn.XLOOKUP($A38,'Curr Prices'!$A$11:$A$49,'Curr Prices'!AC$11:AC$49,,0)*_xlfn.XLOOKUP($A38,'2024 Adj Factor'!$A$11:$A$49,'2024 Adj Factor'!$B$11:$B$49,,0),0)</f>
        <v>185418.86809733845</v>
      </c>
      <c r="AD38" s="38">
        <f>+IFERROR(_xlfn.XLOOKUP($A38,'Curr Prices'!$A$11:$A$49,'Curr Prices'!AD$11:AD$49,,0)*_xlfn.XLOOKUP($A38,'2024 Adj Factor'!$A$11:$A$49,'2024 Adj Factor'!$B$11:$B$49,,0),0)</f>
        <v>213108.27834556618</v>
      </c>
      <c r="AE38" s="39">
        <f>+IFERROR(_xlfn.XLOOKUP($A38,'Curr Prices'!$A$11:$A$49,'Curr Prices'!AE$11:AE$49,,0)*_xlfn.XLOOKUP($A38,'2024 Adj Factor'!$A$11:$A$49,'2024 Adj Factor'!$B$11:$B$49,,0),0)</f>
        <v>232193.09124090779</v>
      </c>
    </row>
    <row r="39" spans="1:31" ht="15" x14ac:dyDescent="0.25">
      <c r="A39" s="32" t="s">
        <v>48</v>
      </c>
      <c r="B39" s="37">
        <f>+IFERROR(_xlfn.XLOOKUP($A39,'Curr Prices'!$A$11:$A$49,'Curr Prices'!B$11:B$49,,0)*_xlfn.XLOOKUP($A39,'2024 Adj Factor'!$A$11:$A$49,'2024 Adj Factor'!$B$11:$B$49,,0),0)</f>
        <v>0</v>
      </c>
      <c r="C39" s="38">
        <f>+IFERROR(_xlfn.XLOOKUP($A39,'Curr Prices'!$A$11:$A$49,'Curr Prices'!C$11:C$49,,0)*_xlfn.XLOOKUP($A39,'2024 Adj Factor'!$A$11:$A$49,'2024 Adj Factor'!$B$11:$B$49,,0),0)</f>
        <v>0</v>
      </c>
      <c r="D39" s="38">
        <f>+IFERROR(_xlfn.XLOOKUP($A39,'Curr Prices'!$A$11:$A$49,'Curr Prices'!D$11:D$49,,0)*_xlfn.XLOOKUP($A39,'2024 Adj Factor'!$A$11:$A$49,'2024 Adj Factor'!$B$11:$B$49,,0),0)</f>
        <v>0</v>
      </c>
      <c r="E39" s="38">
        <f>+IFERROR(_xlfn.XLOOKUP($A39,'Curr Prices'!$A$11:$A$49,'Curr Prices'!E$11:E$49,,0)*_xlfn.XLOOKUP($A39,'2024 Adj Factor'!$A$11:$A$49,'2024 Adj Factor'!$B$11:$B$49,,0),0)</f>
        <v>0</v>
      </c>
      <c r="F39" s="38">
        <f>+IFERROR(_xlfn.XLOOKUP($A39,'Curr Prices'!$A$11:$A$49,'Curr Prices'!F$11:F$49,,0)*_xlfn.XLOOKUP($A39,'2024 Adj Factor'!$A$11:$A$49,'2024 Adj Factor'!$B$11:$B$49,,0),0)</f>
        <v>0</v>
      </c>
      <c r="G39" s="38">
        <f>+IFERROR(_xlfn.XLOOKUP($A39,'Curr Prices'!$A$11:$A$49,'Curr Prices'!G$11:G$49,,0)*_xlfn.XLOOKUP($A39,'2024 Adj Factor'!$A$11:$A$49,'2024 Adj Factor'!$B$11:$B$49,,0),0)</f>
        <v>0</v>
      </c>
      <c r="H39" s="38">
        <f>+IFERROR(_xlfn.XLOOKUP($A39,'Curr Prices'!$A$11:$A$49,'Curr Prices'!H$11:H$49,,0)*_xlfn.XLOOKUP($A39,'2024 Adj Factor'!$A$11:$A$49,'2024 Adj Factor'!$B$11:$B$49,,0),0)</f>
        <v>0</v>
      </c>
      <c r="I39" s="38">
        <f>+IFERROR(_xlfn.XLOOKUP($A39,'Curr Prices'!$A$11:$A$49,'Curr Prices'!I$11:I$49,,0)*_xlfn.XLOOKUP($A39,'2024 Adj Factor'!$A$11:$A$49,'2024 Adj Factor'!$B$11:$B$49,,0),0)</f>
        <v>0</v>
      </c>
      <c r="J39" s="38">
        <f>+IFERROR(_xlfn.XLOOKUP($A39,'Curr Prices'!$A$11:$A$49,'Curr Prices'!J$11:J$49,,0)*_xlfn.XLOOKUP($A39,'2024 Adj Factor'!$A$11:$A$49,'2024 Adj Factor'!$B$11:$B$49,,0),0)</f>
        <v>0</v>
      </c>
      <c r="K39" s="38">
        <f>+IFERROR(_xlfn.XLOOKUP($A39,'Curr Prices'!$A$11:$A$49,'Curr Prices'!K$11:K$49,,0)*_xlfn.XLOOKUP($A39,'2024 Adj Factor'!$A$11:$A$49,'2024 Adj Factor'!$B$11:$B$49,,0),0)</f>
        <v>0</v>
      </c>
      <c r="L39" s="38">
        <f>+IFERROR(_xlfn.XLOOKUP($A39,'Curr Prices'!$A$11:$A$49,'Curr Prices'!L$11:L$49,,0)*_xlfn.XLOOKUP($A39,'2024 Adj Factor'!$A$11:$A$49,'2024 Adj Factor'!$B$11:$B$49,,0),0)</f>
        <v>0</v>
      </c>
      <c r="M39" s="38">
        <f>+IFERROR(_xlfn.XLOOKUP($A39,'Curr Prices'!$A$11:$A$49,'Curr Prices'!M$11:M$49,,0)*_xlfn.XLOOKUP($A39,'2024 Adj Factor'!$A$11:$A$49,'2024 Adj Factor'!$B$11:$B$49,,0),0)</f>
        <v>0</v>
      </c>
      <c r="N39" s="38">
        <f>+IFERROR(_xlfn.XLOOKUP($A39,'Curr Prices'!$A$11:$A$49,'Curr Prices'!N$11:N$49,,0)*_xlfn.XLOOKUP($A39,'2024 Adj Factor'!$A$11:$A$49,'2024 Adj Factor'!$B$11:$B$49,,0),0)</f>
        <v>0</v>
      </c>
      <c r="O39" s="38">
        <f>+IFERROR(_xlfn.XLOOKUP($A39,'Curr Prices'!$A$11:$A$49,'Curr Prices'!O$11:O$49,,0)*_xlfn.XLOOKUP($A39,'2024 Adj Factor'!$A$11:$A$49,'2024 Adj Factor'!$B$11:$B$49,,0),0)</f>
        <v>0</v>
      </c>
      <c r="P39" s="38">
        <f>+IFERROR(_xlfn.XLOOKUP($A39,'Curr Prices'!$A$11:$A$49,'Curr Prices'!P$11:P$49,,0)*_xlfn.XLOOKUP($A39,'2024 Adj Factor'!$A$11:$A$49,'2024 Adj Factor'!$B$11:$B$49,,0),0)</f>
        <v>0</v>
      </c>
      <c r="Q39" s="38">
        <f>+IFERROR(_xlfn.XLOOKUP($A39,'Curr Prices'!$A$11:$A$49,'Curr Prices'!Q$11:Q$49,,0)*_xlfn.XLOOKUP($A39,'2024 Adj Factor'!$A$11:$A$49,'2024 Adj Factor'!$B$11:$B$49,,0),0)</f>
        <v>0</v>
      </c>
      <c r="R39" s="38">
        <f>+IFERROR(_xlfn.XLOOKUP($A39,'Curr Prices'!$A$11:$A$49,'Curr Prices'!R$11:R$49,,0)*_xlfn.XLOOKUP($A39,'2024 Adj Factor'!$A$11:$A$49,'2024 Adj Factor'!$B$11:$B$49,,0),0)</f>
        <v>0</v>
      </c>
      <c r="S39" s="38">
        <f>+IFERROR(_xlfn.XLOOKUP($A39,'Curr Prices'!$A$11:$A$49,'Curr Prices'!S$11:S$49,,0)*_xlfn.XLOOKUP($A39,'2024 Adj Factor'!$A$11:$A$49,'2024 Adj Factor'!$B$11:$B$49,,0),0)</f>
        <v>0</v>
      </c>
      <c r="T39" s="38">
        <f>+IFERROR(_xlfn.XLOOKUP($A39,'Curr Prices'!$A$11:$A$49,'Curr Prices'!T$11:T$49,,0)*_xlfn.XLOOKUP($A39,'2024 Adj Factor'!$A$11:$A$49,'2024 Adj Factor'!$B$11:$B$49,,0),0)</f>
        <v>0</v>
      </c>
      <c r="U39" s="38">
        <f>+IFERROR(_xlfn.XLOOKUP($A39,'Curr Prices'!$A$11:$A$49,'Curr Prices'!U$11:U$49,,0)*_xlfn.XLOOKUP($A39,'2024 Adj Factor'!$A$11:$A$49,'2024 Adj Factor'!$B$11:$B$49,,0),0)</f>
        <v>0</v>
      </c>
      <c r="V39" s="38">
        <f>+IFERROR(_xlfn.XLOOKUP($A39,'Curr Prices'!$A$11:$A$49,'Curr Prices'!V$11:V$49,,0)*_xlfn.XLOOKUP($A39,'2024 Adj Factor'!$A$11:$A$49,'2024 Adj Factor'!$B$11:$B$49,,0),0)</f>
        <v>0</v>
      </c>
      <c r="W39" s="38">
        <f>+IFERROR(_xlfn.XLOOKUP($A39,'Curr Prices'!$A$11:$A$49,'Curr Prices'!W$11:W$49,,0)*_xlfn.XLOOKUP($A39,'2024 Adj Factor'!$A$11:$A$49,'2024 Adj Factor'!$B$11:$B$49,,0),0)</f>
        <v>0</v>
      </c>
      <c r="X39" s="38">
        <f>+IFERROR(_xlfn.XLOOKUP($A39,'Curr Prices'!$A$11:$A$49,'Curr Prices'!X$11:X$49,,0)*_xlfn.XLOOKUP($A39,'2024 Adj Factor'!$A$11:$A$49,'2024 Adj Factor'!$B$11:$B$49,,0),0)</f>
        <v>0</v>
      </c>
      <c r="Y39" s="38">
        <f>+IFERROR(_xlfn.XLOOKUP($A39,'Curr Prices'!$A$11:$A$49,'Curr Prices'!Y$11:Y$49,,0)*_xlfn.XLOOKUP($A39,'2024 Adj Factor'!$A$11:$A$49,'2024 Adj Factor'!$B$11:$B$49,,0),0)</f>
        <v>0</v>
      </c>
      <c r="Z39" s="38">
        <f>+IFERROR(_xlfn.XLOOKUP($A39,'Curr Prices'!$A$11:$A$49,'Curr Prices'!Z$11:Z$49,,0)*_xlfn.XLOOKUP($A39,'2024 Adj Factor'!$A$11:$A$49,'2024 Adj Factor'!$B$11:$B$49,,0),0)</f>
        <v>0</v>
      </c>
      <c r="AA39" s="38">
        <f>+IFERROR(_xlfn.XLOOKUP($A39,'Curr Prices'!$A$11:$A$49,'Curr Prices'!AA$11:AA$49,,0)*_xlfn.XLOOKUP($A39,'2024 Adj Factor'!$A$11:$A$49,'2024 Adj Factor'!$B$11:$B$49,,0),0)</f>
        <v>0</v>
      </c>
      <c r="AB39" s="38">
        <f>+IFERROR(_xlfn.XLOOKUP($A39,'Curr Prices'!$A$11:$A$49,'Curr Prices'!AB$11:AB$49,,0)*_xlfn.XLOOKUP($A39,'2024 Adj Factor'!$A$11:$A$49,'2024 Adj Factor'!$B$11:$B$49,,0),0)</f>
        <v>0</v>
      </c>
      <c r="AC39" s="38">
        <f>+IFERROR(_xlfn.XLOOKUP($A39,'Curr Prices'!$A$11:$A$49,'Curr Prices'!AC$11:AC$49,,0)*_xlfn.XLOOKUP($A39,'2024 Adj Factor'!$A$11:$A$49,'2024 Adj Factor'!$B$11:$B$49,,0),0)</f>
        <v>0</v>
      </c>
      <c r="AD39" s="38">
        <f>+IFERROR(_xlfn.XLOOKUP($A39,'Curr Prices'!$A$11:$A$49,'Curr Prices'!AD$11:AD$49,,0)*_xlfn.XLOOKUP($A39,'2024 Adj Factor'!$A$11:$A$49,'2024 Adj Factor'!$B$11:$B$49,,0),0)</f>
        <v>2032369.2</v>
      </c>
      <c r="AE39" s="39">
        <f>+IFERROR(_xlfn.XLOOKUP($A39,'Curr Prices'!$A$11:$A$49,'Curr Prices'!AE$11:AE$49,,0)*_xlfn.XLOOKUP($A39,'2024 Adj Factor'!$A$11:$A$49,'2024 Adj Factor'!$B$11:$B$49,,0),0)</f>
        <v>0</v>
      </c>
    </row>
    <row r="40" spans="1:31" ht="15" x14ac:dyDescent="0.25">
      <c r="A40" s="33" t="s">
        <v>49</v>
      </c>
      <c r="B40" s="40">
        <f>+IFERROR(_xlfn.XLOOKUP($A40,'Curr Prices'!$A$11:$A$49,'Curr Prices'!B$11:B$49,,0)*_xlfn.XLOOKUP($A40,'2024 Adj Factor'!$A$11:$A$49,'2024 Adj Factor'!$B$11:$B$49,,0),0)</f>
        <v>0</v>
      </c>
      <c r="C40" s="41">
        <f>+IFERROR(_xlfn.XLOOKUP($A40,'Curr Prices'!$A$11:$A$49,'Curr Prices'!C$11:C$49,,0)*_xlfn.XLOOKUP($A40,'2024 Adj Factor'!$A$11:$A$49,'2024 Adj Factor'!$B$11:$B$49,,0),0)</f>
        <v>0</v>
      </c>
      <c r="D40" s="41">
        <f>+IFERROR(_xlfn.XLOOKUP($A40,'Curr Prices'!$A$11:$A$49,'Curr Prices'!D$11:D$49,,0)*_xlfn.XLOOKUP($A40,'2024 Adj Factor'!$A$11:$A$49,'2024 Adj Factor'!$B$11:$B$49,,0),0)</f>
        <v>0</v>
      </c>
      <c r="E40" s="41">
        <f>+IFERROR(_xlfn.XLOOKUP($A40,'Curr Prices'!$A$11:$A$49,'Curr Prices'!E$11:E$49,,0)*_xlfn.XLOOKUP($A40,'2024 Adj Factor'!$A$11:$A$49,'2024 Adj Factor'!$B$11:$B$49,,0),0)</f>
        <v>0</v>
      </c>
      <c r="F40" s="41">
        <f>+IFERROR(_xlfn.XLOOKUP($A40,'Curr Prices'!$A$11:$A$49,'Curr Prices'!F$11:F$49,,0)*_xlfn.XLOOKUP($A40,'2024 Adj Factor'!$A$11:$A$49,'2024 Adj Factor'!$B$11:$B$49,,0),0)</f>
        <v>0</v>
      </c>
      <c r="G40" s="41">
        <f>+IFERROR(_xlfn.XLOOKUP($A40,'Curr Prices'!$A$11:$A$49,'Curr Prices'!G$11:G$49,,0)*_xlfn.XLOOKUP($A40,'2024 Adj Factor'!$A$11:$A$49,'2024 Adj Factor'!$B$11:$B$49,,0),0)</f>
        <v>0</v>
      </c>
      <c r="H40" s="41">
        <f>+IFERROR(_xlfn.XLOOKUP($A40,'Curr Prices'!$A$11:$A$49,'Curr Prices'!H$11:H$49,,0)*_xlfn.XLOOKUP($A40,'2024 Adj Factor'!$A$11:$A$49,'2024 Adj Factor'!$B$11:$B$49,,0),0)</f>
        <v>0</v>
      </c>
      <c r="I40" s="41">
        <f>+IFERROR(_xlfn.XLOOKUP($A40,'Curr Prices'!$A$11:$A$49,'Curr Prices'!I$11:I$49,,0)*_xlfn.XLOOKUP($A40,'2024 Adj Factor'!$A$11:$A$49,'2024 Adj Factor'!$B$11:$B$49,,0),0)</f>
        <v>0</v>
      </c>
      <c r="J40" s="41">
        <f>+IFERROR(_xlfn.XLOOKUP($A40,'Curr Prices'!$A$11:$A$49,'Curr Prices'!J$11:J$49,,0)*_xlfn.XLOOKUP($A40,'2024 Adj Factor'!$A$11:$A$49,'2024 Adj Factor'!$B$11:$B$49,,0),0)</f>
        <v>0</v>
      </c>
      <c r="K40" s="41">
        <f>+IFERROR(_xlfn.XLOOKUP($A40,'Curr Prices'!$A$11:$A$49,'Curr Prices'!K$11:K$49,,0)*_xlfn.XLOOKUP($A40,'2024 Adj Factor'!$A$11:$A$49,'2024 Adj Factor'!$B$11:$B$49,,0),0)</f>
        <v>0</v>
      </c>
      <c r="L40" s="41">
        <f>+IFERROR(_xlfn.XLOOKUP($A40,'Curr Prices'!$A$11:$A$49,'Curr Prices'!L$11:L$49,,0)*_xlfn.XLOOKUP($A40,'2024 Adj Factor'!$A$11:$A$49,'2024 Adj Factor'!$B$11:$B$49,,0),0)</f>
        <v>0</v>
      </c>
      <c r="M40" s="41">
        <f>+IFERROR(_xlfn.XLOOKUP($A40,'Curr Prices'!$A$11:$A$49,'Curr Prices'!M$11:M$49,,0)*_xlfn.XLOOKUP($A40,'2024 Adj Factor'!$A$11:$A$49,'2024 Adj Factor'!$B$11:$B$49,,0),0)</f>
        <v>0</v>
      </c>
      <c r="N40" s="41">
        <f>+IFERROR(_xlfn.XLOOKUP($A40,'Curr Prices'!$A$11:$A$49,'Curr Prices'!N$11:N$49,,0)*_xlfn.XLOOKUP($A40,'2024 Adj Factor'!$A$11:$A$49,'2024 Adj Factor'!$B$11:$B$49,,0),0)</f>
        <v>0</v>
      </c>
      <c r="O40" s="41">
        <f>+IFERROR(_xlfn.XLOOKUP($A40,'Curr Prices'!$A$11:$A$49,'Curr Prices'!O$11:O$49,,0)*_xlfn.XLOOKUP($A40,'2024 Adj Factor'!$A$11:$A$49,'2024 Adj Factor'!$B$11:$B$49,,0),0)</f>
        <v>0</v>
      </c>
      <c r="P40" s="41">
        <f>+IFERROR(_xlfn.XLOOKUP($A40,'Curr Prices'!$A$11:$A$49,'Curr Prices'!P$11:P$49,,0)*_xlfn.XLOOKUP($A40,'2024 Adj Factor'!$A$11:$A$49,'2024 Adj Factor'!$B$11:$B$49,,0),0)</f>
        <v>0</v>
      </c>
      <c r="Q40" s="41">
        <f>+IFERROR(_xlfn.XLOOKUP($A40,'Curr Prices'!$A$11:$A$49,'Curr Prices'!Q$11:Q$49,,0)*_xlfn.XLOOKUP($A40,'2024 Adj Factor'!$A$11:$A$49,'2024 Adj Factor'!$B$11:$B$49,,0),0)</f>
        <v>0</v>
      </c>
      <c r="R40" s="41">
        <f>+IFERROR(_xlfn.XLOOKUP($A40,'Curr Prices'!$A$11:$A$49,'Curr Prices'!R$11:R$49,,0)*_xlfn.XLOOKUP($A40,'2024 Adj Factor'!$A$11:$A$49,'2024 Adj Factor'!$B$11:$B$49,,0),0)</f>
        <v>0</v>
      </c>
      <c r="S40" s="41">
        <f>+IFERROR(_xlfn.XLOOKUP($A40,'Curr Prices'!$A$11:$A$49,'Curr Prices'!S$11:S$49,,0)*_xlfn.XLOOKUP($A40,'2024 Adj Factor'!$A$11:$A$49,'2024 Adj Factor'!$B$11:$B$49,,0),0)</f>
        <v>0</v>
      </c>
      <c r="T40" s="41">
        <f>+IFERROR(_xlfn.XLOOKUP($A40,'Curr Prices'!$A$11:$A$49,'Curr Prices'!T$11:T$49,,0)*_xlfn.XLOOKUP($A40,'2024 Adj Factor'!$A$11:$A$49,'2024 Adj Factor'!$B$11:$B$49,,0),0)</f>
        <v>0</v>
      </c>
      <c r="U40" s="41">
        <f>+IFERROR(_xlfn.XLOOKUP($A40,'Curr Prices'!$A$11:$A$49,'Curr Prices'!U$11:U$49,,0)*_xlfn.XLOOKUP($A40,'2024 Adj Factor'!$A$11:$A$49,'2024 Adj Factor'!$B$11:$B$49,,0),0)</f>
        <v>0</v>
      </c>
      <c r="V40" s="41">
        <f>+IFERROR(_xlfn.XLOOKUP($A40,'Curr Prices'!$A$11:$A$49,'Curr Prices'!V$11:V$49,,0)*_xlfn.XLOOKUP($A40,'2024 Adj Factor'!$A$11:$A$49,'2024 Adj Factor'!$B$11:$B$49,,0),0)</f>
        <v>0</v>
      </c>
      <c r="W40" s="41">
        <f>+IFERROR(_xlfn.XLOOKUP($A40,'Curr Prices'!$A$11:$A$49,'Curr Prices'!W$11:W$49,,0)*_xlfn.XLOOKUP($A40,'2024 Adj Factor'!$A$11:$A$49,'2024 Adj Factor'!$B$11:$B$49,,0),0)</f>
        <v>0</v>
      </c>
      <c r="X40" s="41">
        <f>+IFERROR(_xlfn.XLOOKUP($A40,'Curr Prices'!$A$11:$A$49,'Curr Prices'!X$11:X$49,,0)*_xlfn.XLOOKUP($A40,'2024 Adj Factor'!$A$11:$A$49,'2024 Adj Factor'!$B$11:$B$49,,0),0)</f>
        <v>0</v>
      </c>
      <c r="Y40" s="41">
        <f>+IFERROR(_xlfn.XLOOKUP($A40,'Curr Prices'!$A$11:$A$49,'Curr Prices'!Y$11:Y$49,,0)*_xlfn.XLOOKUP($A40,'2024 Adj Factor'!$A$11:$A$49,'2024 Adj Factor'!$B$11:$B$49,,0),0)</f>
        <v>0</v>
      </c>
      <c r="Z40" s="41">
        <f>+IFERROR(_xlfn.XLOOKUP($A40,'Curr Prices'!$A$11:$A$49,'Curr Prices'!Z$11:Z$49,,0)*_xlfn.XLOOKUP($A40,'2024 Adj Factor'!$A$11:$A$49,'2024 Adj Factor'!$B$11:$B$49,,0),0)</f>
        <v>0</v>
      </c>
      <c r="AA40" s="41">
        <f>+IFERROR(_xlfn.XLOOKUP($A40,'Curr Prices'!$A$11:$A$49,'Curr Prices'!AA$11:AA$49,,0)*_xlfn.XLOOKUP($A40,'2024 Adj Factor'!$A$11:$A$49,'2024 Adj Factor'!$B$11:$B$49,,0),0)</f>
        <v>0</v>
      </c>
      <c r="AB40" s="41">
        <f>+IFERROR(_xlfn.XLOOKUP($A40,'Curr Prices'!$A$11:$A$49,'Curr Prices'!AB$11:AB$49,,0)*_xlfn.XLOOKUP($A40,'2024 Adj Factor'!$A$11:$A$49,'2024 Adj Factor'!$B$11:$B$49,,0),0)</f>
        <v>0</v>
      </c>
      <c r="AC40" s="41">
        <f>+IFERROR(_xlfn.XLOOKUP($A40,'Curr Prices'!$A$11:$A$49,'Curr Prices'!AC$11:AC$49,,0)*_xlfn.XLOOKUP($A40,'2024 Adj Factor'!$A$11:$A$49,'2024 Adj Factor'!$B$11:$B$49,,0),0)</f>
        <v>0</v>
      </c>
      <c r="AD40" s="41">
        <f>+IFERROR(_xlfn.XLOOKUP($A40,'Curr Prices'!$A$11:$A$49,'Curr Prices'!AD$11:AD$49,,0)*_xlfn.XLOOKUP($A40,'2024 Adj Factor'!$A$11:$A$49,'2024 Adj Factor'!$B$11:$B$49,,0),0)</f>
        <v>0</v>
      </c>
      <c r="AE40" s="42">
        <f>+IFERROR(_xlfn.XLOOKUP($A40,'Curr Prices'!$A$11:$A$49,'Curr Prices'!AE$11:AE$49,,0)*_xlfn.XLOOKUP($A40,'2024 Adj Factor'!$A$11:$A$49,'2024 Adj Factor'!$B$11:$B$49,,0),0)</f>
        <v>0</v>
      </c>
    </row>
    <row r="42" spans="1:31" ht="15" x14ac:dyDescent="0.25"/>
    <row r="43" spans="1:31" ht="15" x14ac:dyDescent="0.25"/>
    <row r="44" spans="1:31" ht="15" x14ac:dyDescent="0.25"/>
    <row r="45" spans="1:31" ht="15" x14ac:dyDescent="0.25"/>
    <row r="46" spans="1:31" ht="15" x14ac:dyDescent="0.25"/>
    <row r="47" spans="1:31" ht="15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B6611-82C6-4A8E-A4A3-DD53F3EC53DE}">
  <dimension ref="A1:AU40"/>
  <sheetViews>
    <sheetView showGridLines="0" tabSelected="1" topLeftCell="F41" zoomScale="60" zoomScaleNormal="60" workbookViewId="0">
      <selection activeCell="AM108" sqref="AM108"/>
    </sheetView>
  </sheetViews>
  <sheetFormatPr defaultColWidth="9.140625" defaultRowHeight="15" x14ac:dyDescent="0.25"/>
  <cols>
    <col min="1" max="1" width="9.140625" style="47"/>
    <col min="2" max="2" width="12.5703125" style="47" bestFit="1" customWidth="1"/>
    <col min="3" max="3" width="11.42578125" style="47" bestFit="1" customWidth="1"/>
    <col min="4" max="5" width="10.28515625" style="47" bestFit="1" customWidth="1"/>
    <col min="6" max="6" width="11.28515625" style="47" bestFit="1" customWidth="1"/>
    <col min="7" max="8" width="10.140625" style="47" bestFit="1" customWidth="1"/>
    <col min="9" max="9" width="10.28515625" style="47" bestFit="1" customWidth="1"/>
    <col min="10" max="14" width="10.140625" style="47" bestFit="1" customWidth="1"/>
    <col min="15" max="15" width="10.28515625" style="47" bestFit="1" customWidth="1"/>
    <col min="16" max="16" width="10.140625" style="47" bestFit="1" customWidth="1"/>
    <col min="17" max="17" width="11.28515625" style="47" bestFit="1" customWidth="1"/>
    <col min="18" max="18" width="10.28515625" style="47" bestFit="1" customWidth="1"/>
    <col min="19" max="19" width="10.140625" style="47" bestFit="1" customWidth="1"/>
    <col min="20" max="20" width="11.28515625" style="47" bestFit="1" customWidth="1"/>
    <col min="21" max="21" width="10.140625" style="47" bestFit="1" customWidth="1"/>
    <col min="22" max="22" width="11.42578125" style="47" bestFit="1" customWidth="1"/>
    <col min="23" max="23" width="11.28515625" style="47" bestFit="1" customWidth="1"/>
    <col min="24" max="24" width="10.140625" style="47" bestFit="1" customWidth="1"/>
    <col min="25" max="25" width="11.28515625" style="47" bestFit="1" customWidth="1"/>
    <col min="26" max="31" width="10.140625" style="47" bestFit="1" customWidth="1"/>
    <col min="32" max="32" width="11.42578125" style="47" bestFit="1" customWidth="1"/>
    <col min="33" max="33" width="10.140625" style="47" bestFit="1" customWidth="1"/>
    <col min="34" max="34" width="10.28515625" style="47" bestFit="1" customWidth="1"/>
    <col min="35" max="35" width="11.42578125" style="47" bestFit="1" customWidth="1"/>
    <col min="36" max="36" width="11.28515625" style="47" bestFit="1" customWidth="1"/>
    <col min="37" max="38" width="10.140625" style="47" bestFit="1" customWidth="1"/>
    <col min="39" max="39" width="10.28515625" style="47" bestFit="1" customWidth="1"/>
    <col min="40" max="41" width="11.28515625" style="47" bestFit="1" customWidth="1"/>
    <col min="42" max="43" width="10.28515625" style="47" bestFit="1" customWidth="1"/>
    <col min="44" max="45" width="11.28515625" style="47" bestFit="1" customWidth="1"/>
    <col min="46" max="46" width="11.42578125" style="47" bestFit="1" customWidth="1"/>
    <col min="47" max="47" width="11.28515625" style="47" bestFit="1" customWidth="1"/>
    <col min="48" max="16384" width="9.140625" style="47"/>
  </cols>
  <sheetData>
    <row r="1" spans="1:47" x14ac:dyDescent="0.25">
      <c r="A1" s="66" t="s">
        <v>54</v>
      </c>
      <c r="B1" s="67" t="s">
        <v>55</v>
      </c>
      <c r="C1" s="45">
        <v>1980</v>
      </c>
      <c r="D1" s="46">
        <v>1981</v>
      </c>
      <c r="E1" s="46">
        <v>1982</v>
      </c>
      <c r="F1" s="46">
        <v>1983</v>
      </c>
      <c r="G1" s="46">
        <v>1984</v>
      </c>
      <c r="H1" s="46">
        <v>1985</v>
      </c>
      <c r="I1" s="46">
        <v>1986</v>
      </c>
      <c r="J1" s="46">
        <v>1987</v>
      </c>
      <c r="K1" s="46">
        <v>1988</v>
      </c>
      <c r="L1" s="46">
        <v>1989</v>
      </c>
      <c r="M1" s="46">
        <v>1990</v>
      </c>
      <c r="N1" s="46">
        <v>1991</v>
      </c>
      <c r="O1" s="46">
        <v>1992</v>
      </c>
      <c r="P1" s="46">
        <v>1993</v>
      </c>
      <c r="Q1" s="46">
        <v>1994</v>
      </c>
      <c r="R1" s="46">
        <v>1995</v>
      </c>
      <c r="S1" s="46">
        <v>1996</v>
      </c>
      <c r="T1" s="46">
        <v>1997</v>
      </c>
      <c r="U1" s="46">
        <v>1998</v>
      </c>
      <c r="V1" s="46">
        <v>1999</v>
      </c>
      <c r="W1" s="46">
        <v>2000</v>
      </c>
      <c r="X1" s="46">
        <v>2001</v>
      </c>
      <c r="Y1" s="46">
        <v>2002</v>
      </c>
      <c r="Z1" s="46">
        <v>2003</v>
      </c>
      <c r="AA1" s="46">
        <v>2004</v>
      </c>
      <c r="AB1" s="46">
        <v>2005</v>
      </c>
      <c r="AC1" s="46">
        <v>2006</v>
      </c>
      <c r="AD1" s="46">
        <v>2007</v>
      </c>
      <c r="AE1" s="46">
        <v>2008</v>
      </c>
      <c r="AF1" s="46">
        <v>2009</v>
      </c>
      <c r="AG1" s="46">
        <v>2010</v>
      </c>
      <c r="AH1" s="46">
        <v>2011</v>
      </c>
      <c r="AI1" s="46">
        <v>2012</v>
      </c>
      <c r="AJ1" s="46">
        <v>2013</v>
      </c>
      <c r="AK1" s="46">
        <v>2014</v>
      </c>
      <c r="AL1" s="46">
        <v>2015</v>
      </c>
      <c r="AM1" s="46">
        <v>2016</v>
      </c>
      <c r="AN1" s="46">
        <v>2017</v>
      </c>
      <c r="AO1" s="46">
        <v>2018</v>
      </c>
      <c r="AP1" s="46">
        <v>2019</v>
      </c>
      <c r="AQ1" s="46">
        <v>2020</v>
      </c>
      <c r="AR1" s="46">
        <v>2021</v>
      </c>
      <c r="AS1" s="46">
        <v>2022</v>
      </c>
      <c r="AT1" s="46">
        <v>2023</v>
      </c>
      <c r="AU1" s="44">
        <v>2024</v>
      </c>
    </row>
    <row r="2" spans="1:47" x14ac:dyDescent="0.25">
      <c r="A2" s="68" t="s">
        <v>99</v>
      </c>
      <c r="B2" s="69" t="s">
        <v>46</v>
      </c>
      <c r="C2" s="50">
        <v>0</v>
      </c>
      <c r="D2" s="51">
        <v>26.988</v>
      </c>
      <c r="E2" s="51">
        <v>21.204999999999998</v>
      </c>
      <c r="F2" s="51">
        <v>0</v>
      </c>
      <c r="G2" s="51">
        <v>0.11</v>
      </c>
      <c r="H2" s="51">
        <v>0</v>
      </c>
      <c r="I2" s="51">
        <v>8.3000000000000004E-2</v>
      </c>
      <c r="J2" s="51">
        <v>0</v>
      </c>
      <c r="K2" s="51">
        <v>4.99</v>
      </c>
      <c r="L2" s="51">
        <v>83.882000000000005</v>
      </c>
      <c r="M2" s="51">
        <v>0</v>
      </c>
      <c r="N2" s="51">
        <v>0</v>
      </c>
      <c r="O2" s="51">
        <v>42.555999999999997</v>
      </c>
      <c r="P2" s="51">
        <v>0</v>
      </c>
      <c r="Q2" s="51">
        <v>0</v>
      </c>
      <c r="R2" s="51">
        <v>21.559000000000001</v>
      </c>
      <c r="S2" s="51">
        <v>1.0249999999999999</v>
      </c>
      <c r="T2" s="51">
        <v>1.238</v>
      </c>
      <c r="U2" s="51">
        <v>1.163</v>
      </c>
      <c r="V2" s="51">
        <v>0</v>
      </c>
      <c r="W2" s="51">
        <v>0</v>
      </c>
      <c r="X2" s="51">
        <v>0</v>
      </c>
      <c r="Y2" s="51">
        <v>50.05</v>
      </c>
      <c r="Z2" s="51">
        <v>0</v>
      </c>
      <c r="AA2" s="51">
        <v>0.23</v>
      </c>
      <c r="AB2" s="51">
        <v>13.422000000000001</v>
      </c>
      <c r="AC2" s="51">
        <v>0.76300000000000001</v>
      </c>
      <c r="AD2" s="51">
        <v>0.70299999999999996</v>
      </c>
      <c r="AE2" s="51">
        <v>0</v>
      </c>
      <c r="AF2" s="51">
        <v>8.5730000000000004</v>
      </c>
      <c r="AG2" s="51">
        <v>153.95500000000001</v>
      </c>
      <c r="AH2" s="51">
        <v>0</v>
      </c>
      <c r="AI2" s="51">
        <v>0</v>
      </c>
      <c r="AJ2" s="51">
        <v>0</v>
      </c>
      <c r="AK2" s="51">
        <v>5.1559999999999997</v>
      </c>
      <c r="AL2" s="51">
        <v>0</v>
      </c>
      <c r="AM2" s="51">
        <v>16.111000000000001</v>
      </c>
      <c r="AN2" s="51">
        <v>78.715000000000003</v>
      </c>
      <c r="AO2" s="51">
        <v>0</v>
      </c>
      <c r="AP2" s="51">
        <v>1567.576</v>
      </c>
      <c r="AQ2" s="51">
        <v>0</v>
      </c>
      <c r="AR2" s="51">
        <v>79.471999999999994</v>
      </c>
      <c r="AS2" s="51">
        <v>1.2</v>
      </c>
      <c r="AT2" s="51">
        <v>0</v>
      </c>
      <c r="AU2" s="52">
        <v>0.61599999999999999</v>
      </c>
    </row>
    <row r="3" spans="1:47" x14ac:dyDescent="0.25">
      <c r="A3" s="70" t="s">
        <v>61</v>
      </c>
      <c r="B3" s="71" t="s">
        <v>30</v>
      </c>
      <c r="C3" s="58">
        <v>0</v>
      </c>
      <c r="D3" s="59">
        <v>0.21199999999999999</v>
      </c>
      <c r="E3" s="59">
        <v>1.849</v>
      </c>
      <c r="F3" s="59">
        <v>1.742</v>
      </c>
      <c r="G3" s="59">
        <v>0</v>
      </c>
      <c r="H3" s="59">
        <v>0</v>
      </c>
      <c r="I3" s="59">
        <v>0</v>
      </c>
      <c r="J3" s="59">
        <v>446.17</v>
      </c>
      <c r="K3" s="59">
        <v>0</v>
      </c>
      <c r="L3" s="59">
        <v>0.31</v>
      </c>
      <c r="M3" s="59">
        <v>551.87900000000002</v>
      </c>
      <c r="N3" s="59">
        <v>197.07400000000001</v>
      </c>
      <c r="O3" s="59">
        <v>0.14199999999999999</v>
      </c>
      <c r="P3" s="59">
        <v>1.627</v>
      </c>
      <c r="Q3" s="59">
        <v>3.149</v>
      </c>
      <c r="R3" s="59">
        <v>5.8259999999999996</v>
      </c>
      <c r="S3" s="59">
        <v>6.7489999999999997</v>
      </c>
      <c r="T3" s="59">
        <v>331.55599999999998</v>
      </c>
      <c r="U3" s="59">
        <v>0</v>
      </c>
      <c r="V3" s="59">
        <v>201.249</v>
      </c>
      <c r="W3" s="59">
        <v>308.93900000000002</v>
      </c>
      <c r="X3" s="59">
        <v>1.0449999999999999</v>
      </c>
      <c r="Y3" s="59">
        <v>4486.759</v>
      </c>
      <c r="Z3" s="59">
        <v>414.77</v>
      </c>
      <c r="AA3" s="59">
        <v>0.66100000000000003</v>
      </c>
      <c r="AB3" s="59">
        <v>938.87199999999996</v>
      </c>
      <c r="AC3" s="59">
        <v>736.24400000000003</v>
      </c>
      <c r="AD3" s="59">
        <v>457.63499999999999</v>
      </c>
      <c r="AE3" s="59">
        <v>625.14</v>
      </c>
      <c r="AF3" s="59">
        <v>701.02700000000004</v>
      </c>
      <c r="AG3" s="59">
        <v>1699.357</v>
      </c>
      <c r="AH3" s="59">
        <v>0</v>
      </c>
      <c r="AI3" s="59">
        <v>26.931999999999999</v>
      </c>
      <c r="AJ3" s="59">
        <v>1182.7180000000001</v>
      </c>
      <c r="AK3" s="59">
        <v>0</v>
      </c>
      <c r="AL3" s="59">
        <v>0</v>
      </c>
      <c r="AM3" s="59">
        <v>30.056000000000001</v>
      </c>
      <c r="AN3" s="59">
        <v>1245.8679999999999</v>
      </c>
      <c r="AO3" s="59">
        <v>815.351</v>
      </c>
      <c r="AP3" s="59">
        <v>630.06500000000005</v>
      </c>
      <c r="AQ3" s="59">
        <v>248.38</v>
      </c>
      <c r="AR3" s="59">
        <v>868.154</v>
      </c>
      <c r="AS3" s="59">
        <v>219.994</v>
      </c>
      <c r="AT3" s="59">
        <v>414.565</v>
      </c>
      <c r="AU3" s="60">
        <v>2031.5070000000001</v>
      </c>
    </row>
    <row r="4" spans="1:47" x14ac:dyDescent="0.25">
      <c r="A4" s="70" t="s">
        <v>62</v>
      </c>
      <c r="B4" s="71" t="s">
        <v>43</v>
      </c>
      <c r="C4" s="58">
        <v>0</v>
      </c>
      <c r="D4" s="59">
        <v>16.035</v>
      </c>
      <c r="E4" s="59">
        <v>0</v>
      </c>
      <c r="F4" s="59">
        <v>0</v>
      </c>
      <c r="G4" s="59">
        <v>7.9459999999999997</v>
      </c>
      <c r="H4" s="59">
        <v>0</v>
      </c>
      <c r="I4" s="59">
        <v>0</v>
      </c>
      <c r="J4" s="59">
        <v>0</v>
      </c>
      <c r="K4" s="59">
        <v>0.215</v>
      </c>
      <c r="L4" s="59">
        <v>11.249000000000001</v>
      </c>
      <c r="M4" s="59">
        <v>5.2110000000000003</v>
      </c>
      <c r="N4" s="59">
        <v>0</v>
      </c>
      <c r="O4" s="59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387.459</v>
      </c>
      <c r="X4" s="59">
        <v>0</v>
      </c>
      <c r="Y4" s="59">
        <v>0</v>
      </c>
      <c r="Z4" s="59">
        <v>442.59800000000001</v>
      </c>
      <c r="AA4" s="59">
        <v>24.39</v>
      </c>
      <c r="AB4" s="59">
        <v>0</v>
      </c>
      <c r="AC4" s="59">
        <v>0</v>
      </c>
      <c r="AD4" s="59">
        <v>0</v>
      </c>
      <c r="AE4" s="59">
        <v>0</v>
      </c>
      <c r="AF4" s="59">
        <v>0.114</v>
      </c>
      <c r="AG4" s="59">
        <v>487.85599999999999</v>
      </c>
      <c r="AH4" s="59">
        <v>7.0999999999999994E-2</v>
      </c>
      <c r="AI4" s="59">
        <v>1531.569</v>
      </c>
      <c r="AJ4" s="59">
        <v>2.0779999999999998</v>
      </c>
      <c r="AK4" s="59">
        <v>1733.95</v>
      </c>
      <c r="AL4" s="59">
        <v>215.38499999999999</v>
      </c>
      <c r="AM4" s="59">
        <v>0</v>
      </c>
      <c r="AN4" s="59">
        <v>0</v>
      </c>
      <c r="AO4" s="59">
        <v>0</v>
      </c>
      <c r="AP4" s="59">
        <v>22.109000000000002</v>
      </c>
      <c r="AQ4" s="59">
        <v>15.842000000000001</v>
      </c>
      <c r="AR4" s="59">
        <v>0.52800000000000002</v>
      </c>
      <c r="AS4" s="59">
        <v>32.052</v>
      </c>
      <c r="AT4" s="59">
        <v>10.596</v>
      </c>
      <c r="AU4" s="60">
        <v>457.52800000000002</v>
      </c>
    </row>
    <row r="5" spans="1:47" x14ac:dyDescent="0.25">
      <c r="A5" s="70" t="s">
        <v>63</v>
      </c>
      <c r="B5" s="71" t="s">
        <v>9</v>
      </c>
      <c r="C5" s="58">
        <v>0</v>
      </c>
      <c r="D5" s="59">
        <v>0</v>
      </c>
      <c r="E5" s="59">
        <v>0</v>
      </c>
      <c r="F5" s="59">
        <v>146.82599999999999</v>
      </c>
      <c r="G5" s="59">
        <v>0</v>
      </c>
      <c r="H5" s="59">
        <v>0</v>
      </c>
      <c r="I5" s="59">
        <v>0</v>
      </c>
      <c r="J5" s="59">
        <v>0</v>
      </c>
      <c r="K5" s="59">
        <v>0</v>
      </c>
      <c r="L5" s="59">
        <v>0</v>
      </c>
      <c r="M5" s="59">
        <v>1510.549</v>
      </c>
      <c r="N5" s="59">
        <v>0</v>
      </c>
      <c r="O5" s="59">
        <v>0</v>
      </c>
      <c r="P5" s="59">
        <v>22.76</v>
      </c>
      <c r="Q5" s="59">
        <v>30.844000000000001</v>
      </c>
      <c r="R5" s="59">
        <v>133.15299999999999</v>
      </c>
      <c r="S5" s="59">
        <v>4.2060000000000004</v>
      </c>
      <c r="T5" s="59">
        <v>0</v>
      </c>
      <c r="U5" s="59">
        <v>15.374000000000001</v>
      </c>
      <c r="V5" s="59">
        <v>84.74</v>
      </c>
      <c r="W5" s="59">
        <v>0.98699999999999999</v>
      </c>
      <c r="X5" s="59">
        <v>1.028</v>
      </c>
      <c r="Y5" s="59">
        <v>8.09</v>
      </c>
      <c r="Z5" s="59">
        <v>0.76800000000000002</v>
      </c>
      <c r="AA5" s="59">
        <v>0.70899999999999996</v>
      </c>
      <c r="AB5" s="59">
        <v>77.763999999999996</v>
      </c>
      <c r="AC5" s="59">
        <v>0</v>
      </c>
      <c r="AD5" s="59">
        <v>502.58600000000001</v>
      </c>
      <c r="AE5" s="59">
        <v>42.384999999999998</v>
      </c>
      <c r="AF5" s="59">
        <v>0</v>
      </c>
      <c r="AG5" s="59">
        <v>605.67200000000003</v>
      </c>
      <c r="AH5" s="59">
        <v>98.242000000000004</v>
      </c>
      <c r="AI5" s="59">
        <v>0</v>
      </c>
      <c r="AJ5" s="59">
        <v>0.249</v>
      </c>
      <c r="AK5" s="59">
        <v>783.25800000000004</v>
      </c>
      <c r="AL5" s="59">
        <v>38.908000000000001</v>
      </c>
      <c r="AM5" s="59">
        <v>318.733</v>
      </c>
      <c r="AN5" s="59">
        <v>31.56</v>
      </c>
      <c r="AO5" s="59">
        <v>256.71199999999999</v>
      </c>
      <c r="AP5" s="59">
        <v>296.03800000000001</v>
      </c>
      <c r="AQ5" s="59">
        <v>616.86400000000003</v>
      </c>
      <c r="AR5" s="59">
        <v>11653.026</v>
      </c>
      <c r="AS5" s="59">
        <v>945.75099999999998</v>
      </c>
      <c r="AT5" s="59">
        <v>121.13500000000001</v>
      </c>
      <c r="AU5" s="60">
        <v>202.09399999999999</v>
      </c>
    </row>
    <row r="6" spans="1:47" x14ac:dyDescent="0.25">
      <c r="A6" s="70" t="s">
        <v>64</v>
      </c>
      <c r="B6" s="71" t="s">
        <v>12</v>
      </c>
      <c r="C6" s="58">
        <v>0</v>
      </c>
      <c r="D6" s="59">
        <v>0</v>
      </c>
      <c r="E6" s="59">
        <v>0</v>
      </c>
      <c r="F6" s="59">
        <v>0</v>
      </c>
      <c r="G6" s="59">
        <v>0</v>
      </c>
      <c r="H6" s="59">
        <v>0</v>
      </c>
      <c r="I6" s="59">
        <v>62.017000000000003</v>
      </c>
      <c r="J6" s="59">
        <v>0</v>
      </c>
      <c r="K6" s="59">
        <v>0</v>
      </c>
      <c r="L6" s="59">
        <v>0</v>
      </c>
      <c r="M6" s="59">
        <v>2.024</v>
      </c>
      <c r="N6" s="59">
        <v>644.31200000000001</v>
      </c>
      <c r="O6" s="59">
        <v>0</v>
      </c>
      <c r="P6" s="59">
        <v>0</v>
      </c>
      <c r="Q6" s="59">
        <v>0</v>
      </c>
      <c r="R6" s="59">
        <v>0</v>
      </c>
      <c r="S6" s="59">
        <v>27.452000000000002</v>
      </c>
      <c r="T6" s="59">
        <v>2.7890000000000001</v>
      </c>
      <c r="U6" s="59">
        <v>2.9060000000000001</v>
      </c>
      <c r="V6" s="59">
        <v>10.050000000000001</v>
      </c>
      <c r="W6" s="59">
        <v>64.076999999999998</v>
      </c>
      <c r="X6" s="59">
        <v>0</v>
      </c>
      <c r="Y6" s="59">
        <v>3.0990000000000002</v>
      </c>
      <c r="Z6" s="59">
        <v>5.016</v>
      </c>
      <c r="AA6" s="59">
        <v>1.2649999999999999</v>
      </c>
      <c r="AB6" s="59">
        <v>2588.069</v>
      </c>
      <c r="AC6" s="59">
        <v>1.2350000000000001</v>
      </c>
      <c r="AD6" s="59">
        <v>4.0149999999999997</v>
      </c>
      <c r="AE6" s="59">
        <v>0</v>
      </c>
      <c r="AF6" s="59">
        <v>0.106</v>
      </c>
      <c r="AG6" s="59">
        <v>0</v>
      </c>
      <c r="AH6" s="59">
        <v>0</v>
      </c>
      <c r="AI6" s="59">
        <v>24.535</v>
      </c>
      <c r="AJ6" s="59">
        <v>6.5720000000000001</v>
      </c>
      <c r="AK6" s="59">
        <v>1421.4490000000001</v>
      </c>
      <c r="AL6" s="59">
        <v>1293.769</v>
      </c>
      <c r="AM6" s="59">
        <v>0</v>
      </c>
      <c r="AN6" s="59">
        <v>142.59</v>
      </c>
      <c r="AO6" s="59">
        <v>0</v>
      </c>
      <c r="AP6" s="59">
        <v>0</v>
      </c>
      <c r="AQ6" s="59">
        <v>6.8390000000000004</v>
      </c>
      <c r="AR6" s="59">
        <v>2.2210000000000001</v>
      </c>
      <c r="AS6" s="59">
        <v>42.470999999999997</v>
      </c>
      <c r="AT6" s="59">
        <v>24.802</v>
      </c>
      <c r="AU6" s="60">
        <v>2.38</v>
      </c>
    </row>
    <row r="7" spans="1:47" x14ac:dyDescent="0.25">
      <c r="A7" s="70" t="s">
        <v>76</v>
      </c>
      <c r="B7" s="71" t="s">
        <v>21</v>
      </c>
      <c r="C7" s="58">
        <v>0</v>
      </c>
      <c r="D7" s="59">
        <v>0</v>
      </c>
      <c r="E7" s="59">
        <v>0.158</v>
      </c>
      <c r="F7" s="59">
        <v>0</v>
      </c>
      <c r="G7" s="59">
        <v>0</v>
      </c>
      <c r="H7" s="59">
        <v>0</v>
      </c>
      <c r="I7" s="59">
        <v>0</v>
      </c>
      <c r="J7" s="59">
        <v>0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59">
        <v>0.127</v>
      </c>
      <c r="S7" s="59">
        <v>19.454000000000001</v>
      </c>
      <c r="T7" s="59">
        <v>0</v>
      </c>
      <c r="U7" s="59">
        <v>18</v>
      </c>
      <c r="V7" s="59">
        <v>0</v>
      </c>
      <c r="W7" s="59">
        <v>566.55999999999995</v>
      </c>
      <c r="X7" s="59">
        <v>0</v>
      </c>
      <c r="Y7" s="59">
        <v>5.3470000000000004</v>
      </c>
      <c r="Z7" s="59">
        <v>917.82</v>
      </c>
      <c r="AA7" s="59">
        <v>29.803999999999998</v>
      </c>
      <c r="AB7" s="59">
        <v>8.44</v>
      </c>
      <c r="AC7" s="59">
        <v>0.70799999999999996</v>
      </c>
      <c r="AD7" s="59">
        <v>0</v>
      </c>
      <c r="AE7" s="59">
        <v>0</v>
      </c>
      <c r="AF7" s="59">
        <v>0</v>
      </c>
      <c r="AG7" s="59">
        <v>779.66899999999998</v>
      </c>
      <c r="AH7" s="59">
        <v>0</v>
      </c>
      <c r="AI7" s="59">
        <v>205.35300000000001</v>
      </c>
      <c r="AJ7" s="59">
        <v>10.477</v>
      </c>
      <c r="AK7" s="59">
        <v>809.42200000000003</v>
      </c>
      <c r="AL7" s="59">
        <v>211.86799999999999</v>
      </c>
      <c r="AM7" s="59">
        <v>4.47</v>
      </c>
      <c r="AN7" s="59">
        <v>190.887</v>
      </c>
      <c r="AO7" s="59">
        <v>361.22899999999998</v>
      </c>
      <c r="AP7" s="59">
        <v>0</v>
      </c>
      <c r="AQ7" s="59">
        <v>1338.1510000000001</v>
      </c>
      <c r="AR7" s="59">
        <v>0</v>
      </c>
      <c r="AS7" s="59">
        <v>382.80900000000003</v>
      </c>
      <c r="AT7" s="59">
        <v>159.959</v>
      </c>
      <c r="AU7" s="60">
        <v>18.902000000000001</v>
      </c>
    </row>
    <row r="8" spans="1:47" x14ac:dyDescent="0.25">
      <c r="A8" s="70" t="s">
        <v>67</v>
      </c>
      <c r="B8" s="71" t="s">
        <v>23</v>
      </c>
      <c r="C8" s="58">
        <v>0</v>
      </c>
      <c r="D8" s="59">
        <v>0</v>
      </c>
      <c r="E8" s="59">
        <v>0</v>
      </c>
      <c r="F8" s="59">
        <v>0</v>
      </c>
      <c r="G8" s="59">
        <v>0.191</v>
      </c>
      <c r="H8" s="59">
        <v>0</v>
      </c>
      <c r="I8" s="59">
        <v>0</v>
      </c>
      <c r="J8" s="59">
        <v>0</v>
      </c>
      <c r="K8" s="59">
        <v>25.195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12.077999999999999</v>
      </c>
      <c r="S8" s="59">
        <v>10.805</v>
      </c>
      <c r="T8" s="59">
        <v>0</v>
      </c>
      <c r="U8" s="59">
        <v>0</v>
      </c>
      <c r="V8" s="59">
        <v>0.23200000000000001</v>
      </c>
      <c r="W8" s="59">
        <v>0</v>
      </c>
      <c r="X8" s="59">
        <v>0</v>
      </c>
      <c r="Y8" s="59">
        <v>0</v>
      </c>
      <c r="Z8" s="59">
        <v>13.36</v>
      </c>
      <c r="AA8" s="59">
        <v>0</v>
      </c>
      <c r="AB8" s="59">
        <v>0</v>
      </c>
      <c r="AC8" s="59">
        <v>0</v>
      </c>
      <c r="AD8" s="59">
        <v>0</v>
      </c>
      <c r="AE8" s="59">
        <v>191.149</v>
      </c>
      <c r="AF8" s="59">
        <v>3.0339999999999998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217.851</v>
      </c>
      <c r="AN8" s="59">
        <v>0</v>
      </c>
      <c r="AO8" s="59">
        <v>0</v>
      </c>
      <c r="AP8" s="59">
        <v>0</v>
      </c>
      <c r="AQ8" s="59">
        <v>0</v>
      </c>
      <c r="AR8" s="59">
        <v>5.8129999999999997</v>
      </c>
      <c r="AS8" s="59">
        <v>0</v>
      </c>
      <c r="AT8" s="59">
        <v>0.77300000000000002</v>
      </c>
      <c r="AU8" s="60">
        <v>1.839</v>
      </c>
    </row>
    <row r="9" spans="1:47" x14ac:dyDescent="0.25">
      <c r="A9" s="70" t="s">
        <v>68</v>
      </c>
      <c r="B9" s="71" t="s">
        <v>13</v>
      </c>
      <c r="C9" s="58">
        <v>0</v>
      </c>
      <c r="D9" s="59">
        <v>899.67</v>
      </c>
      <c r="E9" s="59">
        <v>0</v>
      </c>
      <c r="F9" s="59">
        <v>0</v>
      </c>
      <c r="G9" s="59">
        <v>0</v>
      </c>
      <c r="H9" s="59">
        <v>19.126000000000001</v>
      </c>
      <c r="I9" s="59">
        <v>0</v>
      </c>
      <c r="J9" s="59">
        <v>97.745999999999995</v>
      </c>
      <c r="K9" s="59">
        <v>15.603999999999999</v>
      </c>
      <c r="L9" s="59">
        <v>0</v>
      </c>
      <c r="M9" s="59">
        <v>0</v>
      </c>
      <c r="N9" s="59">
        <v>0</v>
      </c>
      <c r="O9" s="59">
        <v>11.023</v>
      </c>
      <c r="P9" s="59">
        <v>0</v>
      </c>
      <c r="Q9" s="59">
        <v>0</v>
      </c>
      <c r="R9" s="59">
        <v>0</v>
      </c>
      <c r="S9" s="59">
        <v>95.680999999999997</v>
      </c>
      <c r="T9" s="59">
        <v>5792.0219999999999</v>
      </c>
      <c r="U9" s="59">
        <v>136.99700000000001</v>
      </c>
      <c r="V9" s="59">
        <v>0</v>
      </c>
      <c r="W9" s="59">
        <v>1034.1869999999999</v>
      </c>
      <c r="X9" s="59">
        <v>54.712000000000003</v>
      </c>
      <c r="Y9" s="59">
        <v>5424.1390000000001</v>
      </c>
      <c r="Z9" s="59">
        <v>0</v>
      </c>
      <c r="AA9" s="59">
        <v>0</v>
      </c>
      <c r="AB9" s="59">
        <v>0</v>
      </c>
      <c r="AC9" s="59">
        <v>679.11400000000003</v>
      </c>
      <c r="AD9" s="59">
        <v>278.98500000000001</v>
      </c>
      <c r="AE9" s="59">
        <v>53.378999999999998</v>
      </c>
      <c r="AF9" s="59">
        <v>535.72900000000004</v>
      </c>
      <c r="AG9" s="59">
        <v>873.04700000000003</v>
      </c>
      <c r="AH9" s="59">
        <v>0</v>
      </c>
      <c r="AI9" s="59">
        <v>51.195999999999998</v>
      </c>
      <c r="AJ9" s="59">
        <v>1111.8979999999999</v>
      </c>
      <c r="AK9" s="59">
        <v>18.667000000000002</v>
      </c>
      <c r="AL9" s="59">
        <v>0</v>
      </c>
      <c r="AM9" s="59">
        <v>69.724999999999994</v>
      </c>
      <c r="AN9" s="59">
        <v>744.53300000000002</v>
      </c>
      <c r="AO9" s="59">
        <v>158.79400000000001</v>
      </c>
      <c r="AP9" s="59">
        <v>0</v>
      </c>
      <c r="AQ9" s="59">
        <v>183.148</v>
      </c>
      <c r="AR9" s="59">
        <v>686.89400000000001</v>
      </c>
      <c r="AS9" s="59">
        <v>79.34</v>
      </c>
      <c r="AT9" s="59">
        <v>21.594999999999999</v>
      </c>
      <c r="AU9" s="60">
        <v>2624.989</v>
      </c>
    </row>
    <row r="10" spans="1:47" x14ac:dyDescent="0.25">
      <c r="A10" s="70" t="s">
        <v>70</v>
      </c>
      <c r="B10" s="71" t="s">
        <v>14</v>
      </c>
      <c r="C10" s="58">
        <v>0</v>
      </c>
      <c r="D10" s="59">
        <v>849.529</v>
      </c>
      <c r="E10" s="59">
        <v>0</v>
      </c>
      <c r="F10" s="59">
        <v>0</v>
      </c>
      <c r="G10" s="59">
        <v>0</v>
      </c>
      <c r="H10" s="59">
        <v>0</v>
      </c>
      <c r="I10" s="59">
        <v>0</v>
      </c>
      <c r="J10" s="59">
        <v>0</v>
      </c>
      <c r="K10" s="59">
        <v>0</v>
      </c>
      <c r="L10" s="59">
        <v>0</v>
      </c>
      <c r="M10" s="59">
        <v>314.45600000000002</v>
      </c>
      <c r="N10" s="59">
        <v>0.311</v>
      </c>
      <c r="O10" s="59">
        <v>1125.694</v>
      </c>
      <c r="P10" s="59">
        <v>10.177</v>
      </c>
      <c r="Q10" s="59">
        <v>0</v>
      </c>
      <c r="R10" s="59">
        <v>5.3079999999999998</v>
      </c>
      <c r="S10" s="59">
        <v>0</v>
      </c>
      <c r="T10" s="59">
        <v>0</v>
      </c>
      <c r="U10" s="59">
        <v>0</v>
      </c>
      <c r="V10" s="59">
        <v>4257.7240000000002</v>
      </c>
      <c r="W10" s="59">
        <v>97.927000000000007</v>
      </c>
      <c r="X10" s="59">
        <v>0</v>
      </c>
      <c r="Y10" s="59">
        <v>0</v>
      </c>
      <c r="Z10" s="59">
        <v>0</v>
      </c>
      <c r="AA10" s="59">
        <v>0.61099999999999999</v>
      </c>
      <c r="AB10" s="59">
        <v>6.0620000000000003</v>
      </c>
      <c r="AC10" s="59">
        <v>66.885000000000005</v>
      </c>
      <c r="AD10" s="59">
        <v>106.563</v>
      </c>
      <c r="AE10" s="59">
        <v>0</v>
      </c>
      <c r="AF10" s="59">
        <v>0</v>
      </c>
      <c r="AG10" s="59">
        <v>119.337</v>
      </c>
      <c r="AH10" s="59">
        <v>922.61500000000001</v>
      </c>
      <c r="AI10" s="59">
        <v>0</v>
      </c>
      <c r="AJ10" s="59">
        <v>1046.345</v>
      </c>
      <c r="AK10" s="59">
        <v>91.144000000000005</v>
      </c>
      <c r="AL10" s="59">
        <v>0</v>
      </c>
      <c r="AM10" s="59">
        <v>0</v>
      </c>
      <c r="AN10" s="59">
        <v>0</v>
      </c>
      <c r="AO10" s="59">
        <v>91.119</v>
      </c>
      <c r="AP10" s="59">
        <v>0</v>
      </c>
      <c r="AQ10" s="59">
        <v>61.83</v>
      </c>
      <c r="AR10" s="59">
        <v>0</v>
      </c>
      <c r="AS10" s="59">
        <v>4.4729999999999999</v>
      </c>
      <c r="AT10" s="59">
        <v>168.79</v>
      </c>
      <c r="AU10" s="60">
        <v>0</v>
      </c>
    </row>
    <row r="11" spans="1:47" x14ac:dyDescent="0.25">
      <c r="A11" s="70" t="s">
        <v>71</v>
      </c>
      <c r="B11" s="71" t="s">
        <v>16</v>
      </c>
      <c r="C11" s="58">
        <v>0</v>
      </c>
      <c r="D11" s="59">
        <v>0</v>
      </c>
      <c r="E11" s="59">
        <v>0</v>
      </c>
      <c r="F11" s="59">
        <v>0</v>
      </c>
      <c r="G11" s="59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16.231000000000002</v>
      </c>
      <c r="X11" s="59">
        <v>0</v>
      </c>
      <c r="Y11" s="59">
        <v>0</v>
      </c>
      <c r="Z11" s="59">
        <v>20.751000000000001</v>
      </c>
      <c r="AA11" s="59">
        <v>0</v>
      </c>
      <c r="AB11" s="59">
        <v>251.52199999999999</v>
      </c>
      <c r="AC11" s="59">
        <v>0</v>
      </c>
      <c r="AD11" s="59">
        <v>0</v>
      </c>
      <c r="AE11" s="59">
        <v>0</v>
      </c>
      <c r="AF11" s="59">
        <v>0</v>
      </c>
      <c r="AG11" s="59">
        <v>59.634999999999998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3.95</v>
      </c>
      <c r="AU11" s="60">
        <v>0</v>
      </c>
    </row>
    <row r="12" spans="1:47" x14ac:dyDescent="0.25">
      <c r="A12" s="70" t="s">
        <v>74</v>
      </c>
      <c r="B12" s="71" t="s">
        <v>36</v>
      </c>
      <c r="C12" s="58">
        <v>0</v>
      </c>
      <c r="D12" s="59">
        <v>0</v>
      </c>
      <c r="E12" s="59">
        <v>0</v>
      </c>
      <c r="F12" s="59">
        <v>0</v>
      </c>
      <c r="G12" s="59">
        <v>371.62099999999998</v>
      </c>
      <c r="H12" s="59">
        <v>0</v>
      </c>
      <c r="I12" s="59">
        <v>0</v>
      </c>
      <c r="J12" s="59">
        <v>1362.4860000000001</v>
      </c>
      <c r="K12" s="59">
        <v>0.53200000000000003</v>
      </c>
      <c r="L12" s="59">
        <v>0</v>
      </c>
      <c r="M12" s="59">
        <v>7.2930000000000001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22.484999999999999</v>
      </c>
      <c r="Y12" s="59">
        <v>0</v>
      </c>
      <c r="Z12" s="59">
        <v>0</v>
      </c>
      <c r="AA12" s="59">
        <v>2.3079999999999998</v>
      </c>
      <c r="AB12" s="59">
        <v>156.495</v>
      </c>
      <c r="AC12" s="59">
        <v>0.64</v>
      </c>
      <c r="AD12" s="59">
        <v>30.902999999999999</v>
      </c>
      <c r="AE12" s="59">
        <v>0</v>
      </c>
      <c r="AF12" s="59">
        <v>0</v>
      </c>
      <c r="AG12" s="59">
        <v>153.864</v>
      </c>
      <c r="AH12" s="59">
        <v>158.12700000000001</v>
      </c>
      <c r="AI12" s="59">
        <v>7.6120000000000001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98.230999999999995</v>
      </c>
      <c r="AR12" s="59">
        <v>49.844999999999999</v>
      </c>
      <c r="AS12" s="59">
        <v>0</v>
      </c>
      <c r="AT12" s="59">
        <v>0</v>
      </c>
      <c r="AU12" s="60">
        <v>0</v>
      </c>
    </row>
    <row r="13" spans="1:47" x14ac:dyDescent="0.25">
      <c r="A13" s="70" t="s">
        <v>75</v>
      </c>
      <c r="B13" s="71" t="s">
        <v>20</v>
      </c>
      <c r="C13" s="58">
        <v>164.59800000000001</v>
      </c>
      <c r="D13" s="59">
        <v>56.956000000000003</v>
      </c>
      <c r="E13" s="59">
        <v>523.19000000000005</v>
      </c>
      <c r="F13" s="59">
        <v>3569.2489999999998</v>
      </c>
      <c r="G13" s="59">
        <v>0</v>
      </c>
      <c r="H13" s="59">
        <v>407.41300000000001</v>
      </c>
      <c r="I13" s="59">
        <v>88.228999999999999</v>
      </c>
      <c r="J13" s="59">
        <v>2787.9140000000002</v>
      </c>
      <c r="K13" s="59">
        <v>1163.134</v>
      </c>
      <c r="L13" s="59">
        <v>2666.51</v>
      </c>
      <c r="M13" s="59">
        <v>5574.625</v>
      </c>
      <c r="N13" s="59">
        <v>1465.5250000000001</v>
      </c>
      <c r="O13" s="59">
        <v>1437.7380000000001</v>
      </c>
      <c r="P13" s="59">
        <v>2949.509</v>
      </c>
      <c r="Q13" s="59">
        <v>12383.075000000001</v>
      </c>
      <c r="R13" s="59">
        <v>2741.9470000000001</v>
      </c>
      <c r="S13" s="59">
        <v>1010.542</v>
      </c>
      <c r="T13" s="59">
        <v>616.15</v>
      </c>
      <c r="U13" s="59">
        <v>949.29</v>
      </c>
      <c r="V13" s="59">
        <v>19219.780999999999</v>
      </c>
      <c r="W13" s="59">
        <v>1191.5609999999999</v>
      </c>
      <c r="X13" s="59">
        <v>928.52599999999995</v>
      </c>
      <c r="Y13" s="59">
        <v>2254.9189999999999</v>
      </c>
      <c r="Z13" s="59">
        <v>6843.1620000000003</v>
      </c>
      <c r="AA13" s="59">
        <v>52.405000000000001</v>
      </c>
      <c r="AB13" s="59">
        <v>3593.64</v>
      </c>
      <c r="AC13" s="59">
        <v>256.49200000000002</v>
      </c>
      <c r="AD13" s="59">
        <v>570.75800000000004</v>
      </c>
      <c r="AE13" s="59">
        <v>538.38800000000003</v>
      </c>
      <c r="AF13" s="59">
        <v>3205.404</v>
      </c>
      <c r="AG13" s="59">
        <v>5377.3810000000003</v>
      </c>
      <c r="AH13" s="59">
        <v>2344.9749999999999</v>
      </c>
      <c r="AI13" s="59">
        <v>1709.4880000000001</v>
      </c>
      <c r="AJ13" s="59">
        <v>1918.788</v>
      </c>
      <c r="AK13" s="59">
        <v>2939.377</v>
      </c>
      <c r="AL13" s="59">
        <v>828.798</v>
      </c>
      <c r="AM13" s="59">
        <v>3060.8240000000001</v>
      </c>
      <c r="AN13" s="59">
        <v>6433.0119999999997</v>
      </c>
      <c r="AO13" s="59">
        <v>3468.4009999999998</v>
      </c>
      <c r="AP13" s="59">
        <v>6018.6059999999998</v>
      </c>
      <c r="AQ13" s="59">
        <v>4848.4040000000005</v>
      </c>
      <c r="AR13" s="59">
        <v>6203.433</v>
      </c>
      <c r="AS13" s="59">
        <v>8914.8619999999992</v>
      </c>
      <c r="AT13" s="59">
        <v>3614.0189999999998</v>
      </c>
      <c r="AU13" s="60">
        <v>1941.558</v>
      </c>
    </row>
    <row r="14" spans="1:47" x14ac:dyDescent="0.25">
      <c r="A14" s="70" t="s">
        <v>69</v>
      </c>
      <c r="B14" s="71" t="s">
        <v>15</v>
      </c>
      <c r="C14" s="58">
        <v>68.460999999999999</v>
      </c>
      <c r="D14" s="59">
        <v>471.83800000000002</v>
      </c>
      <c r="E14" s="59">
        <v>14.98</v>
      </c>
      <c r="F14" s="59">
        <v>259.73899999999998</v>
      </c>
      <c r="G14" s="59">
        <v>4093.1759999999999</v>
      </c>
      <c r="H14" s="59">
        <v>1204.1849999999999</v>
      </c>
      <c r="I14" s="59">
        <v>70.397000000000006</v>
      </c>
      <c r="J14" s="59">
        <v>88.692999999999998</v>
      </c>
      <c r="K14" s="59">
        <v>173.83600000000001</v>
      </c>
      <c r="L14" s="59">
        <v>125.396</v>
      </c>
      <c r="M14" s="59">
        <v>7304.442</v>
      </c>
      <c r="N14" s="59">
        <v>122.779</v>
      </c>
      <c r="O14" s="59">
        <v>342.26499999999999</v>
      </c>
      <c r="P14" s="59">
        <v>1915.7829999999999</v>
      </c>
      <c r="Q14" s="59">
        <v>2349.1179999999999</v>
      </c>
      <c r="R14" s="59">
        <v>701.93499999999995</v>
      </c>
      <c r="S14" s="59">
        <v>349.14299999999997</v>
      </c>
      <c r="T14" s="59">
        <v>746.80799999999999</v>
      </c>
      <c r="U14" s="59">
        <v>474.30399999999997</v>
      </c>
      <c r="V14" s="59">
        <v>4063.7220000000002</v>
      </c>
      <c r="W14" s="59">
        <v>424.64299999999997</v>
      </c>
      <c r="X14" s="59">
        <v>1056.9880000000001</v>
      </c>
      <c r="Y14" s="59">
        <v>23446.805</v>
      </c>
      <c r="Z14" s="59">
        <v>2651.2730000000001</v>
      </c>
      <c r="AA14" s="59">
        <v>1565.1420000000001</v>
      </c>
      <c r="AB14" s="59">
        <v>1885.0940000000001</v>
      </c>
      <c r="AC14" s="59">
        <v>1251.9870000000001</v>
      </c>
      <c r="AD14" s="59">
        <v>6541.7709999999997</v>
      </c>
      <c r="AE14" s="59">
        <v>2930.2040000000002</v>
      </c>
      <c r="AF14" s="59">
        <v>1382.8130000000001</v>
      </c>
      <c r="AG14" s="59">
        <v>6176.3530000000001</v>
      </c>
      <c r="AH14" s="59">
        <v>1060.107</v>
      </c>
      <c r="AI14" s="59">
        <v>163.22499999999999</v>
      </c>
      <c r="AJ14" s="59">
        <v>15775.298000000001</v>
      </c>
      <c r="AK14" s="59">
        <v>3270.2170000000001</v>
      </c>
      <c r="AL14" s="59">
        <v>3043.9380000000001</v>
      </c>
      <c r="AM14" s="59">
        <v>4060.7460000000001</v>
      </c>
      <c r="AN14" s="59">
        <v>5884.5119999999997</v>
      </c>
      <c r="AO14" s="59">
        <v>10456.921</v>
      </c>
      <c r="AP14" s="59">
        <v>8513.0429999999997</v>
      </c>
      <c r="AQ14" s="59">
        <v>1661.203</v>
      </c>
      <c r="AR14" s="59">
        <v>40137.928999999996</v>
      </c>
      <c r="AS14" s="59">
        <v>11314.261</v>
      </c>
      <c r="AT14" s="59">
        <v>2229.7950000000001</v>
      </c>
      <c r="AU14" s="60">
        <v>5130.2240000000002</v>
      </c>
    </row>
    <row r="15" spans="1:47" x14ac:dyDescent="0.25">
      <c r="A15" s="70" t="s">
        <v>72</v>
      </c>
      <c r="B15" s="71" t="s">
        <v>18</v>
      </c>
      <c r="C15" s="58">
        <v>22.652999999999999</v>
      </c>
      <c r="D15" s="59">
        <v>2509.7840000000001</v>
      </c>
      <c r="E15" s="59">
        <v>0</v>
      </c>
      <c r="F15" s="59">
        <v>19.245000000000001</v>
      </c>
      <c r="G15" s="59">
        <v>13.701000000000001</v>
      </c>
      <c r="H15" s="59">
        <v>2.8639999999999999</v>
      </c>
      <c r="I15" s="59">
        <v>406.32</v>
      </c>
      <c r="J15" s="59">
        <v>835.06100000000004</v>
      </c>
      <c r="K15" s="59">
        <v>6.0430000000000001</v>
      </c>
      <c r="L15" s="59">
        <v>0</v>
      </c>
      <c r="M15" s="59">
        <v>4202.6880000000001</v>
      </c>
      <c r="N15" s="59">
        <v>0</v>
      </c>
      <c r="O15" s="59">
        <v>0.23400000000000001</v>
      </c>
      <c r="P15" s="59">
        <v>14.705</v>
      </c>
      <c r="Q15" s="59">
        <v>707.84</v>
      </c>
      <c r="R15" s="59">
        <v>1416.549</v>
      </c>
      <c r="S15" s="59">
        <v>2.2210000000000001</v>
      </c>
      <c r="T15" s="59">
        <v>206.114</v>
      </c>
      <c r="U15" s="59">
        <v>948.43499999999995</v>
      </c>
      <c r="V15" s="59">
        <v>5939.21</v>
      </c>
      <c r="W15" s="59">
        <v>5.7060000000000004</v>
      </c>
      <c r="X15" s="59">
        <v>89.781000000000006</v>
      </c>
      <c r="Y15" s="59">
        <v>40.066000000000003</v>
      </c>
      <c r="Z15" s="59">
        <v>1527.952</v>
      </c>
      <c r="AA15" s="59">
        <v>374.56799999999998</v>
      </c>
      <c r="AB15" s="59">
        <v>0</v>
      </c>
      <c r="AC15" s="59">
        <v>493.51900000000001</v>
      </c>
      <c r="AD15" s="59">
        <v>1558.6130000000001</v>
      </c>
      <c r="AE15" s="59">
        <v>12.74</v>
      </c>
      <c r="AF15" s="59">
        <v>94.977999999999994</v>
      </c>
      <c r="AG15" s="59">
        <v>1.343</v>
      </c>
      <c r="AH15" s="59">
        <v>0</v>
      </c>
      <c r="AI15" s="59">
        <v>8.9999999999999993E-3</v>
      </c>
      <c r="AJ15" s="59">
        <v>34.256999999999998</v>
      </c>
      <c r="AK15" s="59">
        <v>180.85499999999999</v>
      </c>
      <c r="AL15" s="59">
        <v>482.13299999999998</v>
      </c>
      <c r="AM15" s="59">
        <v>58.325000000000003</v>
      </c>
      <c r="AN15" s="59">
        <v>339.483</v>
      </c>
      <c r="AO15" s="59">
        <v>79.281000000000006</v>
      </c>
      <c r="AP15" s="59">
        <v>334.49299999999999</v>
      </c>
      <c r="AQ15" s="59">
        <v>1169.115</v>
      </c>
      <c r="AR15" s="59">
        <v>705.79899999999998</v>
      </c>
      <c r="AS15" s="59">
        <v>21.577000000000002</v>
      </c>
      <c r="AT15" s="59">
        <v>3996.3539999999998</v>
      </c>
      <c r="AU15" s="60">
        <v>340.964</v>
      </c>
    </row>
    <row r="16" spans="1:47" x14ac:dyDescent="0.25">
      <c r="A16" s="70" t="s">
        <v>77</v>
      </c>
      <c r="B16" s="71" t="s">
        <v>27</v>
      </c>
      <c r="C16" s="58">
        <v>0</v>
      </c>
      <c r="D16" s="59">
        <v>0</v>
      </c>
      <c r="E16" s="59">
        <v>0</v>
      </c>
      <c r="F16" s="59">
        <v>0</v>
      </c>
      <c r="G16" s="59">
        <v>0</v>
      </c>
      <c r="H16" s="59">
        <v>4.6420000000000003</v>
      </c>
      <c r="I16" s="59">
        <v>3151.7080000000001</v>
      </c>
      <c r="J16" s="59">
        <v>0</v>
      </c>
      <c r="K16" s="59">
        <v>0</v>
      </c>
      <c r="L16" s="59">
        <v>8.3450000000000006</v>
      </c>
      <c r="M16" s="59">
        <v>0</v>
      </c>
      <c r="N16" s="59">
        <v>0</v>
      </c>
      <c r="O16" s="59">
        <v>1697.172</v>
      </c>
      <c r="P16" s="59">
        <v>0</v>
      </c>
      <c r="Q16" s="59">
        <v>0</v>
      </c>
      <c r="R16" s="59">
        <v>0.55800000000000005</v>
      </c>
      <c r="S16" s="59">
        <v>0</v>
      </c>
      <c r="T16" s="59">
        <v>23.684000000000001</v>
      </c>
      <c r="U16" s="59">
        <v>57.182000000000002</v>
      </c>
      <c r="V16" s="59">
        <v>1301.3150000000001</v>
      </c>
      <c r="W16" s="59">
        <v>141.17699999999999</v>
      </c>
      <c r="X16" s="59">
        <v>417.83199999999999</v>
      </c>
      <c r="Y16" s="59">
        <v>55.436999999999998</v>
      </c>
      <c r="Z16" s="59">
        <v>794.75099999999998</v>
      </c>
      <c r="AA16" s="59">
        <v>5.7039999999999997</v>
      </c>
      <c r="AB16" s="59">
        <v>128.36199999999999</v>
      </c>
      <c r="AC16" s="59">
        <v>885.21199999999999</v>
      </c>
      <c r="AD16" s="59">
        <v>0</v>
      </c>
      <c r="AE16" s="59">
        <v>0</v>
      </c>
      <c r="AF16" s="59">
        <v>0</v>
      </c>
      <c r="AG16" s="59">
        <v>1290.098</v>
      </c>
      <c r="AH16" s="59">
        <v>48.411999999999999</v>
      </c>
      <c r="AI16" s="59">
        <v>34.902999999999999</v>
      </c>
      <c r="AJ16" s="59">
        <v>44.866999999999997</v>
      </c>
      <c r="AK16" s="59">
        <v>28.669</v>
      </c>
      <c r="AL16" s="59">
        <v>33.817</v>
      </c>
      <c r="AM16" s="59">
        <v>11.456</v>
      </c>
      <c r="AN16" s="59">
        <v>29.416</v>
      </c>
      <c r="AO16" s="59">
        <v>8.1959999999999997</v>
      </c>
      <c r="AP16" s="59">
        <v>14.06</v>
      </c>
      <c r="AQ16" s="59">
        <v>13.976000000000001</v>
      </c>
      <c r="AR16" s="59">
        <v>35.51</v>
      </c>
      <c r="AS16" s="59">
        <v>2528.84</v>
      </c>
      <c r="AT16" s="59">
        <v>31.498999999999999</v>
      </c>
      <c r="AU16" s="60">
        <v>21.757000000000001</v>
      </c>
    </row>
    <row r="17" spans="1:47" x14ac:dyDescent="0.25">
      <c r="A17" s="70" t="s">
        <v>79</v>
      </c>
      <c r="B17" s="71" t="s">
        <v>38</v>
      </c>
      <c r="C17" s="58">
        <v>0.92</v>
      </c>
      <c r="D17" s="59">
        <v>0</v>
      </c>
      <c r="E17" s="59">
        <v>0</v>
      </c>
      <c r="F17" s="59">
        <v>1.5980000000000001</v>
      </c>
      <c r="G17" s="59">
        <v>1.8779999999999999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10.039999999999999</v>
      </c>
      <c r="S17" s="59">
        <v>50.48</v>
      </c>
      <c r="T17" s="59">
        <v>0</v>
      </c>
      <c r="U17" s="59">
        <v>0</v>
      </c>
      <c r="V17" s="59">
        <v>0</v>
      </c>
      <c r="W17" s="59">
        <v>54.35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3.198</v>
      </c>
      <c r="AD17" s="59">
        <v>0</v>
      </c>
      <c r="AE17" s="59">
        <v>106.783</v>
      </c>
      <c r="AF17" s="59">
        <v>0</v>
      </c>
      <c r="AG17" s="59">
        <v>73.808000000000007</v>
      </c>
      <c r="AH17" s="59">
        <v>65.936000000000007</v>
      </c>
      <c r="AI17" s="59">
        <v>3.4239999999999999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72.241</v>
      </c>
      <c r="AU17" s="60">
        <v>0</v>
      </c>
    </row>
    <row r="18" spans="1:47" x14ac:dyDescent="0.25">
      <c r="A18" s="70" t="s">
        <v>78</v>
      </c>
      <c r="B18" s="71" t="s">
        <v>17</v>
      </c>
      <c r="C18" s="58">
        <v>23.207000000000001</v>
      </c>
      <c r="D18" s="59">
        <v>0</v>
      </c>
      <c r="E18" s="59">
        <v>0</v>
      </c>
      <c r="F18" s="59">
        <v>0</v>
      </c>
      <c r="G18" s="59">
        <v>0</v>
      </c>
      <c r="H18" s="59">
        <v>0</v>
      </c>
      <c r="I18" s="59">
        <v>30.303999999999998</v>
      </c>
      <c r="J18" s="59">
        <v>0</v>
      </c>
      <c r="K18" s="59">
        <v>179.85599999999999</v>
      </c>
      <c r="L18" s="59">
        <v>0</v>
      </c>
      <c r="M18" s="59">
        <v>206.78100000000001</v>
      </c>
      <c r="N18" s="59">
        <v>6.4729999999999999</v>
      </c>
      <c r="O18" s="59">
        <v>0</v>
      </c>
      <c r="P18" s="59">
        <v>71.253</v>
      </c>
      <c r="Q18" s="59">
        <v>316.05</v>
      </c>
      <c r="R18" s="59">
        <v>25.861000000000001</v>
      </c>
      <c r="S18" s="59">
        <v>1.6120000000000001</v>
      </c>
      <c r="T18" s="59">
        <v>60.298000000000002</v>
      </c>
      <c r="U18" s="59">
        <v>7.9000000000000001E-2</v>
      </c>
      <c r="V18" s="59">
        <v>175.49299999999999</v>
      </c>
      <c r="W18" s="59">
        <v>188.81899999999999</v>
      </c>
      <c r="X18" s="59">
        <v>0</v>
      </c>
      <c r="Y18" s="59">
        <v>105.136</v>
      </c>
      <c r="Z18" s="59">
        <v>0</v>
      </c>
      <c r="AA18" s="59">
        <v>68.483999999999995</v>
      </c>
      <c r="AB18" s="59">
        <v>0</v>
      </c>
      <c r="AC18" s="59">
        <v>3.601</v>
      </c>
      <c r="AD18" s="59">
        <v>0.55700000000000005</v>
      </c>
      <c r="AE18" s="59">
        <v>121.191</v>
      </c>
      <c r="AF18" s="59">
        <v>309.56299999999999</v>
      </c>
      <c r="AG18" s="59">
        <v>0</v>
      </c>
      <c r="AH18" s="59">
        <v>322.423</v>
      </c>
      <c r="AI18" s="59">
        <v>0</v>
      </c>
      <c r="AJ18" s="59">
        <v>120.441</v>
      </c>
      <c r="AK18" s="59">
        <v>923.56399999999996</v>
      </c>
      <c r="AL18" s="59">
        <v>455.291</v>
      </c>
      <c r="AM18" s="59">
        <v>0</v>
      </c>
      <c r="AN18" s="59">
        <v>310.62</v>
      </c>
      <c r="AO18" s="59">
        <v>45.026000000000003</v>
      </c>
      <c r="AP18" s="59">
        <v>53.463000000000001</v>
      </c>
      <c r="AQ18" s="59">
        <v>221.613</v>
      </c>
      <c r="AR18" s="59">
        <v>0</v>
      </c>
      <c r="AS18" s="59">
        <v>0</v>
      </c>
      <c r="AT18" s="59">
        <v>272.17</v>
      </c>
      <c r="AU18" s="60">
        <v>213.78399999999999</v>
      </c>
    </row>
    <row r="19" spans="1:47" x14ac:dyDescent="0.25">
      <c r="A19" s="70" t="s">
        <v>80</v>
      </c>
      <c r="B19" s="71" t="s">
        <v>22</v>
      </c>
      <c r="C19" s="58">
        <v>58587.285000000003</v>
      </c>
      <c r="D19" s="59">
        <v>1244.905</v>
      </c>
      <c r="E19" s="59">
        <v>7910.1180000000004</v>
      </c>
      <c r="F19" s="59">
        <v>787.31299999999999</v>
      </c>
      <c r="G19" s="59">
        <v>529.697</v>
      </c>
      <c r="H19" s="59">
        <v>365.60300000000001</v>
      </c>
      <c r="I19" s="59">
        <v>593.87599999999998</v>
      </c>
      <c r="J19" s="59">
        <v>4562.076</v>
      </c>
      <c r="K19" s="59">
        <v>39.167999999999999</v>
      </c>
      <c r="L19" s="59">
        <v>13.518000000000001</v>
      </c>
      <c r="M19" s="59">
        <v>2352.7350000000001</v>
      </c>
      <c r="N19" s="59">
        <v>573.48400000000004</v>
      </c>
      <c r="O19" s="59">
        <v>2395.9360000000001</v>
      </c>
      <c r="P19" s="59">
        <v>1005.721</v>
      </c>
      <c r="Q19" s="59">
        <v>5314.942</v>
      </c>
      <c r="R19" s="59">
        <v>636.10699999999997</v>
      </c>
      <c r="S19" s="59">
        <v>808.61800000000005</v>
      </c>
      <c r="T19" s="59">
        <v>10352.831</v>
      </c>
      <c r="U19" s="59">
        <v>77.832999999999998</v>
      </c>
      <c r="V19" s="59">
        <v>1123.8040000000001</v>
      </c>
      <c r="W19" s="59">
        <v>15531.42</v>
      </c>
      <c r="X19" s="59">
        <v>582.85299999999995</v>
      </c>
      <c r="Y19" s="59">
        <v>3360.1590000000001</v>
      </c>
      <c r="Z19" s="59">
        <v>8753.3310000000001</v>
      </c>
      <c r="AA19" s="59">
        <v>796.85400000000004</v>
      </c>
      <c r="AB19" s="59">
        <v>837.01300000000003</v>
      </c>
      <c r="AC19" s="59">
        <v>585.83699999999999</v>
      </c>
      <c r="AD19" s="59">
        <v>204.63300000000001</v>
      </c>
      <c r="AE19" s="59">
        <v>820.88499999999999</v>
      </c>
      <c r="AF19" s="59">
        <v>13872.505999999999</v>
      </c>
      <c r="AG19" s="59">
        <v>1457.1890000000001</v>
      </c>
      <c r="AH19" s="59">
        <v>2598.953</v>
      </c>
      <c r="AI19" s="59">
        <v>18757.019</v>
      </c>
      <c r="AJ19" s="59">
        <v>2169.5250000000001</v>
      </c>
      <c r="AK19" s="59">
        <v>2394.3820000000001</v>
      </c>
      <c r="AL19" s="59">
        <v>3940.4259999999999</v>
      </c>
      <c r="AM19" s="59">
        <v>9523.8610000000008</v>
      </c>
      <c r="AN19" s="59">
        <v>13616.615</v>
      </c>
      <c r="AO19" s="59">
        <v>5981.2979999999998</v>
      </c>
      <c r="AP19" s="59">
        <v>5409.0050000000001</v>
      </c>
      <c r="AQ19" s="59">
        <v>2791.5920000000001</v>
      </c>
      <c r="AR19" s="59">
        <v>703.39300000000003</v>
      </c>
      <c r="AS19" s="59">
        <v>18113.598999999998</v>
      </c>
      <c r="AT19" s="59">
        <v>16071.789000000001</v>
      </c>
      <c r="AU19" s="60">
        <v>5971.5330000000004</v>
      </c>
    </row>
    <row r="20" spans="1:47" x14ac:dyDescent="0.25">
      <c r="A20" s="70" t="s">
        <v>84</v>
      </c>
      <c r="B20" s="71" t="s">
        <v>24</v>
      </c>
      <c r="C20" s="58">
        <v>0</v>
      </c>
      <c r="D20" s="59">
        <v>83.177999999999997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1.3120000000000001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543.28800000000001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7.3140000000000001</v>
      </c>
      <c r="AK20" s="59">
        <v>0</v>
      </c>
      <c r="AL20" s="59">
        <v>0</v>
      </c>
      <c r="AM20" s="59">
        <v>0</v>
      </c>
      <c r="AN20" s="59">
        <v>495.82900000000001</v>
      </c>
      <c r="AO20" s="59">
        <v>121.289</v>
      </c>
      <c r="AP20" s="59">
        <v>0</v>
      </c>
      <c r="AQ20" s="59">
        <v>0.114</v>
      </c>
      <c r="AR20" s="59">
        <v>0</v>
      </c>
      <c r="AS20" s="59">
        <v>3.5999999999999997E-2</v>
      </c>
      <c r="AT20" s="59">
        <v>17.651</v>
      </c>
      <c r="AU20" s="60">
        <v>31.751999999999999</v>
      </c>
    </row>
    <row r="21" spans="1:47" x14ac:dyDescent="0.25">
      <c r="A21" s="70" t="s">
        <v>81</v>
      </c>
      <c r="B21" s="71" t="s">
        <v>39</v>
      </c>
      <c r="C21" s="58">
        <v>0</v>
      </c>
      <c r="D21" s="59">
        <v>0</v>
      </c>
      <c r="E21" s="59">
        <v>0</v>
      </c>
      <c r="F21" s="59">
        <v>0</v>
      </c>
      <c r="G21" s="59">
        <v>0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21.195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1.099</v>
      </c>
      <c r="AR21" s="59">
        <v>0</v>
      </c>
      <c r="AS21" s="59">
        <v>0</v>
      </c>
      <c r="AT21" s="59">
        <v>0</v>
      </c>
      <c r="AU21" s="60">
        <v>0</v>
      </c>
    </row>
    <row r="22" spans="1:47" x14ac:dyDescent="0.25">
      <c r="A22" s="70" t="s">
        <v>82</v>
      </c>
      <c r="B22" s="71" t="s">
        <v>25</v>
      </c>
      <c r="C22" s="58">
        <v>0</v>
      </c>
      <c r="D22" s="59">
        <v>44.171999999999997</v>
      </c>
      <c r="E22" s="59">
        <v>0</v>
      </c>
      <c r="F22" s="59">
        <v>0</v>
      </c>
      <c r="G22" s="59">
        <v>0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765.89400000000001</v>
      </c>
      <c r="P22" s="59">
        <v>42.786000000000001</v>
      </c>
      <c r="Q22" s="59">
        <v>9.8989999999999991</v>
      </c>
      <c r="R22" s="59">
        <v>0</v>
      </c>
      <c r="S22" s="59">
        <v>0</v>
      </c>
      <c r="T22" s="59">
        <v>0</v>
      </c>
      <c r="U22" s="59">
        <v>0</v>
      </c>
      <c r="V22" s="59">
        <v>1.48</v>
      </c>
      <c r="W22" s="59">
        <v>0</v>
      </c>
      <c r="X22" s="59">
        <v>0</v>
      </c>
      <c r="Y22" s="59">
        <v>9.4090000000000007</v>
      </c>
      <c r="Z22" s="59">
        <v>0</v>
      </c>
      <c r="AA22" s="59">
        <v>0</v>
      </c>
      <c r="AB22" s="59">
        <v>57.66</v>
      </c>
      <c r="AC22" s="59">
        <v>359.661</v>
      </c>
      <c r="AD22" s="59">
        <v>0</v>
      </c>
      <c r="AE22" s="59">
        <v>0</v>
      </c>
      <c r="AF22" s="59">
        <v>0</v>
      </c>
      <c r="AG22" s="59">
        <v>5.7290000000000001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0.23300000000000001</v>
      </c>
      <c r="AN22" s="59">
        <v>1179.077</v>
      </c>
      <c r="AO22" s="59">
        <v>0</v>
      </c>
      <c r="AP22" s="59">
        <v>0</v>
      </c>
      <c r="AQ22" s="59">
        <v>0</v>
      </c>
      <c r="AR22" s="59">
        <v>0</v>
      </c>
      <c r="AS22" s="59">
        <v>0.65</v>
      </c>
      <c r="AT22" s="59">
        <v>481.63200000000001</v>
      </c>
      <c r="AU22" s="60">
        <v>9.9930000000000003</v>
      </c>
    </row>
    <row r="23" spans="1:47" x14ac:dyDescent="0.25">
      <c r="A23" s="70" t="s">
        <v>83</v>
      </c>
      <c r="B23" s="71" t="s">
        <v>26</v>
      </c>
      <c r="C23" s="58">
        <v>0</v>
      </c>
      <c r="D23" s="59">
        <v>0</v>
      </c>
      <c r="E23" s="59">
        <v>0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847.46299999999997</v>
      </c>
      <c r="N23" s="59">
        <v>0</v>
      </c>
      <c r="O23" s="59">
        <v>0</v>
      </c>
      <c r="P23" s="59">
        <v>21.18</v>
      </c>
      <c r="Q23" s="59">
        <v>0</v>
      </c>
      <c r="R23" s="59">
        <v>18.692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35.57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61.728999999999999</v>
      </c>
      <c r="AN23" s="59">
        <v>0</v>
      </c>
      <c r="AO23" s="59">
        <v>6.681</v>
      </c>
      <c r="AP23" s="59">
        <v>171.72399999999999</v>
      </c>
      <c r="AQ23" s="59">
        <v>21.699000000000002</v>
      </c>
      <c r="AR23" s="59">
        <v>199.81399999999999</v>
      </c>
      <c r="AS23" s="59">
        <v>0</v>
      </c>
      <c r="AT23" s="59">
        <v>0</v>
      </c>
      <c r="AU23" s="60">
        <v>24.763999999999999</v>
      </c>
    </row>
    <row r="24" spans="1:47" x14ac:dyDescent="0.25">
      <c r="A24" s="70" t="s">
        <v>87</v>
      </c>
      <c r="B24" s="71" t="s">
        <v>28</v>
      </c>
      <c r="C24" s="58">
        <v>0</v>
      </c>
      <c r="D24" s="59">
        <v>0</v>
      </c>
      <c r="E24" s="59">
        <v>0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51.078000000000003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1.403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28.192</v>
      </c>
      <c r="AQ24" s="59">
        <v>0</v>
      </c>
      <c r="AR24" s="59">
        <v>0</v>
      </c>
      <c r="AS24" s="59">
        <v>0</v>
      </c>
      <c r="AT24" s="59">
        <v>1.893</v>
      </c>
      <c r="AU24" s="60">
        <v>0</v>
      </c>
    </row>
    <row r="25" spans="1:47" x14ac:dyDescent="0.25">
      <c r="A25" s="70" t="s">
        <v>88</v>
      </c>
      <c r="B25" s="71" t="s">
        <v>29</v>
      </c>
      <c r="C25" s="58">
        <v>0</v>
      </c>
      <c r="D25" s="59">
        <v>0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3280.25</v>
      </c>
      <c r="N25" s="59">
        <v>0</v>
      </c>
      <c r="O25" s="59">
        <v>397.93099999999998</v>
      </c>
      <c r="P25" s="59">
        <v>237.34299999999999</v>
      </c>
      <c r="Q25" s="59">
        <v>3.4689999999999999</v>
      </c>
      <c r="R25" s="59">
        <v>1732.8340000000001</v>
      </c>
      <c r="S25" s="59">
        <v>0</v>
      </c>
      <c r="T25" s="59">
        <v>0</v>
      </c>
      <c r="U25" s="59">
        <v>1000.752</v>
      </c>
      <c r="V25" s="59">
        <v>0</v>
      </c>
      <c r="W25" s="59">
        <v>0</v>
      </c>
      <c r="X25" s="59">
        <v>0</v>
      </c>
      <c r="Y25" s="59">
        <v>489.65899999999999</v>
      </c>
      <c r="Z25" s="59">
        <v>0.77100000000000002</v>
      </c>
      <c r="AA25" s="59">
        <v>64.320999999999998</v>
      </c>
      <c r="AB25" s="59">
        <v>129.578</v>
      </c>
      <c r="AC25" s="59">
        <v>0</v>
      </c>
      <c r="AD25" s="59">
        <v>674.84900000000005</v>
      </c>
      <c r="AE25" s="59">
        <v>114.88</v>
      </c>
      <c r="AF25" s="59">
        <v>154.17500000000001</v>
      </c>
      <c r="AG25" s="59">
        <v>0</v>
      </c>
      <c r="AH25" s="59">
        <v>101.34399999999999</v>
      </c>
      <c r="AI25" s="59">
        <v>0</v>
      </c>
      <c r="AJ25" s="59">
        <v>293.714</v>
      </c>
      <c r="AK25" s="59">
        <v>117.56699999999999</v>
      </c>
      <c r="AL25" s="59">
        <v>414.38299999999998</v>
      </c>
      <c r="AM25" s="59">
        <v>1090.3440000000001</v>
      </c>
      <c r="AN25" s="59">
        <v>0</v>
      </c>
      <c r="AO25" s="59">
        <v>855.84699999999998</v>
      </c>
      <c r="AP25" s="59">
        <v>49.625999999999998</v>
      </c>
      <c r="AQ25" s="59">
        <v>566.99099999999999</v>
      </c>
      <c r="AR25" s="59">
        <v>846.58699999999999</v>
      </c>
      <c r="AS25" s="59">
        <v>821.95600000000002</v>
      </c>
      <c r="AT25" s="59">
        <v>119.37</v>
      </c>
      <c r="AU25" s="60">
        <v>56.372</v>
      </c>
    </row>
    <row r="26" spans="1:47" x14ac:dyDescent="0.25">
      <c r="A26" s="70" t="s">
        <v>85</v>
      </c>
      <c r="B26" s="71" t="s">
        <v>44</v>
      </c>
      <c r="C26" s="58">
        <v>0</v>
      </c>
      <c r="D26" s="59">
        <v>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5.1109999999999998</v>
      </c>
      <c r="AC26" s="59">
        <v>0</v>
      </c>
      <c r="AD26" s="59">
        <v>0</v>
      </c>
      <c r="AE26" s="59">
        <v>0</v>
      </c>
      <c r="AF26" s="59">
        <v>0</v>
      </c>
      <c r="AG26" s="59">
        <v>29.114999999999998</v>
      </c>
      <c r="AH26" s="59">
        <v>0</v>
      </c>
      <c r="AI26" s="59">
        <v>11.548999999999999</v>
      </c>
      <c r="AJ26" s="59">
        <v>0</v>
      </c>
      <c r="AK26" s="59">
        <v>0</v>
      </c>
      <c r="AL26" s="59">
        <v>0</v>
      </c>
      <c r="AM26" s="59">
        <v>1.476</v>
      </c>
      <c r="AN26" s="59">
        <v>0</v>
      </c>
      <c r="AO26" s="59">
        <v>3.851</v>
      </c>
      <c r="AP26" s="59">
        <v>0</v>
      </c>
      <c r="AQ26" s="59">
        <v>0</v>
      </c>
      <c r="AR26" s="59">
        <v>0</v>
      </c>
      <c r="AS26" s="59">
        <v>0.48599999999999999</v>
      </c>
      <c r="AT26" s="59">
        <v>0</v>
      </c>
      <c r="AU26" s="60">
        <v>34.975999999999999</v>
      </c>
    </row>
    <row r="27" spans="1:47" x14ac:dyDescent="0.25">
      <c r="A27" s="70" t="s">
        <v>86</v>
      </c>
      <c r="B27" s="71" t="s">
        <v>45</v>
      </c>
      <c r="C27" s="58">
        <v>0</v>
      </c>
      <c r="D27" s="59">
        <v>0</v>
      </c>
      <c r="E27" s="59">
        <v>0</v>
      </c>
      <c r="F27" s="59">
        <v>1.2589999999999999</v>
      </c>
      <c r="G27" s="59">
        <v>0</v>
      </c>
      <c r="H27" s="59">
        <v>5.383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25.382999999999999</v>
      </c>
      <c r="Q27" s="59">
        <v>89.795000000000002</v>
      </c>
      <c r="R27" s="59">
        <v>463.78300000000002</v>
      </c>
      <c r="S27" s="59">
        <v>0</v>
      </c>
      <c r="T27" s="59">
        <v>0</v>
      </c>
      <c r="U27" s="59">
        <v>0</v>
      </c>
      <c r="V27" s="59">
        <v>0</v>
      </c>
      <c r="W27" s="59">
        <v>35.151000000000003</v>
      </c>
      <c r="X27" s="59">
        <v>0</v>
      </c>
      <c r="Y27" s="59">
        <v>0</v>
      </c>
      <c r="Z27" s="59">
        <v>0</v>
      </c>
      <c r="AA27" s="59">
        <v>28.614000000000001</v>
      </c>
      <c r="AB27" s="59">
        <v>0</v>
      </c>
      <c r="AC27" s="59">
        <v>0</v>
      </c>
      <c r="AD27" s="59">
        <v>0</v>
      </c>
      <c r="AE27" s="59">
        <v>0</v>
      </c>
      <c r="AF27" s="59">
        <v>2.4140000000000001</v>
      </c>
      <c r="AG27" s="59">
        <v>49.911000000000001</v>
      </c>
      <c r="AH27" s="59">
        <v>0</v>
      </c>
      <c r="AI27" s="59">
        <v>0</v>
      </c>
      <c r="AJ27" s="59">
        <v>16.84</v>
      </c>
      <c r="AK27" s="59">
        <v>0</v>
      </c>
      <c r="AL27" s="59">
        <v>31.765999999999998</v>
      </c>
      <c r="AM27" s="59">
        <v>105.111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60">
        <v>81.308999999999997</v>
      </c>
    </row>
    <row r="28" spans="1:47" x14ac:dyDescent="0.25">
      <c r="A28" s="70" t="s">
        <v>89</v>
      </c>
      <c r="B28" s="71" t="s">
        <v>40</v>
      </c>
      <c r="C28" s="58">
        <v>11.452999999999999</v>
      </c>
      <c r="D28" s="59">
        <v>28.518000000000001</v>
      </c>
      <c r="E28" s="59">
        <v>14.898999999999999</v>
      </c>
      <c r="F28" s="59">
        <v>32.088000000000001</v>
      </c>
      <c r="G28" s="59">
        <v>0</v>
      </c>
      <c r="H28" s="59">
        <v>7.8129999999999997</v>
      </c>
      <c r="I28" s="59">
        <v>0</v>
      </c>
      <c r="J28" s="59">
        <v>427.95800000000003</v>
      </c>
      <c r="K28" s="59">
        <v>63.627000000000002</v>
      </c>
      <c r="L28" s="59">
        <v>24.91</v>
      </c>
      <c r="M28" s="59">
        <v>242.738</v>
      </c>
      <c r="N28" s="59">
        <v>0</v>
      </c>
      <c r="O28" s="59">
        <v>717.76499999999999</v>
      </c>
      <c r="P28" s="59">
        <v>87.331000000000003</v>
      </c>
      <c r="Q28" s="59">
        <v>56.225000000000001</v>
      </c>
      <c r="R28" s="59">
        <v>505.36900000000003</v>
      </c>
      <c r="S28" s="59">
        <v>42.106000000000002</v>
      </c>
      <c r="T28" s="59">
        <v>0</v>
      </c>
      <c r="U28" s="59">
        <v>0</v>
      </c>
      <c r="V28" s="59">
        <v>0</v>
      </c>
      <c r="W28" s="59">
        <v>74.421000000000006</v>
      </c>
      <c r="X28" s="59">
        <v>26.756</v>
      </c>
      <c r="Y28" s="59">
        <v>0</v>
      </c>
      <c r="Z28" s="59">
        <v>15.108000000000001</v>
      </c>
      <c r="AA28" s="59">
        <v>6.4429999999999996</v>
      </c>
      <c r="AB28" s="59">
        <v>172.14400000000001</v>
      </c>
      <c r="AC28" s="59">
        <v>37.970999999999997</v>
      </c>
      <c r="AD28" s="59">
        <v>21.902999999999999</v>
      </c>
      <c r="AE28" s="59">
        <v>13.468</v>
      </c>
      <c r="AF28" s="59">
        <v>2.1850000000000001</v>
      </c>
      <c r="AG28" s="59">
        <v>5.3159999999999998</v>
      </c>
      <c r="AH28" s="59">
        <v>262.98899999999998</v>
      </c>
      <c r="AI28" s="59">
        <v>85.007999999999996</v>
      </c>
      <c r="AJ28" s="59">
        <v>202.666</v>
      </c>
      <c r="AK28" s="59">
        <v>52.902000000000001</v>
      </c>
      <c r="AL28" s="59">
        <v>178.125</v>
      </c>
      <c r="AM28" s="59">
        <v>146.49</v>
      </c>
      <c r="AN28" s="59">
        <v>131.78899999999999</v>
      </c>
      <c r="AO28" s="59">
        <v>79.403000000000006</v>
      </c>
      <c r="AP28" s="59">
        <v>83.174000000000007</v>
      </c>
      <c r="AQ28" s="59">
        <v>164.916</v>
      </c>
      <c r="AR28" s="59">
        <v>103.123</v>
      </c>
      <c r="AS28" s="59">
        <v>57.591999999999999</v>
      </c>
      <c r="AT28" s="59">
        <v>585.23800000000006</v>
      </c>
      <c r="AU28" s="60">
        <v>65.97</v>
      </c>
    </row>
    <row r="29" spans="1:47" x14ac:dyDescent="0.25">
      <c r="A29" s="70" t="s">
        <v>90</v>
      </c>
      <c r="B29" s="71" t="s">
        <v>31</v>
      </c>
      <c r="C29" s="58">
        <v>3165.5610000000001</v>
      </c>
      <c r="D29" s="59">
        <v>0</v>
      </c>
      <c r="E29" s="59">
        <v>896.79300000000001</v>
      </c>
      <c r="F29" s="59">
        <v>334.82499999999999</v>
      </c>
      <c r="G29" s="59">
        <v>0</v>
      </c>
      <c r="H29" s="59">
        <v>1695.5429999999999</v>
      </c>
      <c r="I29" s="59">
        <v>4.2560000000000002</v>
      </c>
      <c r="J29" s="59">
        <v>836.77800000000002</v>
      </c>
      <c r="K29" s="59">
        <v>0</v>
      </c>
      <c r="L29" s="59">
        <v>0</v>
      </c>
      <c r="M29" s="59">
        <v>324.32499999999999</v>
      </c>
      <c r="N29" s="59">
        <v>23.728000000000002</v>
      </c>
      <c r="O29" s="59">
        <v>0</v>
      </c>
      <c r="P29" s="59">
        <v>0</v>
      </c>
      <c r="Q29" s="59">
        <v>2.5110000000000001</v>
      </c>
      <c r="R29" s="59">
        <v>4.03</v>
      </c>
      <c r="S29" s="59">
        <v>0</v>
      </c>
      <c r="T29" s="59">
        <v>7711.616</v>
      </c>
      <c r="U29" s="59">
        <v>1.03</v>
      </c>
      <c r="V29" s="59">
        <v>21.63</v>
      </c>
      <c r="W29" s="59">
        <v>0</v>
      </c>
      <c r="X29" s="59">
        <v>1752.931</v>
      </c>
      <c r="Y29" s="59">
        <v>5.9470000000000001</v>
      </c>
      <c r="Z29" s="59">
        <v>624.64200000000005</v>
      </c>
      <c r="AA29" s="59">
        <v>344.61700000000002</v>
      </c>
      <c r="AB29" s="59">
        <v>9.4459999999999997</v>
      </c>
      <c r="AC29" s="59">
        <v>62.679000000000002</v>
      </c>
      <c r="AD29" s="59">
        <v>118.22199999999999</v>
      </c>
      <c r="AE29" s="59">
        <v>108.49</v>
      </c>
      <c r="AF29" s="59">
        <v>118.809</v>
      </c>
      <c r="AG29" s="59">
        <v>5248.3180000000002</v>
      </c>
      <c r="AH29" s="59">
        <v>0</v>
      </c>
      <c r="AI29" s="59">
        <v>7.0030000000000001</v>
      </c>
      <c r="AJ29" s="59">
        <v>14.688000000000001</v>
      </c>
      <c r="AK29" s="59">
        <v>9.4120000000000008</v>
      </c>
      <c r="AL29" s="59">
        <v>7.5650000000000004</v>
      </c>
      <c r="AM29" s="59">
        <v>0</v>
      </c>
      <c r="AN29" s="59">
        <v>86.825999999999993</v>
      </c>
      <c r="AO29" s="59">
        <v>966.24699999999996</v>
      </c>
      <c r="AP29" s="59">
        <v>0</v>
      </c>
      <c r="AQ29" s="59">
        <v>451.04599999999999</v>
      </c>
      <c r="AR29" s="59">
        <v>32.774999999999999</v>
      </c>
      <c r="AS29" s="59">
        <v>0.82299999999999995</v>
      </c>
      <c r="AT29" s="59">
        <v>0.60699999999999998</v>
      </c>
      <c r="AU29" s="60">
        <v>2938.2629999999999</v>
      </c>
    </row>
    <row r="30" spans="1:47" x14ac:dyDescent="0.25">
      <c r="A30" s="70" t="s">
        <v>91</v>
      </c>
      <c r="B30" s="71" t="s">
        <v>32</v>
      </c>
      <c r="C30" s="58">
        <v>17.547000000000001</v>
      </c>
      <c r="D30" s="59">
        <v>0</v>
      </c>
      <c r="E30" s="59">
        <v>2.4089999999999998</v>
      </c>
      <c r="F30" s="59">
        <v>876.43399999999997</v>
      </c>
      <c r="G30" s="59">
        <v>0</v>
      </c>
      <c r="H30" s="59">
        <v>410.49299999999999</v>
      </c>
      <c r="I30" s="59">
        <v>0</v>
      </c>
      <c r="J30" s="59">
        <v>0</v>
      </c>
      <c r="K30" s="59">
        <v>5.9340000000000002</v>
      </c>
      <c r="L30" s="59">
        <v>6.0990000000000002</v>
      </c>
      <c r="M30" s="59">
        <v>0</v>
      </c>
      <c r="N30" s="59">
        <v>0</v>
      </c>
      <c r="O30" s="59">
        <v>0</v>
      </c>
      <c r="P30" s="59">
        <v>0</v>
      </c>
      <c r="Q30" s="59">
        <v>0</v>
      </c>
      <c r="R30" s="59">
        <v>0</v>
      </c>
      <c r="S30" s="59">
        <v>126.69199999999999</v>
      </c>
      <c r="T30" s="59">
        <v>60.33</v>
      </c>
      <c r="U30" s="59">
        <v>125.051</v>
      </c>
      <c r="V30" s="59">
        <v>0</v>
      </c>
      <c r="W30" s="59">
        <v>0</v>
      </c>
      <c r="X30" s="59">
        <v>0</v>
      </c>
      <c r="Y30" s="59">
        <v>0</v>
      </c>
      <c r="Z30" s="59">
        <v>5005.6170000000002</v>
      </c>
      <c r="AA30" s="59">
        <v>1685.117</v>
      </c>
      <c r="AB30" s="59">
        <v>2023.194</v>
      </c>
      <c r="AC30" s="59">
        <v>0</v>
      </c>
      <c r="AD30" s="59">
        <v>0</v>
      </c>
      <c r="AE30" s="59">
        <v>0</v>
      </c>
      <c r="AF30" s="59">
        <v>44.75</v>
      </c>
      <c r="AG30" s="59">
        <v>1639.1010000000001</v>
      </c>
      <c r="AH30" s="59">
        <v>0</v>
      </c>
      <c r="AI30" s="59">
        <v>0</v>
      </c>
      <c r="AJ30" s="59">
        <v>760.36699999999996</v>
      </c>
      <c r="AK30" s="59">
        <v>0</v>
      </c>
      <c r="AL30" s="59">
        <v>6.8979999999999997</v>
      </c>
      <c r="AM30" s="59">
        <v>289.93</v>
      </c>
      <c r="AN30" s="59">
        <v>2380.1610000000001</v>
      </c>
      <c r="AO30" s="59">
        <v>188.738</v>
      </c>
      <c r="AP30" s="59">
        <v>636.92100000000005</v>
      </c>
      <c r="AQ30" s="59">
        <v>105.785</v>
      </c>
      <c r="AR30" s="59">
        <v>3.0870000000000002</v>
      </c>
      <c r="AS30" s="59">
        <v>1242.3219999999999</v>
      </c>
      <c r="AT30" s="59">
        <v>43.350999999999999</v>
      </c>
      <c r="AU30" s="60">
        <v>121.506</v>
      </c>
    </row>
    <row r="31" spans="1:47" x14ac:dyDescent="0.25">
      <c r="A31" s="70" t="s">
        <v>92</v>
      </c>
      <c r="B31" s="71" t="s">
        <v>33</v>
      </c>
      <c r="C31" s="58">
        <v>0</v>
      </c>
      <c r="D31" s="59">
        <v>0.81</v>
      </c>
      <c r="E31" s="59">
        <v>0</v>
      </c>
      <c r="F31" s="59">
        <v>0</v>
      </c>
      <c r="G31" s="59">
        <v>0</v>
      </c>
      <c r="H31" s="59">
        <v>0</v>
      </c>
      <c r="I31" s="59">
        <v>3069.5079999999998</v>
      </c>
      <c r="J31" s="59">
        <v>0</v>
      </c>
      <c r="K31" s="59">
        <v>0</v>
      </c>
      <c r="L31" s="59">
        <v>0</v>
      </c>
      <c r="M31" s="59">
        <v>138.64599999999999</v>
      </c>
      <c r="N31" s="59">
        <v>476.548</v>
      </c>
      <c r="O31" s="59">
        <v>0</v>
      </c>
      <c r="P31" s="59">
        <v>0</v>
      </c>
      <c r="Q31" s="59">
        <v>14.196</v>
      </c>
      <c r="R31" s="59">
        <v>49.198</v>
      </c>
      <c r="S31" s="59">
        <v>51.101999999999997</v>
      </c>
      <c r="T31" s="59">
        <v>492.94</v>
      </c>
      <c r="U31" s="59">
        <v>542.23800000000006</v>
      </c>
      <c r="V31" s="59">
        <v>1061.7339999999999</v>
      </c>
      <c r="W31" s="59">
        <v>3488.393</v>
      </c>
      <c r="X31" s="59">
        <v>890.01300000000003</v>
      </c>
      <c r="Y31" s="59">
        <v>1.2210000000000001</v>
      </c>
      <c r="Z31" s="59">
        <v>1303.6949999999999</v>
      </c>
      <c r="AA31" s="59">
        <v>106.684</v>
      </c>
      <c r="AB31" s="59">
        <v>4283.2309999999998</v>
      </c>
      <c r="AC31" s="59">
        <v>857.10599999999999</v>
      </c>
      <c r="AD31" s="59">
        <v>384.089</v>
      </c>
      <c r="AE31" s="59">
        <v>679.50800000000004</v>
      </c>
      <c r="AF31" s="59">
        <v>0</v>
      </c>
      <c r="AG31" s="59">
        <v>1625.7940000000001</v>
      </c>
      <c r="AH31" s="59">
        <v>0</v>
      </c>
      <c r="AI31" s="59">
        <v>33.366999999999997</v>
      </c>
      <c r="AJ31" s="59">
        <v>23.812999999999999</v>
      </c>
      <c r="AK31" s="59">
        <v>928.25300000000004</v>
      </c>
      <c r="AL31" s="59">
        <v>3976.7620000000002</v>
      </c>
      <c r="AM31" s="59">
        <v>0</v>
      </c>
      <c r="AN31" s="59">
        <v>44.08</v>
      </c>
      <c r="AO31" s="59">
        <v>503.88299999999998</v>
      </c>
      <c r="AP31" s="59">
        <v>0</v>
      </c>
      <c r="AQ31" s="59">
        <v>523.08699999999999</v>
      </c>
      <c r="AR31" s="59">
        <v>34.917999999999999</v>
      </c>
      <c r="AS31" s="59">
        <v>1247.0170000000001</v>
      </c>
      <c r="AT31" s="59">
        <v>16.914000000000001</v>
      </c>
      <c r="AU31" s="60">
        <v>399.75200000000001</v>
      </c>
    </row>
    <row r="32" spans="1:47" x14ac:dyDescent="0.25">
      <c r="A32" s="70" t="s">
        <v>96</v>
      </c>
      <c r="B32" s="71" t="s">
        <v>35</v>
      </c>
      <c r="C32" s="58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3.6589999999999998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39.264000000000003</v>
      </c>
      <c r="Q32" s="59">
        <v>0</v>
      </c>
      <c r="R32" s="59">
        <v>0</v>
      </c>
      <c r="S32" s="59">
        <v>30.856999999999999</v>
      </c>
      <c r="T32" s="59">
        <v>201.25299999999999</v>
      </c>
      <c r="U32" s="59">
        <v>117.41800000000001</v>
      </c>
      <c r="V32" s="59">
        <v>526.74300000000005</v>
      </c>
      <c r="W32" s="59">
        <v>0</v>
      </c>
      <c r="X32" s="59">
        <v>29.138000000000002</v>
      </c>
      <c r="Y32" s="59">
        <v>81.343999999999994</v>
      </c>
      <c r="Z32" s="59">
        <v>295.28100000000001</v>
      </c>
      <c r="AA32" s="59">
        <v>690.577</v>
      </c>
      <c r="AB32" s="59">
        <v>1.016</v>
      </c>
      <c r="AC32" s="59">
        <v>79.338999999999999</v>
      </c>
      <c r="AD32" s="59">
        <v>0.68600000000000005</v>
      </c>
      <c r="AE32" s="59">
        <v>0.505</v>
      </c>
      <c r="AF32" s="59">
        <v>0</v>
      </c>
      <c r="AG32" s="59">
        <v>48.829000000000001</v>
      </c>
      <c r="AH32" s="59">
        <v>0</v>
      </c>
      <c r="AI32" s="59">
        <v>0</v>
      </c>
      <c r="AJ32" s="59">
        <v>15.481999999999999</v>
      </c>
      <c r="AK32" s="59">
        <v>0</v>
      </c>
      <c r="AL32" s="59">
        <v>0</v>
      </c>
      <c r="AM32" s="59">
        <v>0</v>
      </c>
      <c r="AN32" s="59">
        <v>0</v>
      </c>
      <c r="AO32" s="59">
        <v>86.114999999999995</v>
      </c>
      <c r="AP32" s="59">
        <v>33.875</v>
      </c>
      <c r="AQ32" s="59">
        <v>21.59</v>
      </c>
      <c r="AR32" s="59">
        <v>41.473999999999997</v>
      </c>
      <c r="AS32" s="59">
        <v>87.753</v>
      </c>
      <c r="AT32" s="59">
        <v>20.945</v>
      </c>
      <c r="AU32" s="60">
        <v>114.121</v>
      </c>
    </row>
    <row r="33" spans="1:47" x14ac:dyDescent="0.25">
      <c r="A33" s="70" t="s">
        <v>95</v>
      </c>
      <c r="B33" s="71" t="s">
        <v>34</v>
      </c>
      <c r="C33" s="58">
        <v>0</v>
      </c>
      <c r="D33" s="59">
        <v>0</v>
      </c>
      <c r="E33" s="59">
        <v>0.51800000000000002</v>
      </c>
      <c r="F33" s="59">
        <v>0</v>
      </c>
      <c r="G33" s="59">
        <v>0.57799999999999996</v>
      </c>
      <c r="H33" s="59">
        <v>0</v>
      </c>
      <c r="I33" s="59">
        <v>97.366</v>
      </c>
      <c r="J33" s="59">
        <v>0</v>
      </c>
      <c r="K33" s="59">
        <v>0</v>
      </c>
      <c r="L33" s="59">
        <v>0</v>
      </c>
      <c r="M33" s="59">
        <v>2040.508</v>
      </c>
      <c r="N33" s="59">
        <v>23.068999999999999</v>
      </c>
      <c r="O33" s="59">
        <v>437.23500000000001</v>
      </c>
      <c r="P33" s="59">
        <v>422.36799999999999</v>
      </c>
      <c r="Q33" s="59">
        <v>112.738</v>
      </c>
      <c r="R33" s="59">
        <v>88.230999999999995</v>
      </c>
      <c r="S33" s="59">
        <v>0</v>
      </c>
      <c r="T33" s="59">
        <v>103.309</v>
      </c>
      <c r="U33" s="59">
        <v>386.86700000000002</v>
      </c>
      <c r="V33" s="59">
        <v>27.41</v>
      </c>
      <c r="W33" s="59">
        <v>167.03899999999999</v>
      </c>
      <c r="X33" s="59">
        <v>104.01300000000001</v>
      </c>
      <c r="Y33" s="59">
        <v>0</v>
      </c>
      <c r="Z33" s="59">
        <v>230.006</v>
      </c>
      <c r="AA33" s="59">
        <v>113.371</v>
      </c>
      <c r="AB33" s="59">
        <v>84.748000000000005</v>
      </c>
      <c r="AC33" s="59">
        <v>76.838999999999999</v>
      </c>
      <c r="AD33" s="59">
        <v>453.46100000000001</v>
      </c>
      <c r="AE33" s="59">
        <v>149.227</v>
      </c>
      <c r="AF33" s="59">
        <v>34.779000000000003</v>
      </c>
      <c r="AG33" s="59">
        <v>346.29599999999999</v>
      </c>
      <c r="AH33" s="59">
        <v>0</v>
      </c>
      <c r="AI33" s="59">
        <v>672.12</v>
      </c>
      <c r="AJ33" s="59">
        <v>0</v>
      </c>
      <c r="AK33" s="59">
        <v>1488.1510000000001</v>
      </c>
      <c r="AL33" s="59">
        <v>0</v>
      </c>
      <c r="AM33" s="59">
        <v>0</v>
      </c>
      <c r="AN33" s="59">
        <v>224.33500000000001</v>
      </c>
      <c r="AO33" s="59">
        <v>0</v>
      </c>
      <c r="AP33" s="59">
        <v>207.411</v>
      </c>
      <c r="AQ33" s="59">
        <v>9.5220000000000002</v>
      </c>
      <c r="AR33" s="59">
        <v>0.115</v>
      </c>
      <c r="AS33" s="59">
        <v>172.65100000000001</v>
      </c>
      <c r="AT33" s="59">
        <v>10242.857</v>
      </c>
      <c r="AU33" s="60">
        <v>33.393000000000001</v>
      </c>
    </row>
    <row r="34" spans="1:47" x14ac:dyDescent="0.25">
      <c r="A34" s="70" t="s">
        <v>93</v>
      </c>
      <c r="B34" s="71" t="s">
        <v>47</v>
      </c>
      <c r="C34" s="58">
        <v>16.071000000000002</v>
      </c>
      <c r="D34" s="59">
        <v>86.405000000000001</v>
      </c>
      <c r="E34" s="59">
        <v>0.22600000000000001</v>
      </c>
      <c r="F34" s="59">
        <v>10.657</v>
      </c>
      <c r="G34" s="59">
        <v>13.398999999999999</v>
      </c>
      <c r="H34" s="59">
        <v>13.382</v>
      </c>
      <c r="I34" s="59">
        <v>0.26600000000000001</v>
      </c>
      <c r="J34" s="59">
        <v>0.49399999999999999</v>
      </c>
      <c r="K34" s="59">
        <v>0</v>
      </c>
      <c r="L34" s="59">
        <v>0</v>
      </c>
      <c r="M34" s="59">
        <v>0</v>
      </c>
      <c r="N34" s="59">
        <v>0</v>
      </c>
      <c r="O34" s="59">
        <v>0</v>
      </c>
      <c r="P34" s="59">
        <v>0</v>
      </c>
      <c r="Q34" s="59">
        <v>0</v>
      </c>
      <c r="R34" s="59">
        <v>0</v>
      </c>
      <c r="S34" s="59">
        <v>0</v>
      </c>
      <c r="T34" s="59">
        <v>0</v>
      </c>
      <c r="U34" s="59">
        <v>0.77800000000000002</v>
      </c>
      <c r="V34" s="59">
        <v>291.17899999999997</v>
      </c>
      <c r="W34" s="59">
        <v>841.34500000000003</v>
      </c>
      <c r="X34" s="59">
        <v>0</v>
      </c>
      <c r="Y34" s="59">
        <v>0</v>
      </c>
      <c r="Z34" s="59">
        <v>0</v>
      </c>
      <c r="AA34" s="59">
        <v>0</v>
      </c>
      <c r="AB34" s="59">
        <v>121.39</v>
      </c>
      <c r="AC34" s="59">
        <v>63.398000000000003</v>
      </c>
      <c r="AD34" s="59">
        <v>1336.7380000000001</v>
      </c>
      <c r="AE34" s="59">
        <v>0</v>
      </c>
      <c r="AF34" s="59">
        <v>35.308999999999997</v>
      </c>
      <c r="AG34" s="59">
        <v>734.25599999999997</v>
      </c>
      <c r="AH34" s="59">
        <v>752.88099999999997</v>
      </c>
      <c r="AI34" s="59">
        <v>4493.8599999999997</v>
      </c>
      <c r="AJ34" s="59">
        <v>0</v>
      </c>
      <c r="AK34" s="59">
        <v>1807.0550000000001</v>
      </c>
      <c r="AL34" s="59">
        <v>18.594000000000001</v>
      </c>
      <c r="AM34" s="59">
        <v>213.965</v>
      </c>
      <c r="AN34" s="59">
        <v>1978.5350000000001</v>
      </c>
      <c r="AO34" s="59">
        <v>5.9269999999999996</v>
      </c>
      <c r="AP34" s="59">
        <v>38.119</v>
      </c>
      <c r="AQ34" s="59">
        <v>67.448999999999998</v>
      </c>
      <c r="AR34" s="59">
        <v>11.093</v>
      </c>
      <c r="AS34" s="59">
        <v>1082.0319999999999</v>
      </c>
      <c r="AT34" s="59">
        <v>344.93599999999998</v>
      </c>
      <c r="AU34" s="60">
        <v>1065.288</v>
      </c>
    </row>
    <row r="35" spans="1:47" x14ac:dyDescent="0.25">
      <c r="A35" s="70" t="s">
        <v>73</v>
      </c>
      <c r="B35" s="71" t="s">
        <v>19</v>
      </c>
      <c r="C35" s="58">
        <v>3915.2350000000001</v>
      </c>
      <c r="D35" s="59">
        <v>4035.5680000000002</v>
      </c>
      <c r="E35" s="59">
        <v>3608.5630000000001</v>
      </c>
      <c r="F35" s="59">
        <v>15456.414000000001</v>
      </c>
      <c r="G35" s="59">
        <v>4052.7</v>
      </c>
      <c r="H35" s="59">
        <v>81.22</v>
      </c>
      <c r="I35" s="59">
        <v>50.201999999999998</v>
      </c>
      <c r="J35" s="59">
        <v>2689.5929999999998</v>
      </c>
      <c r="K35" s="59">
        <v>1256.0070000000001</v>
      </c>
      <c r="L35" s="59">
        <v>2705.9259999999999</v>
      </c>
      <c r="M35" s="59">
        <v>6803.1419999999998</v>
      </c>
      <c r="N35" s="59">
        <v>123.35</v>
      </c>
      <c r="O35" s="59">
        <v>286.93</v>
      </c>
      <c r="P35" s="59">
        <v>174.71700000000001</v>
      </c>
      <c r="Q35" s="59">
        <v>430.09500000000003</v>
      </c>
      <c r="R35" s="59">
        <v>2402.5630000000001</v>
      </c>
      <c r="S35" s="59">
        <v>1667.91</v>
      </c>
      <c r="T35" s="59">
        <v>474.68799999999999</v>
      </c>
      <c r="U35" s="59">
        <v>221.33099999999999</v>
      </c>
      <c r="V35" s="59">
        <v>6149.4489999999996</v>
      </c>
      <c r="W35" s="59">
        <v>1210.933</v>
      </c>
      <c r="X35" s="59">
        <v>363.10700000000003</v>
      </c>
      <c r="Y35" s="59">
        <v>244.197</v>
      </c>
      <c r="Z35" s="59">
        <v>1210.153</v>
      </c>
      <c r="AA35" s="59">
        <v>101.24299999999999</v>
      </c>
      <c r="AB35" s="59">
        <v>2898.4349999999999</v>
      </c>
      <c r="AC35" s="59">
        <v>960.93499999999995</v>
      </c>
      <c r="AD35" s="59">
        <v>583.83100000000002</v>
      </c>
      <c r="AE35" s="59">
        <v>80.513999999999996</v>
      </c>
      <c r="AF35" s="59">
        <v>1978.6179999999999</v>
      </c>
      <c r="AG35" s="59">
        <v>1393.4459999999999</v>
      </c>
      <c r="AH35" s="59">
        <v>1703.1569999999999</v>
      </c>
      <c r="AI35" s="59">
        <v>382.33199999999999</v>
      </c>
      <c r="AJ35" s="59">
        <v>51.448</v>
      </c>
      <c r="AK35" s="59">
        <v>34.253</v>
      </c>
      <c r="AL35" s="59">
        <v>258.59300000000002</v>
      </c>
      <c r="AM35" s="59">
        <v>524.52800000000002</v>
      </c>
      <c r="AN35" s="59">
        <v>459.90899999999999</v>
      </c>
      <c r="AO35" s="59">
        <v>2262.4949999999999</v>
      </c>
      <c r="AP35" s="59">
        <v>5279.0550000000003</v>
      </c>
      <c r="AQ35" s="59">
        <v>2512.7620000000002</v>
      </c>
      <c r="AR35" s="59">
        <v>4082.0990000000002</v>
      </c>
      <c r="AS35" s="59">
        <v>11574.097</v>
      </c>
      <c r="AT35" s="59">
        <v>7346.2209999999995</v>
      </c>
      <c r="AU35" s="60">
        <v>18220.144</v>
      </c>
    </row>
    <row r="36" spans="1:47" x14ac:dyDescent="0.25">
      <c r="A36" s="70" t="s">
        <v>94</v>
      </c>
      <c r="B36" s="71" t="s">
        <v>37</v>
      </c>
      <c r="C36" s="58">
        <v>0</v>
      </c>
      <c r="D36" s="59">
        <v>0</v>
      </c>
      <c r="E36" s="59">
        <v>0</v>
      </c>
      <c r="F36" s="59">
        <v>0</v>
      </c>
      <c r="G36" s="59">
        <v>0</v>
      </c>
      <c r="H36" s="59">
        <v>9.8979999999999997</v>
      </c>
      <c r="I36" s="59">
        <v>0</v>
      </c>
      <c r="J36" s="59">
        <v>0</v>
      </c>
      <c r="K36" s="59">
        <v>0</v>
      </c>
      <c r="L36" s="59">
        <v>0</v>
      </c>
      <c r="M36" s="59">
        <v>11.657999999999999</v>
      </c>
      <c r="N36" s="59">
        <v>0</v>
      </c>
      <c r="O36" s="59">
        <v>0</v>
      </c>
      <c r="P36" s="59">
        <v>0</v>
      </c>
      <c r="Q36" s="59">
        <v>0</v>
      </c>
      <c r="R36" s="59">
        <v>0</v>
      </c>
      <c r="S36" s="59">
        <v>0</v>
      </c>
      <c r="T36" s="59">
        <v>4.8550000000000004</v>
      </c>
      <c r="U36" s="59">
        <v>0</v>
      </c>
      <c r="V36" s="59">
        <v>212.46199999999999</v>
      </c>
      <c r="W36" s="59">
        <v>10.897</v>
      </c>
      <c r="X36" s="59">
        <v>0</v>
      </c>
      <c r="Y36" s="59">
        <v>0.84199999999999997</v>
      </c>
      <c r="Z36" s="59">
        <v>0</v>
      </c>
      <c r="AA36" s="59">
        <v>14.955</v>
      </c>
      <c r="AB36" s="59">
        <v>2767.2539999999999</v>
      </c>
      <c r="AC36" s="59">
        <v>0.55100000000000005</v>
      </c>
      <c r="AD36" s="59">
        <v>0</v>
      </c>
      <c r="AE36" s="59">
        <v>0.46</v>
      </c>
      <c r="AF36" s="59">
        <v>0</v>
      </c>
      <c r="AG36" s="59">
        <v>0</v>
      </c>
      <c r="AH36" s="59">
        <v>0</v>
      </c>
      <c r="AI36" s="59">
        <v>0</v>
      </c>
      <c r="AJ36" s="59">
        <v>113.82299999999999</v>
      </c>
      <c r="AK36" s="59">
        <v>203.47900000000001</v>
      </c>
      <c r="AL36" s="59">
        <v>17.13</v>
      </c>
      <c r="AM36" s="59">
        <v>0</v>
      </c>
      <c r="AN36" s="59">
        <v>0</v>
      </c>
      <c r="AO36" s="59">
        <v>96.558999999999997</v>
      </c>
      <c r="AP36" s="59">
        <v>154.16</v>
      </c>
      <c r="AQ36" s="59">
        <v>69.344999999999999</v>
      </c>
      <c r="AR36" s="59">
        <v>47.683999999999997</v>
      </c>
      <c r="AS36" s="59">
        <v>0</v>
      </c>
      <c r="AT36" s="59">
        <v>95.126999999999995</v>
      </c>
      <c r="AU36" s="60">
        <v>0</v>
      </c>
    </row>
    <row r="37" spans="1:47" x14ac:dyDescent="0.25">
      <c r="A37" s="70" t="s">
        <v>65</v>
      </c>
      <c r="B37" s="71" t="s">
        <v>41</v>
      </c>
      <c r="C37" s="58">
        <v>0</v>
      </c>
      <c r="D37" s="59">
        <v>10.092000000000001</v>
      </c>
      <c r="E37" s="59">
        <v>45.77</v>
      </c>
      <c r="F37" s="59">
        <v>30.931999999999999</v>
      </c>
      <c r="G37" s="59">
        <v>82.828999999999994</v>
      </c>
      <c r="H37" s="59">
        <v>61.73</v>
      </c>
      <c r="I37" s="59">
        <v>516.32100000000003</v>
      </c>
      <c r="J37" s="59">
        <v>3702.2429999999999</v>
      </c>
      <c r="K37" s="59">
        <v>232.29499999999999</v>
      </c>
      <c r="L37" s="59">
        <v>1.37</v>
      </c>
      <c r="M37" s="59">
        <v>924.32399999999996</v>
      </c>
      <c r="N37" s="59">
        <v>0</v>
      </c>
      <c r="O37" s="59">
        <v>246.209</v>
      </c>
      <c r="P37" s="59">
        <v>841.81500000000005</v>
      </c>
      <c r="Q37" s="59">
        <v>296.52499999999998</v>
      </c>
      <c r="R37" s="59">
        <v>2.3330000000000002</v>
      </c>
      <c r="S37" s="59">
        <v>0</v>
      </c>
      <c r="T37" s="59">
        <v>185.86199999999999</v>
      </c>
      <c r="U37" s="59">
        <v>88.772000000000006</v>
      </c>
      <c r="V37" s="59">
        <v>5142.1639999999998</v>
      </c>
      <c r="W37" s="59">
        <v>939.82299999999998</v>
      </c>
      <c r="X37" s="59">
        <v>37.18</v>
      </c>
      <c r="Y37" s="59">
        <v>507.72199999999998</v>
      </c>
      <c r="Z37" s="59">
        <v>460.29399999999998</v>
      </c>
      <c r="AA37" s="59">
        <v>18.506</v>
      </c>
      <c r="AB37" s="59">
        <v>4997.6589999999997</v>
      </c>
      <c r="AC37" s="59">
        <v>46.981000000000002</v>
      </c>
      <c r="AD37" s="59">
        <v>939.06399999999996</v>
      </c>
      <c r="AE37" s="59">
        <v>0.71399999999999997</v>
      </c>
      <c r="AF37" s="59">
        <v>1178.3209999999999</v>
      </c>
      <c r="AG37" s="59">
        <v>48.228000000000002</v>
      </c>
      <c r="AH37" s="59">
        <v>104.60599999999999</v>
      </c>
      <c r="AI37" s="59">
        <v>0.22800000000000001</v>
      </c>
      <c r="AJ37" s="59">
        <v>374.05799999999999</v>
      </c>
      <c r="AK37" s="59">
        <v>108.67</v>
      </c>
      <c r="AL37" s="59">
        <v>9.1219999999999999</v>
      </c>
      <c r="AM37" s="59">
        <v>66.724000000000004</v>
      </c>
      <c r="AN37" s="59">
        <v>418.05900000000003</v>
      </c>
      <c r="AO37" s="59">
        <v>161.93899999999999</v>
      </c>
      <c r="AP37" s="59">
        <v>195.65899999999999</v>
      </c>
      <c r="AQ37" s="59">
        <v>144.73500000000001</v>
      </c>
      <c r="AR37" s="59">
        <v>389.18900000000002</v>
      </c>
      <c r="AS37" s="59">
        <v>19.166</v>
      </c>
      <c r="AT37" s="59">
        <v>465.19600000000003</v>
      </c>
      <c r="AU37" s="60">
        <v>384.90899999999999</v>
      </c>
    </row>
    <row r="38" spans="1:47" x14ac:dyDescent="0.25">
      <c r="A38" s="70" t="s">
        <v>97</v>
      </c>
      <c r="B38" s="71" t="s">
        <v>48</v>
      </c>
      <c r="C38" s="58">
        <v>34.79</v>
      </c>
      <c r="D38" s="59">
        <v>0</v>
      </c>
      <c r="E38" s="59">
        <v>0.02</v>
      </c>
      <c r="F38" s="59">
        <v>73.465999999999994</v>
      </c>
      <c r="G38" s="59">
        <v>18.417000000000002</v>
      </c>
      <c r="H38" s="59">
        <v>3.1669999999999998</v>
      </c>
      <c r="I38" s="59">
        <v>17.922999999999998</v>
      </c>
      <c r="J38" s="59">
        <v>0</v>
      </c>
      <c r="K38" s="59">
        <v>1.6E-2</v>
      </c>
      <c r="L38" s="59">
        <v>2.7120000000000002</v>
      </c>
      <c r="M38" s="59">
        <v>271.05399999999997</v>
      </c>
      <c r="N38" s="59">
        <v>50.832000000000001</v>
      </c>
      <c r="O38" s="59">
        <v>1569.0150000000001</v>
      </c>
      <c r="P38" s="59">
        <v>0</v>
      </c>
      <c r="Q38" s="59">
        <v>1.7999999999999999E-2</v>
      </c>
      <c r="R38" s="59">
        <v>627.58000000000004</v>
      </c>
      <c r="S38" s="59">
        <v>53.923999999999999</v>
      </c>
      <c r="T38" s="59">
        <v>7.0999999999999994E-2</v>
      </c>
      <c r="U38" s="59">
        <v>3558.674</v>
      </c>
      <c r="V38" s="59">
        <v>26738.618999999999</v>
      </c>
      <c r="W38" s="59">
        <v>60.762999999999998</v>
      </c>
      <c r="X38" s="59">
        <v>47.292000000000002</v>
      </c>
      <c r="Y38" s="59">
        <v>202.619</v>
      </c>
      <c r="Z38" s="59">
        <v>172.852</v>
      </c>
      <c r="AA38" s="59">
        <v>4.12</v>
      </c>
      <c r="AB38" s="59">
        <v>30.003</v>
      </c>
      <c r="AC38" s="59">
        <v>404.03800000000001</v>
      </c>
      <c r="AD38" s="59">
        <v>7.59</v>
      </c>
      <c r="AE38" s="59">
        <v>0.34300000000000003</v>
      </c>
      <c r="AF38" s="59">
        <v>1320.9480000000001</v>
      </c>
      <c r="AG38" s="59">
        <v>15.287000000000001</v>
      </c>
      <c r="AH38" s="59">
        <v>1420.6780000000001</v>
      </c>
      <c r="AI38" s="59">
        <v>63.817</v>
      </c>
      <c r="AJ38" s="59">
        <v>12.093</v>
      </c>
      <c r="AK38" s="59">
        <v>5.923</v>
      </c>
      <c r="AL38" s="59">
        <v>16.411999999999999</v>
      </c>
      <c r="AM38" s="59">
        <v>0</v>
      </c>
      <c r="AN38" s="59">
        <v>709.73</v>
      </c>
      <c r="AO38" s="59">
        <v>12.795</v>
      </c>
      <c r="AP38" s="59">
        <v>185.08099999999999</v>
      </c>
      <c r="AQ38" s="59">
        <v>1104.7739999999999</v>
      </c>
      <c r="AR38" s="59">
        <v>822.95299999999997</v>
      </c>
      <c r="AS38" s="59">
        <v>389.625</v>
      </c>
      <c r="AT38" s="59">
        <v>88222.631999999998</v>
      </c>
      <c r="AU38" s="60">
        <v>34.78</v>
      </c>
    </row>
    <row r="39" spans="1:47" x14ac:dyDescent="0.25">
      <c r="A39" s="72" t="s">
        <v>98</v>
      </c>
      <c r="B39" s="73" t="s">
        <v>49</v>
      </c>
      <c r="C39" s="63">
        <v>0</v>
      </c>
      <c r="D39" s="64">
        <v>0</v>
      </c>
      <c r="E39" s="64">
        <v>0</v>
      </c>
      <c r="F39" s="64">
        <v>0</v>
      </c>
      <c r="G39" s="64">
        <v>0</v>
      </c>
      <c r="H39" s="64">
        <v>0</v>
      </c>
      <c r="I39" s="64">
        <v>0</v>
      </c>
      <c r="J39" s="64">
        <v>0</v>
      </c>
      <c r="K39" s="64">
        <v>0</v>
      </c>
      <c r="L39" s="64">
        <v>0</v>
      </c>
      <c r="M39" s="64">
        <v>0</v>
      </c>
      <c r="N39" s="64">
        <v>0</v>
      </c>
      <c r="O39" s="64">
        <v>0</v>
      </c>
      <c r="P39" s="64">
        <v>0</v>
      </c>
      <c r="Q39" s="64">
        <v>0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64">
        <v>0</v>
      </c>
      <c r="X39" s="64">
        <v>0</v>
      </c>
      <c r="Y39" s="64">
        <v>2.8860000000000001</v>
      </c>
      <c r="Z39" s="64">
        <v>0</v>
      </c>
      <c r="AA39" s="64">
        <v>0</v>
      </c>
      <c r="AB39" s="64">
        <v>0</v>
      </c>
      <c r="AC39" s="64">
        <v>0</v>
      </c>
      <c r="AD39" s="64">
        <v>0</v>
      </c>
      <c r="AE39" s="64">
        <v>0</v>
      </c>
      <c r="AF39" s="64">
        <v>0</v>
      </c>
      <c r="AG39" s="64">
        <v>0</v>
      </c>
      <c r="AH39" s="64">
        <v>0.27700000000000002</v>
      </c>
      <c r="AI39" s="64">
        <v>0</v>
      </c>
      <c r="AJ39" s="64">
        <v>0</v>
      </c>
      <c r="AK39" s="64">
        <v>1.6140000000000001</v>
      </c>
      <c r="AL39" s="64">
        <v>1.9610000000000001</v>
      </c>
      <c r="AM39" s="64">
        <v>0</v>
      </c>
      <c r="AN39" s="64">
        <v>0</v>
      </c>
      <c r="AO39" s="64">
        <v>0</v>
      </c>
      <c r="AP39" s="64">
        <v>0</v>
      </c>
      <c r="AQ39" s="64">
        <v>0</v>
      </c>
      <c r="AR39" s="64">
        <v>0.99399999999999999</v>
      </c>
      <c r="AS39" s="64">
        <v>0</v>
      </c>
      <c r="AT39" s="64">
        <v>14.486000000000001</v>
      </c>
      <c r="AU39" s="65">
        <v>2.2370000000000001</v>
      </c>
    </row>
    <row r="40" spans="1:47" x14ac:dyDescent="0.25">
      <c r="C40" s="55">
        <f>+SUM(C2:C39)</f>
        <v>66027.781000000003</v>
      </c>
      <c r="D40" s="55">
        <f t="shared" ref="D40:AU40" si="0">+SUM(D2:D39)</f>
        <v>10364.66</v>
      </c>
      <c r="E40" s="55">
        <f t="shared" si="0"/>
        <v>13040.698</v>
      </c>
      <c r="F40" s="55">
        <f t="shared" si="0"/>
        <v>21601.787</v>
      </c>
      <c r="G40" s="55">
        <f t="shared" si="0"/>
        <v>9186.2429999999986</v>
      </c>
      <c r="H40" s="55">
        <f t="shared" si="0"/>
        <v>4292.4620000000004</v>
      </c>
      <c r="I40" s="55">
        <f t="shared" si="0"/>
        <v>8158.7759999999998</v>
      </c>
      <c r="J40" s="55">
        <f t="shared" si="0"/>
        <v>17840.870999999999</v>
      </c>
      <c r="K40" s="55">
        <f t="shared" si="0"/>
        <v>3166.4519999999998</v>
      </c>
      <c r="L40" s="55">
        <f t="shared" si="0"/>
        <v>5650.2270000000008</v>
      </c>
      <c r="M40" s="55">
        <f t="shared" si="0"/>
        <v>36916.791000000005</v>
      </c>
      <c r="N40" s="55">
        <f t="shared" si="0"/>
        <v>3707.4850000000001</v>
      </c>
      <c r="O40" s="55">
        <f t="shared" si="0"/>
        <v>11473.739000000001</v>
      </c>
      <c r="P40" s="55">
        <f t="shared" si="0"/>
        <v>7883.7219999999998</v>
      </c>
      <c r="Q40" s="55">
        <f t="shared" si="0"/>
        <v>22120.489000000001</v>
      </c>
      <c r="R40" s="55">
        <f t="shared" si="0"/>
        <v>11605.661000000002</v>
      </c>
      <c r="S40" s="55">
        <f t="shared" si="0"/>
        <v>4360.5790000000006</v>
      </c>
      <c r="T40" s="55">
        <f t="shared" si="0"/>
        <v>27368.414000000001</v>
      </c>
      <c r="U40" s="55">
        <f t="shared" si="0"/>
        <v>8724.4740000000002</v>
      </c>
      <c r="V40" s="55">
        <f t="shared" si="0"/>
        <v>76572.697</v>
      </c>
      <c r="W40" s="55">
        <f t="shared" si="0"/>
        <v>26842.808000000005</v>
      </c>
      <c r="X40" s="55">
        <f t="shared" si="0"/>
        <v>6405.68</v>
      </c>
      <c r="Y40" s="55">
        <f t="shared" si="0"/>
        <v>40785.851999999984</v>
      </c>
      <c r="Z40" s="55">
        <f t="shared" si="0"/>
        <v>31755.049000000003</v>
      </c>
      <c r="AA40" s="55">
        <f t="shared" si="0"/>
        <v>6101.7030000000013</v>
      </c>
      <c r="AB40" s="55">
        <f t="shared" si="0"/>
        <v>28608.912</v>
      </c>
      <c r="AC40" s="55">
        <f t="shared" si="0"/>
        <v>7914.9330000000009</v>
      </c>
      <c r="AD40" s="55">
        <f t="shared" si="0"/>
        <v>14778.154999999999</v>
      </c>
      <c r="AE40" s="55">
        <f t="shared" si="0"/>
        <v>6590.3530000000001</v>
      </c>
      <c r="AF40" s="55">
        <f t="shared" si="0"/>
        <v>24984.155000000002</v>
      </c>
      <c r="AG40" s="55">
        <f t="shared" si="0"/>
        <v>30533.760000000002</v>
      </c>
      <c r="AH40" s="55">
        <f t="shared" si="0"/>
        <v>11967.195999999998</v>
      </c>
      <c r="AI40" s="55">
        <f t="shared" si="0"/>
        <v>28264.548999999995</v>
      </c>
      <c r="AJ40" s="55">
        <f t="shared" si="0"/>
        <v>25309.819</v>
      </c>
      <c r="AK40" s="55">
        <f t="shared" si="0"/>
        <v>19357.388999999999</v>
      </c>
      <c r="AL40" s="55">
        <f t="shared" si="0"/>
        <v>15481.643999999998</v>
      </c>
      <c r="AM40" s="55">
        <f t="shared" si="0"/>
        <v>19872.687999999998</v>
      </c>
      <c r="AN40" s="55">
        <f t="shared" si="0"/>
        <v>37156.141000000011</v>
      </c>
      <c r="AO40" s="55">
        <f t="shared" si="0"/>
        <v>27074.097000000002</v>
      </c>
      <c r="AP40" s="55">
        <f t="shared" si="0"/>
        <v>29921.454999999991</v>
      </c>
      <c r="AQ40" s="55">
        <f t="shared" si="0"/>
        <v>19040.102000000003</v>
      </c>
      <c r="AR40" s="55">
        <f t="shared" si="0"/>
        <v>67747.921999999977</v>
      </c>
      <c r="AS40" s="55">
        <f t="shared" si="0"/>
        <v>59297.434999999983</v>
      </c>
      <c r="AT40" s="55">
        <f t="shared" si="0"/>
        <v>135233.08800000002</v>
      </c>
      <c r="AU40" s="55">
        <f t="shared" si="0"/>
        <v>42579.203999999998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16683-3851-47E6-813E-97A85CF633C6}">
  <dimension ref="A1:AI39"/>
  <sheetViews>
    <sheetView showGridLines="0" topLeftCell="K1" zoomScale="80" zoomScaleNormal="80" workbookViewId="0">
      <selection activeCell="AI31" sqref="AI31"/>
    </sheetView>
  </sheetViews>
  <sheetFormatPr defaultColWidth="9.140625" defaultRowHeight="15" x14ac:dyDescent="0.25"/>
  <cols>
    <col min="1" max="1" width="9.140625" style="47"/>
    <col min="2" max="2" width="12.5703125" style="47" bestFit="1" customWidth="1"/>
    <col min="3" max="32" width="13.85546875" style="47" bestFit="1" customWidth="1"/>
    <col min="33" max="33" width="13" style="47" bestFit="1" customWidth="1"/>
    <col min="34" max="16384" width="9.140625" style="47"/>
  </cols>
  <sheetData>
    <row r="1" spans="1:35" x14ac:dyDescent="0.25">
      <c r="A1" s="66" t="s">
        <v>54</v>
      </c>
      <c r="B1" s="67" t="s">
        <v>55</v>
      </c>
      <c r="C1" s="46">
        <v>1995</v>
      </c>
      <c r="D1" s="46">
        <v>1996</v>
      </c>
      <c r="E1" s="46">
        <v>1997</v>
      </c>
      <c r="F1" s="46">
        <v>1998</v>
      </c>
      <c r="G1" s="46">
        <v>1999</v>
      </c>
      <c r="H1" s="46">
        <v>2000</v>
      </c>
      <c r="I1" s="46">
        <v>2001</v>
      </c>
      <c r="J1" s="46">
        <v>2002</v>
      </c>
      <c r="K1" s="46">
        <v>2003</v>
      </c>
      <c r="L1" s="46">
        <v>2004</v>
      </c>
      <c r="M1" s="46">
        <v>2005</v>
      </c>
      <c r="N1" s="46">
        <v>2006</v>
      </c>
      <c r="O1" s="46">
        <v>2007</v>
      </c>
      <c r="P1" s="46">
        <v>2008</v>
      </c>
      <c r="Q1" s="46">
        <v>2009</v>
      </c>
      <c r="R1" s="46">
        <v>2010</v>
      </c>
      <c r="S1" s="46">
        <v>2011</v>
      </c>
      <c r="T1" s="46">
        <v>2012</v>
      </c>
      <c r="U1" s="46">
        <v>2013</v>
      </c>
      <c r="V1" s="46">
        <v>2014</v>
      </c>
      <c r="W1" s="46">
        <v>2015</v>
      </c>
      <c r="X1" s="46">
        <v>2016</v>
      </c>
      <c r="Y1" s="46">
        <v>2017</v>
      </c>
      <c r="Z1" s="46">
        <v>2018</v>
      </c>
      <c r="AA1" s="46">
        <v>2019</v>
      </c>
      <c r="AB1" s="46">
        <v>2020</v>
      </c>
      <c r="AC1" s="46">
        <v>2021</v>
      </c>
      <c r="AD1" s="46">
        <v>2022</v>
      </c>
      <c r="AE1" s="46">
        <v>2023</v>
      </c>
      <c r="AF1" s="44">
        <v>2024</v>
      </c>
    </row>
    <row r="2" spans="1:35" x14ac:dyDescent="0.25">
      <c r="A2" s="68" t="s">
        <v>99</v>
      </c>
      <c r="B2" s="69" t="s">
        <v>46</v>
      </c>
      <c r="C2" s="74">
        <f>+IFERROR(Country_year!R2/_xlfn.XLOOKUP($B2,'2024 Prices'!$A$2:$A$40,'2024 Prices'!B$2:B$40,,0),0)</f>
        <v>6.178426090445349E-3</v>
      </c>
      <c r="D2" s="74">
        <f>+IFERROR(Country_year!S2/_xlfn.XLOOKUP($B2,'2024 Prices'!$A$2:$A$40,'2024 Prices'!C$2:C$40,,0),0)</f>
        <v>2.5940173103203924E-4</v>
      </c>
      <c r="E2" s="74">
        <f>+IFERROR(Country_year!T2/_xlfn.XLOOKUP($B2,'2024 Prices'!$A$2:$A$40,'2024 Prices'!D$2:D$40,,0),0)</f>
        <v>4.0624794907133946E-4</v>
      </c>
      <c r="F2" s="74">
        <f>+IFERROR(Country_year!U2/_xlfn.XLOOKUP($B2,'2024 Prices'!$A$2:$A$40,'2024 Prices'!E$2:E$40,,0),0)</f>
        <v>3.2688740232728091E-4</v>
      </c>
      <c r="G2" s="74">
        <f>+IFERROR(Country_year!V2/_xlfn.XLOOKUP($B2,'2024 Prices'!$A$2:$A$40,'2024 Prices'!F$2:F$40,,0),0)</f>
        <v>0</v>
      </c>
      <c r="H2" s="74">
        <f>+IFERROR(Country_year!W2/_xlfn.XLOOKUP($B2,'2024 Prices'!$A$2:$A$40,'2024 Prices'!G$2:G$40,,0),0)</f>
        <v>0</v>
      </c>
      <c r="I2" s="74">
        <f>+IFERROR(Country_year!X2/_xlfn.XLOOKUP($B2,'2024 Prices'!$A$2:$A$40,'2024 Prices'!H$2:H$40,,0),0)</f>
        <v>0</v>
      </c>
      <c r="J2" s="74">
        <f>+IFERROR(Country_year!Y2/_xlfn.XLOOKUP($B2,'2024 Prices'!$A$2:$A$40,'2024 Prices'!I$2:I$40,,0),0)</f>
        <v>6.7370206350701959E-3</v>
      </c>
      <c r="K2" s="74">
        <f>+IFERROR(Country_year!Z2/_xlfn.XLOOKUP($B2,'2024 Prices'!$A$2:$A$40,'2024 Prices'!J$2:J$40,,0),0)</f>
        <v>0</v>
      </c>
      <c r="L2" s="74">
        <f>+IFERROR(Country_year!AA2/_xlfn.XLOOKUP($B2,'2024 Prices'!$A$2:$A$40,'2024 Prices'!K$2:K$40,,0),0)</f>
        <v>2.5187261816111086E-5</v>
      </c>
      <c r="M2" s="74">
        <f>+IFERROR(Country_year!AB2/_xlfn.XLOOKUP($B2,'2024 Prices'!$A$2:$A$40,'2024 Prices'!L$2:L$40,,0),0)</f>
        <v>1.3188044097706684E-3</v>
      </c>
      <c r="N2" s="74">
        <f>+IFERROR(Country_year!AC2/_xlfn.XLOOKUP($B2,'2024 Prices'!$A$2:$A$40,'2024 Prices'!M$2:M$40,,0),0)</f>
        <v>6.8587968789327961E-5</v>
      </c>
      <c r="O2" s="74">
        <f>+IFERROR(Country_year!AD2/_xlfn.XLOOKUP($B2,'2024 Prices'!$A$2:$A$40,'2024 Prices'!N$2:N$40,,0),0)</f>
        <v>5.64468211527035E-5</v>
      </c>
      <c r="P2" s="74">
        <f>+IFERROR(Country_year!AE2/_xlfn.XLOOKUP($B2,'2024 Prices'!$A$2:$A$40,'2024 Prices'!O$2:O$40,,0),0)</f>
        <v>0</v>
      </c>
      <c r="Q2" s="74">
        <f>+IFERROR(Country_year!AF2/_xlfn.XLOOKUP($B2,'2024 Prices'!$A$2:$A$40,'2024 Prices'!P$2:P$40,,0),0)</f>
        <v>6.0577154082050845E-4</v>
      </c>
      <c r="R2" s="74">
        <f>+IFERROR(Country_year!AG2/_xlfn.XLOOKUP($B2,'2024 Prices'!$A$2:$A$40,'2024 Prices'!Q$2:Q$40,,0),0)</f>
        <v>1.09760096959327E-2</v>
      </c>
      <c r="S2" s="74">
        <f>+IFERROR(Country_year!AH2/_xlfn.XLOOKUP($B2,'2024 Prices'!$A$2:$A$40,'2024 Prices'!R$2:R$40,,0),0)</f>
        <v>0</v>
      </c>
      <c r="T2" s="74">
        <f>+IFERROR(Country_year!AI2/_xlfn.XLOOKUP($B2,'2024 Prices'!$A$2:$A$40,'2024 Prices'!S$2:S$40,,0),0)</f>
        <v>0</v>
      </c>
      <c r="U2" s="74">
        <f>+IFERROR(Country_year!AJ2/_xlfn.XLOOKUP($B2,'2024 Prices'!$A$2:$A$40,'2024 Prices'!T$2:T$40,,0),0)</f>
        <v>0</v>
      </c>
      <c r="V2" s="74">
        <f>+IFERROR(Country_year!AK2/_xlfn.XLOOKUP($B2,'2024 Prices'!$A$2:$A$40,'2024 Prices'!U$2:U$40,,0),0)</f>
        <v>3.3277827259936234E-4</v>
      </c>
      <c r="W2" s="74">
        <f>+IFERROR(Country_year!AL2/_xlfn.XLOOKUP($B2,'2024 Prices'!$A$2:$A$40,'2024 Prices'!V$2:V$40,,0),0)</f>
        <v>0</v>
      </c>
      <c r="X2" s="74">
        <f>+IFERROR(Country_year!AM2/_xlfn.XLOOKUP($B2,'2024 Prices'!$A$2:$A$40,'2024 Prices'!W$2:W$40,,0),0)</f>
        <v>9.614145223659714E-4</v>
      </c>
      <c r="Y2" s="74">
        <f>+IFERROR(Country_year!AN2/_xlfn.XLOOKUP($B2,'2024 Prices'!$A$2:$A$40,'2024 Prices'!X$2:X$40,,0),0)</f>
        <v>4.4200306591722022E-3</v>
      </c>
      <c r="Z2" s="74">
        <f>+IFERROR(Country_year!AO2/_xlfn.XLOOKUP($B2,'2024 Prices'!$A$2:$A$40,'2024 Prices'!Y$2:Y$40,,0),0)</f>
        <v>0</v>
      </c>
      <c r="AA2" s="74">
        <f>+IFERROR(Country_year!AP2/_xlfn.XLOOKUP($B2,'2024 Prices'!$A$2:$A$40,'2024 Prices'!Z$2:Z$40,,0),0)</f>
        <v>7.644996732440526E-2</v>
      </c>
      <c r="AB2" s="74">
        <f>+IFERROR(Country_year!AQ2/_xlfn.XLOOKUP($B2,'2024 Prices'!$A$2:$A$40,'2024 Prices'!AA$2:AA$40,,0),0)</f>
        <v>0</v>
      </c>
      <c r="AC2" s="74">
        <f>+IFERROR(Country_year!AR2/_xlfn.XLOOKUP($B2,'2024 Prices'!$A$2:$A$40,'2024 Prices'!AB$2:AB$40,,0),0)</f>
        <v>3.4851554620006137E-3</v>
      </c>
      <c r="AD2" s="74">
        <f>+IFERROR(Country_year!AS2/_xlfn.XLOOKUP($B2,'2024 Prices'!$A$2:$A$40,'2024 Prices'!AC$2:AC$40,,0),0)</f>
        <v>4.5462811420258227E-5</v>
      </c>
      <c r="AE2" s="74">
        <f>+IFERROR(Country_year!AT2/_xlfn.XLOOKUP($B2,'2024 Prices'!$A$2:$A$40,'2024 Prices'!AD$2:AD$40,,0),0)</f>
        <v>0</v>
      </c>
      <c r="AF2" s="75">
        <f>+IFERROR(Country_year!AU2/_xlfn.XLOOKUP($B2,'2024 Prices'!$A$2:$A$40,'2024 Prices'!AE$2:AE$40,,0),0)</f>
        <v>1.6957317660660949E-5</v>
      </c>
      <c r="AG2" s="80">
        <f>+AVERAGE(C2:AF2)</f>
        <v>3.7556852625284182E-3</v>
      </c>
      <c r="AH2" s="80">
        <f>+AVERAGE(X2:AF2)</f>
        <v>9.4865542330027728E-3</v>
      </c>
      <c r="AI2" s="80">
        <f>AH2-AG2</f>
        <v>5.7308689704743546E-3</v>
      </c>
    </row>
    <row r="3" spans="1:35" x14ac:dyDescent="0.25">
      <c r="A3" s="70" t="s">
        <v>61</v>
      </c>
      <c r="B3" s="71" t="s">
        <v>30</v>
      </c>
      <c r="C3" s="76">
        <f>+IFERROR(Country_year!R3/_xlfn.XLOOKUP($B3,'2024 Prices'!$A$2:$A$40,'2024 Prices'!B$2:B$40,,0),0)</f>
        <v>1.5669967096070454E-5</v>
      </c>
      <c r="D3" s="76">
        <f>+IFERROR(Country_year!S3/_xlfn.XLOOKUP($B3,'2024 Prices'!$A$2:$A$40,'2024 Prices'!C$2:C$40,,0),0)</f>
        <v>1.7880764970863491E-5</v>
      </c>
      <c r="E3" s="76">
        <f>+IFERROR(Country_year!T3/_xlfn.XLOOKUP($B3,'2024 Prices'!$A$2:$A$40,'2024 Prices'!D$2:D$40,,0),0)</f>
        <v>8.6768523669272194E-4</v>
      </c>
      <c r="F3" s="76">
        <f>+IFERROR(Country_year!U3/_xlfn.XLOOKUP($B3,'2024 Prices'!$A$2:$A$40,'2024 Prices'!E$2:E$40,,0),0)</f>
        <v>0</v>
      </c>
      <c r="G3" s="76">
        <f>+IFERROR(Country_year!V3/_xlfn.XLOOKUP($B3,'2024 Prices'!$A$2:$A$40,'2024 Prices'!F$2:F$40,,0),0)</f>
        <v>4.8327682016117176E-4</v>
      </c>
      <c r="H3" s="76">
        <f>+IFERROR(Country_year!W3/_xlfn.XLOOKUP($B3,'2024 Prices'!$A$2:$A$40,'2024 Prices'!G$2:G$40,,0),0)</f>
        <v>6.9349643810828884E-4</v>
      </c>
      <c r="I3" s="76">
        <f>+IFERROR(Country_year!X3/_xlfn.XLOOKUP($B3,'2024 Prices'!$A$2:$A$40,'2024 Prices'!H$2:H$40,,0),0)</f>
        <v>2.2387632844892584E-6</v>
      </c>
      <c r="J3" s="76">
        <f>+IFERROR(Country_year!Y3/_xlfn.XLOOKUP($B3,'2024 Prices'!$A$2:$A$40,'2024 Prices'!I$2:I$40,,0),0)</f>
        <v>9.3667148290744913E-3</v>
      </c>
      <c r="K3" s="76">
        <f>+IFERROR(Country_year!Z3/_xlfn.XLOOKUP($B3,'2024 Prices'!$A$2:$A$40,'2024 Prices'!J$2:J$40,,0),0)</f>
        <v>8.3690441040359779E-4</v>
      </c>
      <c r="L3" s="76">
        <f>+IFERROR(Country_year!AA3/_xlfn.XLOOKUP($B3,'2024 Prices'!$A$2:$A$40,'2024 Prices'!K$2:K$40,,0),0)</f>
        <v>1.2629328988902148E-6</v>
      </c>
      <c r="M3" s="76">
        <f>+IFERROR(Country_year!AB3/_xlfn.XLOOKUP($B3,'2024 Prices'!$A$2:$A$40,'2024 Prices'!L$2:L$40,,0),0)</f>
        <v>1.6818616087620466E-3</v>
      </c>
      <c r="N3" s="76">
        <f>+IFERROR(Country_year!AC3/_xlfn.XLOOKUP($B3,'2024 Prices'!$A$2:$A$40,'2024 Prices'!M$2:M$40,,0),0)</f>
        <v>1.2271392624346783E-3</v>
      </c>
      <c r="O3" s="76">
        <f>+IFERROR(Country_year!AD3/_xlfn.XLOOKUP($B3,'2024 Prices'!$A$2:$A$40,'2024 Prices'!N$2:N$40,,0),0)</f>
        <v>7.1576643963308791E-4</v>
      </c>
      <c r="P3" s="76">
        <f>+IFERROR(Country_year!AE3/_xlfn.XLOOKUP($B3,'2024 Prices'!$A$2:$A$40,'2024 Prices'!O$2:O$40,,0),0)</f>
        <v>9.2278740214014345E-4</v>
      </c>
      <c r="Q3" s="76">
        <f>+IFERROR(Country_year!AF3/_xlfn.XLOOKUP($B3,'2024 Prices'!$A$2:$A$40,'2024 Prices'!P$2:P$40,,0),0)</f>
        <v>1.0846837322440761E-3</v>
      </c>
      <c r="R3" s="76">
        <f>+IFERROR(Country_year!AG3/_xlfn.XLOOKUP($B3,'2024 Prices'!$A$2:$A$40,'2024 Prices'!Q$2:Q$40,,0),0)</f>
        <v>2.5135298453097723E-3</v>
      </c>
      <c r="S3" s="76">
        <f>+IFERROR(Country_year!AH3/_xlfn.XLOOKUP($B3,'2024 Prices'!$A$2:$A$40,'2024 Prices'!R$2:R$40,,0),0)</f>
        <v>0</v>
      </c>
      <c r="T3" s="76">
        <f>+IFERROR(Country_year!AI3/_xlfn.XLOOKUP($B3,'2024 Prices'!$A$2:$A$40,'2024 Prices'!S$2:S$40,,0),0)</f>
        <v>3.6153500343861386E-5</v>
      </c>
      <c r="U3" s="76">
        <f>+IFERROR(Country_year!AJ3/_xlfn.XLOOKUP($B3,'2024 Prices'!$A$2:$A$40,'2024 Prices'!T$2:T$40,,0),0)</f>
        <v>1.5651862815862902E-3</v>
      </c>
      <c r="V3" s="76">
        <f>+IFERROR(Country_year!AK3/_xlfn.XLOOKUP($B3,'2024 Prices'!$A$2:$A$40,'2024 Prices'!U$2:U$40,,0),0)</f>
        <v>0</v>
      </c>
      <c r="W3" s="76">
        <f>+IFERROR(Country_year!AL3/_xlfn.XLOOKUP($B3,'2024 Prices'!$A$2:$A$40,'2024 Prices'!V$2:V$40,,0),0)</f>
        <v>0</v>
      </c>
      <c r="X3" s="76">
        <f>+IFERROR(Country_year!AM3/_xlfn.XLOOKUP($B3,'2024 Prices'!$A$2:$A$40,'2024 Prices'!W$2:W$40,,0),0)</f>
        <v>3.7789989505863166E-5</v>
      </c>
      <c r="Y3" s="76">
        <f>+IFERROR(Country_year!AN3/_xlfn.XLOOKUP($B3,'2024 Prices'!$A$2:$A$40,'2024 Prices'!X$2:X$40,,0),0)</f>
        <v>1.4918132199188488E-3</v>
      </c>
      <c r="Z3" s="76">
        <f>+IFERROR(Country_year!AO3/_xlfn.XLOOKUP($B3,'2024 Prices'!$A$2:$A$40,'2024 Prices'!Y$2:Y$40,,0),0)</f>
        <v>9.2455831851147698E-4</v>
      </c>
      <c r="AA3" s="76">
        <f>+IFERROR(Country_year!AP3/_xlfn.XLOOKUP($B3,'2024 Prices'!$A$2:$A$40,'2024 Prices'!Z$2:Z$40,,0),0)</f>
        <v>6.9221775707512207E-4</v>
      </c>
      <c r="AB3" s="76">
        <f>+IFERROR(Country_year!AQ3/_xlfn.XLOOKUP($B3,'2024 Prices'!$A$2:$A$40,'2024 Prices'!AA$2:AA$40,,0),0)</f>
        <v>2.8694808652102871E-4</v>
      </c>
      <c r="AC3" s="76">
        <f>+IFERROR(Country_year!AR3/_xlfn.XLOOKUP($B3,'2024 Prices'!$A$2:$A$40,'2024 Prices'!AB$2:AB$40,,0),0)</f>
        <v>9.0298959281074221E-4</v>
      </c>
      <c r="AD3" s="76">
        <f>+IFERROR(Country_year!AS3/_xlfn.XLOOKUP($B3,'2024 Prices'!$A$2:$A$40,'2024 Prices'!AC$2:AC$40,,0),0)</f>
        <v>1.9451179916935723E-4</v>
      </c>
      <c r="AE3" s="76">
        <f>+IFERROR(Country_year!AT3/_xlfn.XLOOKUP($B3,'2024 Prices'!$A$2:$A$40,'2024 Prices'!AD$2:AD$40,,0),0)</f>
        <v>3.5251764485650077E-4</v>
      </c>
      <c r="AF3" s="77">
        <f>+IFERROR(Country_year!AU3/_xlfn.XLOOKUP($B3,'2024 Prices'!$A$2:$A$40,'2024 Prices'!AE$2:AE$40,,0),0)</f>
        <v>1.7463794975914283E-3</v>
      </c>
      <c r="AG3" s="80">
        <f t="shared" ref="AG3:AG39" si="0">+AVERAGE(C3:AF3)</f>
        <v>9.5539880470349697E-4</v>
      </c>
      <c r="AH3" s="80">
        <f t="shared" ref="AH3:AH39" si="1">+AVERAGE(X3:AF3)</f>
        <v>7.3663621177337416E-4</v>
      </c>
      <c r="AI3" s="80">
        <f t="shared" ref="AI3:AI39" si="2">AH3-AG3</f>
        <v>-2.1876259293012281E-4</v>
      </c>
    </row>
    <row r="4" spans="1:35" x14ac:dyDescent="0.25">
      <c r="A4" s="70" t="s">
        <v>62</v>
      </c>
      <c r="B4" s="71" t="s">
        <v>43</v>
      </c>
      <c r="C4" s="76">
        <f>+IFERROR(Country_year!R4/_xlfn.XLOOKUP($B4,'2024 Prices'!$A$2:$A$40,'2024 Prices'!B$2:B$40,,0),0)</f>
        <v>0</v>
      </c>
      <c r="D4" s="76">
        <f>+IFERROR(Country_year!S4/_xlfn.XLOOKUP($B4,'2024 Prices'!$A$2:$A$40,'2024 Prices'!C$2:C$40,,0),0)</f>
        <v>0</v>
      </c>
      <c r="E4" s="76">
        <f>+IFERROR(Country_year!T4/_xlfn.XLOOKUP($B4,'2024 Prices'!$A$2:$A$40,'2024 Prices'!D$2:D$40,,0),0)</f>
        <v>0</v>
      </c>
      <c r="F4" s="76">
        <f>+IFERROR(Country_year!U4/_xlfn.XLOOKUP($B4,'2024 Prices'!$A$2:$A$40,'2024 Prices'!E$2:E$40,,0),0)</f>
        <v>0</v>
      </c>
      <c r="G4" s="76">
        <f>+IFERROR(Country_year!V4/_xlfn.XLOOKUP($B4,'2024 Prices'!$A$2:$A$40,'2024 Prices'!F$2:F$40,,0),0)</f>
        <v>0</v>
      </c>
      <c r="H4" s="76">
        <f>+IFERROR(Country_year!W4/_xlfn.XLOOKUP($B4,'2024 Prices'!$A$2:$A$40,'2024 Prices'!G$2:G$40,,0),0)</f>
        <v>3.677721564644576E-2</v>
      </c>
      <c r="I4" s="76">
        <f>+IFERROR(Country_year!X4/_xlfn.XLOOKUP($B4,'2024 Prices'!$A$2:$A$40,'2024 Prices'!H$2:H$40,,0),0)</f>
        <v>0</v>
      </c>
      <c r="J4" s="76">
        <f>+IFERROR(Country_year!Y4/_xlfn.XLOOKUP($B4,'2024 Prices'!$A$2:$A$40,'2024 Prices'!I$2:I$40,,0),0)</f>
        <v>0</v>
      </c>
      <c r="K4" s="76">
        <f>+IFERROR(Country_year!Z4/_xlfn.XLOOKUP($B4,'2024 Prices'!$A$2:$A$40,'2024 Prices'!J$2:J$40,,0),0)</f>
        <v>3.5515523065935917E-2</v>
      </c>
      <c r="L4" s="76">
        <f>+IFERROR(Country_year!AA4/_xlfn.XLOOKUP($B4,'2024 Prices'!$A$2:$A$40,'2024 Prices'!K$2:K$40,,0),0)</f>
        <v>1.76786529721737E-3</v>
      </c>
      <c r="M4" s="76">
        <f>+IFERROR(Country_year!AB4/_xlfn.XLOOKUP($B4,'2024 Prices'!$A$2:$A$40,'2024 Prices'!L$2:L$40,,0),0)</f>
        <v>0</v>
      </c>
      <c r="N4" s="76">
        <f>+IFERROR(Country_year!AC4/_xlfn.XLOOKUP($B4,'2024 Prices'!$A$2:$A$40,'2024 Prices'!M$2:M$40,,0),0)</f>
        <v>0</v>
      </c>
      <c r="O4" s="76">
        <f>+IFERROR(Country_year!AD4/_xlfn.XLOOKUP($B4,'2024 Prices'!$A$2:$A$40,'2024 Prices'!N$2:N$40,,0),0)</f>
        <v>0</v>
      </c>
      <c r="P4" s="76">
        <f>+IFERROR(Country_year!AE4/_xlfn.XLOOKUP($B4,'2024 Prices'!$A$2:$A$40,'2024 Prices'!O$2:O$40,,0),0)</f>
        <v>0</v>
      </c>
      <c r="Q4" s="76">
        <f>+IFERROR(Country_year!AF4/_xlfn.XLOOKUP($B4,'2024 Prices'!$A$2:$A$40,'2024 Prices'!P$2:P$40,,0),0)</f>
        <v>5.3842157464695605E-6</v>
      </c>
      <c r="R4" s="76">
        <f>+IFERROR(Country_year!AG4/_xlfn.XLOOKUP($B4,'2024 Prices'!$A$2:$A$40,'2024 Prices'!Q$2:Q$40,,0),0)</f>
        <v>2.1889416842775931E-2</v>
      </c>
      <c r="S4" s="76">
        <f>+IFERROR(Country_year!AH4/_xlfn.XLOOKUP($B4,'2024 Prices'!$A$2:$A$40,'2024 Prices'!R$2:R$40,,0),0)</f>
        <v>3.0006043470727198E-6</v>
      </c>
      <c r="T4" s="76">
        <f>+IFERROR(Country_year!AI4/_xlfn.XLOOKUP($B4,'2024 Prices'!$A$2:$A$40,'2024 Prices'!S$2:S$40,,0),0)</f>
        <v>6.4715732630217904E-2</v>
      </c>
      <c r="U4" s="76">
        <f>+IFERROR(Country_year!AJ4/_xlfn.XLOOKUP($B4,'2024 Prices'!$A$2:$A$40,'2024 Prices'!T$2:T$40,,0),0)</f>
        <v>8.6047686484964412E-5</v>
      </c>
      <c r="V4" s="76">
        <f>+IFERROR(Country_year!AK4/_xlfn.XLOOKUP($B4,'2024 Prices'!$A$2:$A$40,'2024 Prices'!U$2:U$40,,0),0)</f>
        <v>7.0836210030925356E-2</v>
      </c>
      <c r="W4" s="76">
        <f>+IFERROR(Country_year!AL4/_xlfn.XLOOKUP($B4,'2024 Prices'!$A$2:$A$40,'2024 Prices'!V$2:V$40,,0),0)</f>
        <v>8.4974888447896975E-3</v>
      </c>
      <c r="X4" s="76">
        <f>+IFERROR(Country_year!AM4/_xlfn.XLOOKUP($B4,'2024 Prices'!$A$2:$A$40,'2024 Prices'!W$2:W$40,,0),0)</f>
        <v>0</v>
      </c>
      <c r="Y4" s="76">
        <f>+IFERROR(Country_year!AN4/_xlfn.XLOOKUP($B4,'2024 Prices'!$A$2:$A$40,'2024 Prices'!X$2:X$40,,0),0)</f>
        <v>0</v>
      </c>
      <c r="Z4" s="76">
        <f>+IFERROR(Country_year!AO4/_xlfn.XLOOKUP($B4,'2024 Prices'!$A$2:$A$40,'2024 Prices'!Y$2:Y$40,,0),0)</f>
        <v>0</v>
      </c>
      <c r="AA4" s="76">
        <f>+IFERROR(Country_year!AP4/_xlfn.XLOOKUP($B4,'2024 Prices'!$A$2:$A$40,'2024 Prices'!Z$2:Z$40,,0),0)</f>
        <v>7.312724915325996E-4</v>
      </c>
      <c r="AB4" s="76">
        <f>+IFERROR(Country_year!AQ4/_xlfn.XLOOKUP($B4,'2024 Prices'!$A$2:$A$40,'2024 Prices'!AA$2:AA$40,,0),0)</f>
        <v>5.4830079362057805E-4</v>
      </c>
      <c r="AC4" s="76">
        <f>+IFERROR(Country_year!AR4/_xlfn.XLOOKUP($B4,'2024 Prices'!$A$2:$A$40,'2024 Prices'!AB$2:AB$40,,0),0)</f>
        <v>1.6124549932661682E-5</v>
      </c>
      <c r="AD4" s="76">
        <f>+IFERROR(Country_year!AS4/_xlfn.XLOOKUP($B4,'2024 Prices'!$A$2:$A$40,'2024 Prices'!AC$2:AC$40,,0),0)</f>
        <v>8.196142811114351E-4</v>
      </c>
      <c r="AE4" s="76">
        <f>+IFERROR(Country_year!AT4/_xlfn.XLOOKUP($B4,'2024 Prices'!$A$2:$A$40,'2024 Prices'!AD$2:AD$40,,0),0)</f>
        <v>2.5573385915329794E-4</v>
      </c>
      <c r="AF4" s="77">
        <f>+IFERROR(Country_year!AU4/_xlfn.XLOOKUP($B4,'2024 Prices'!$A$2:$A$40,'2024 Prices'!AE$2:AE$40,,0),0)</f>
        <v>0</v>
      </c>
      <c r="AG4" s="80">
        <f t="shared" si="0"/>
        <v>8.082164361341234E-3</v>
      </c>
      <c r="AH4" s="80">
        <f t="shared" si="1"/>
        <v>2.6344955281673029E-4</v>
      </c>
      <c r="AI4" s="80">
        <f t="shared" si="2"/>
        <v>-7.8187148085245035E-3</v>
      </c>
    </row>
    <row r="5" spans="1:35" x14ac:dyDescent="0.25">
      <c r="A5" s="70" t="s">
        <v>63</v>
      </c>
      <c r="B5" s="71" t="s">
        <v>9</v>
      </c>
      <c r="C5" s="76">
        <f>+IFERROR(Country_year!R5/_xlfn.XLOOKUP($B5,'2024 Prices'!$A$2:$A$40,'2024 Prices'!B$2:B$40,,0),0)</f>
        <v>2.4719929543180698E-4</v>
      </c>
      <c r="D5" s="76">
        <f>+IFERROR(Country_year!S5/_xlfn.XLOOKUP($B5,'2024 Prices'!$A$2:$A$40,'2024 Prices'!C$2:C$40,,0),0)</f>
        <v>7.7736924321494449E-6</v>
      </c>
      <c r="E5" s="76">
        <f>+IFERROR(Country_year!T5/_xlfn.XLOOKUP($B5,'2024 Prices'!$A$2:$A$40,'2024 Prices'!D$2:D$40,,0),0)</f>
        <v>0</v>
      </c>
      <c r="F5" s="76">
        <f>+IFERROR(Country_year!U5/_xlfn.XLOOKUP($B5,'2024 Prices'!$A$2:$A$40,'2024 Prices'!E$2:E$40,,0),0)</f>
        <v>2.6483216322221475E-5</v>
      </c>
      <c r="G5" s="76">
        <f>+IFERROR(Country_year!V5/_xlfn.XLOOKUP($B5,'2024 Prices'!$A$2:$A$40,'2024 Prices'!F$2:F$40,,0),0)</f>
        <v>1.3820107232192282E-4</v>
      </c>
      <c r="H5" s="76">
        <f>+IFERROR(Country_year!W5/_xlfn.XLOOKUP($B5,'2024 Prices'!$A$2:$A$40,'2024 Prices'!G$2:G$40,,0),0)</f>
        <v>1.501507213718034E-6</v>
      </c>
      <c r="I5" s="76">
        <f>+IFERROR(Country_year!X5/_xlfn.XLOOKUP($B5,'2024 Prices'!$A$2:$A$40,'2024 Prices'!H$2:H$40,,0),0)</f>
        <v>1.504086196752582E-6</v>
      </c>
      <c r="J5" s="76">
        <f>+IFERROR(Country_year!Y5/_xlfn.XLOOKUP($B5,'2024 Prices'!$A$2:$A$40,'2024 Prices'!I$2:I$40,,0),0)</f>
        <v>1.1790602683445998E-5</v>
      </c>
      <c r="K5" s="76">
        <f>+IFERROR(Country_year!Z5/_xlfn.XLOOKUP($B5,'2024 Prices'!$A$2:$A$40,'2024 Prices'!J$2:J$40,,0),0)</f>
        <v>1.1088234279320613E-6</v>
      </c>
      <c r="L5" s="76">
        <f>+IFERROR(Country_year!AA5/_xlfn.XLOOKUP($B5,'2024 Prices'!$A$2:$A$40,'2024 Prices'!K$2:K$40,,0),0)</f>
        <v>9.6188911856919912E-7</v>
      </c>
      <c r="M5" s="76">
        <f>+IFERROR(Country_year!AB5/_xlfn.XLOOKUP($B5,'2024 Prices'!$A$2:$A$40,'2024 Prices'!L$2:L$40,,0),0)</f>
        <v>1.0020291023300341E-4</v>
      </c>
      <c r="N5" s="76">
        <f>+IFERROR(Country_year!AC5/_xlfn.XLOOKUP($B5,'2024 Prices'!$A$2:$A$40,'2024 Prices'!M$2:M$40,,0),0)</f>
        <v>0</v>
      </c>
      <c r="O5" s="76">
        <f>+IFERROR(Country_year!AD5/_xlfn.XLOOKUP($B5,'2024 Prices'!$A$2:$A$40,'2024 Prices'!N$2:N$40,,0),0)</f>
        <v>5.690481435034338E-4</v>
      </c>
      <c r="P5" s="76">
        <f>+IFERROR(Country_year!AE5/_xlfn.XLOOKUP($B5,'2024 Prices'!$A$2:$A$40,'2024 Prices'!O$2:O$40,,0),0)</f>
        <v>4.5804071047099292E-5</v>
      </c>
      <c r="Q5" s="76">
        <f>+IFERROR(Country_year!AF5/_xlfn.XLOOKUP($B5,'2024 Prices'!$A$2:$A$40,'2024 Prices'!P$2:P$40,,0),0)</f>
        <v>0</v>
      </c>
      <c r="R5" s="76">
        <f>+IFERROR(Country_year!AG5/_xlfn.XLOOKUP($B5,'2024 Prices'!$A$2:$A$40,'2024 Prices'!Q$2:Q$40,,0),0)</f>
        <v>6.4996727872976138E-4</v>
      </c>
      <c r="S5" s="76">
        <f>+IFERROR(Country_year!AH5/_xlfn.XLOOKUP($B5,'2024 Prices'!$A$2:$A$40,'2024 Prices'!R$2:R$40,,0),0)</f>
        <v>9.8030703824860625E-5</v>
      </c>
      <c r="T5" s="76">
        <f>+IFERROR(Country_year!AI5/_xlfn.XLOOKUP($B5,'2024 Prices'!$A$2:$A$40,'2024 Prices'!S$2:S$40,,0),0)</f>
        <v>0</v>
      </c>
      <c r="U5" s="76">
        <f>+IFERROR(Country_year!AJ5/_xlfn.XLOOKUP($B5,'2024 Prices'!$A$2:$A$40,'2024 Prices'!T$2:T$40,,0),0)</f>
        <v>2.4285623317731622E-7</v>
      </c>
      <c r="V5" s="76">
        <f>+IFERROR(Country_year!AK5/_xlfn.XLOOKUP($B5,'2024 Prices'!$A$2:$A$40,'2024 Prices'!U$2:U$40,,0),0)</f>
        <v>7.5188915722915076E-4</v>
      </c>
      <c r="W5" s="76">
        <f>+IFERROR(Country_year!AL5/_xlfn.XLOOKUP($B5,'2024 Prices'!$A$2:$A$40,'2024 Prices'!V$2:V$40,,0),0)</f>
        <v>3.6941963630246823E-5</v>
      </c>
      <c r="X5" s="76">
        <f>+IFERROR(Country_year!AM5/_xlfn.XLOOKUP($B5,'2024 Prices'!$A$2:$A$40,'2024 Prices'!W$2:W$40,,0),0)</f>
        <v>2.9468581032110691E-4</v>
      </c>
      <c r="Y5" s="76">
        <f>+IFERROR(Country_year!AN5/_xlfn.XLOOKUP($B5,'2024 Prices'!$A$2:$A$40,'2024 Prices'!X$2:X$40,,0),0)</f>
        <v>2.7800810467845269E-5</v>
      </c>
      <c r="Z5" s="76">
        <f>+IFERROR(Country_year!AO5/_xlfn.XLOOKUP($B5,'2024 Prices'!$A$2:$A$40,'2024 Prices'!Y$2:Y$40,,0),0)</f>
        <v>2.1627302602137674E-4</v>
      </c>
      <c r="AA5" s="76">
        <f>+IFERROR(Country_year!AP5/_xlfn.XLOOKUP($B5,'2024 Prices'!$A$2:$A$40,'2024 Prices'!Z$2:Z$40,,0),0)</f>
        <v>2.403739920312094E-4</v>
      </c>
      <c r="AB5" s="76">
        <f>+IFERROR(Country_year!AQ5/_xlfn.XLOOKUP($B5,'2024 Prices'!$A$2:$A$40,'2024 Prices'!AA$2:AA$40,,0),0)</f>
        <v>5.3017488388580234E-4</v>
      </c>
      <c r="AC5" s="76">
        <f>+IFERROR(Country_year!AR5/_xlfn.XLOOKUP($B5,'2024 Prices'!$A$2:$A$40,'2024 Prices'!AB$2:AB$40,,0),0)</f>
        <v>8.6206667440773543E-3</v>
      </c>
      <c r="AD5" s="76">
        <f>+IFERROR(Country_year!AS5/_xlfn.XLOOKUP($B5,'2024 Prices'!$A$2:$A$40,'2024 Prices'!AC$2:AC$40,,0),0)</f>
        <v>6.1731118435177815E-4</v>
      </c>
      <c r="AE5" s="76">
        <f>+IFERROR(Country_year!AT5/_xlfn.XLOOKUP($B5,'2024 Prices'!$A$2:$A$40,'2024 Prices'!AD$2:AD$40,,0),0)</f>
        <v>7.7378370181219083E-5</v>
      </c>
      <c r="AF5" s="77">
        <f>+IFERROR(Country_year!AU5/_xlfn.XLOOKUP($B5,'2024 Prices'!$A$2:$A$40,'2024 Prices'!AE$2:AE$40,,0),0)</f>
        <v>1.2657385311319963E-4</v>
      </c>
      <c r="AG5" s="80">
        <f t="shared" si="0"/>
        <v>4.4799633146767138E-4</v>
      </c>
      <c r="AH5" s="80">
        <f t="shared" si="1"/>
        <v>1.1945820749389878E-3</v>
      </c>
      <c r="AI5" s="80">
        <f t="shared" si="2"/>
        <v>7.4658574347131633E-4</v>
      </c>
    </row>
    <row r="6" spans="1:35" x14ac:dyDescent="0.25">
      <c r="A6" s="70" t="s">
        <v>64</v>
      </c>
      <c r="B6" s="71" t="s">
        <v>12</v>
      </c>
      <c r="C6" s="76">
        <f>+IFERROR(Country_year!R6/_xlfn.XLOOKUP($B6,'2024 Prices'!$A$2:$A$40,'2024 Prices'!B$2:B$40,,0),0)</f>
        <v>0</v>
      </c>
      <c r="D6" s="76">
        <f>+IFERROR(Country_year!S6/_xlfn.XLOOKUP($B6,'2024 Prices'!$A$2:$A$40,'2024 Prices'!C$2:C$40,,0),0)</f>
        <v>1.514334100098742E-3</v>
      </c>
      <c r="E6" s="76">
        <f>+IFERROR(Country_year!T6/_xlfn.XLOOKUP($B6,'2024 Prices'!$A$2:$A$40,'2024 Prices'!D$2:D$40,,0),0)</f>
        <v>1.3167150579515143E-4</v>
      </c>
      <c r="F6" s="76">
        <f>+IFERROR(Country_year!U6/_xlfn.XLOOKUP($B6,'2024 Prices'!$A$2:$A$40,'2024 Prices'!E$2:E$40,,0),0)</f>
        <v>1.0872900063606091E-4</v>
      </c>
      <c r="G6" s="76">
        <f>+IFERROR(Country_year!V6/_xlfn.XLOOKUP($B6,'2024 Prices'!$A$2:$A$40,'2024 Prices'!F$2:F$40,,0),0)</f>
        <v>4.0395839027605838E-4</v>
      </c>
      <c r="H6" s="76">
        <f>+IFERROR(Country_year!W6/_xlfn.XLOOKUP($B6,'2024 Prices'!$A$2:$A$40,'2024 Prices'!G$2:G$40,,0),0)</f>
        <v>2.2137043281189542E-3</v>
      </c>
      <c r="I6" s="76">
        <f>+IFERROR(Country_year!X6/_xlfn.XLOOKUP($B6,'2024 Prices'!$A$2:$A$40,'2024 Prices'!H$2:H$40,,0),0)</f>
        <v>0</v>
      </c>
      <c r="J6" s="76">
        <f>+IFERROR(Country_year!Y6/_xlfn.XLOOKUP($B6,'2024 Prices'!$A$2:$A$40,'2024 Prices'!I$2:I$40,,0),0)</f>
        <v>8.8192606505592085E-5</v>
      </c>
      <c r="K6" s="76">
        <f>+IFERROR(Country_year!Z6/_xlfn.XLOOKUP($B6,'2024 Prices'!$A$2:$A$40,'2024 Prices'!J$2:J$40,,0),0)</f>
        <v>1.3121066426706706E-4</v>
      </c>
      <c r="L6" s="76">
        <f>+IFERROR(Country_year!AA6/_xlfn.XLOOKUP($B6,'2024 Prices'!$A$2:$A$40,'2024 Prices'!K$2:K$40,,0),0)</f>
        <v>2.8259315521401122E-5</v>
      </c>
      <c r="M6" s="76">
        <f>+IFERROR(Country_year!AB6/_xlfn.XLOOKUP($B6,'2024 Prices'!$A$2:$A$40,'2024 Prices'!L$2:L$40,,0),0)</f>
        <v>4.976376302466394E-2</v>
      </c>
      <c r="N6" s="76">
        <f>+IFERROR(Country_year!AC6/_xlfn.XLOOKUP($B6,'2024 Prices'!$A$2:$A$40,'2024 Prices'!M$2:M$40,,0),0)</f>
        <v>2.0233529333702509E-5</v>
      </c>
      <c r="O6" s="76">
        <f>+IFERROR(Country_year!AD6/_xlfn.XLOOKUP($B6,'2024 Prices'!$A$2:$A$40,'2024 Prices'!N$2:N$40,,0),0)</f>
        <v>5.4731814110856801E-5</v>
      </c>
      <c r="P6" s="76">
        <f>+IFERROR(Country_year!AE6/_xlfn.XLOOKUP($B6,'2024 Prices'!$A$2:$A$40,'2024 Prices'!O$2:O$40,,0),0)</f>
        <v>0</v>
      </c>
      <c r="Q6" s="76">
        <f>+IFERROR(Country_year!AF6/_xlfn.XLOOKUP($B6,'2024 Prices'!$A$2:$A$40,'2024 Prices'!P$2:P$40,,0),0)</f>
        <v>1.3490622108584235E-6</v>
      </c>
      <c r="R6" s="76">
        <f>+IFERROR(Country_year!AG6/_xlfn.XLOOKUP($B6,'2024 Prices'!$A$2:$A$40,'2024 Prices'!Q$2:Q$40,,0),0)</f>
        <v>0</v>
      </c>
      <c r="S6" s="76">
        <f>+IFERROR(Country_year!AH6/_xlfn.XLOOKUP($B6,'2024 Prices'!$A$2:$A$40,'2024 Prices'!R$2:R$40,,0),0)</f>
        <v>0</v>
      </c>
      <c r="T6" s="76">
        <f>+IFERROR(Country_year!AI6/_xlfn.XLOOKUP($B6,'2024 Prices'!$A$2:$A$40,'2024 Prices'!S$2:S$40,,0),0)</f>
        <v>2.7483021239273106E-4</v>
      </c>
      <c r="U6" s="76">
        <f>+IFERROR(Country_year!AJ6/_xlfn.XLOOKUP($B6,'2024 Prices'!$A$2:$A$40,'2024 Prices'!T$2:T$40,,0),0)</f>
        <v>7.5683245120664787E-5</v>
      </c>
      <c r="V6" s="76">
        <f>+IFERROR(Country_year!AK6/_xlfn.XLOOKUP($B6,'2024 Prices'!$A$2:$A$40,'2024 Prices'!U$2:U$40,,0),0)</f>
        <v>1.5420144866692052E-2</v>
      </c>
      <c r="W6" s="76">
        <f>+IFERROR(Country_year!AL6/_xlfn.XLOOKUP($B6,'2024 Prices'!$A$2:$A$40,'2024 Prices'!V$2:V$40,,0),0)</f>
        <v>1.34115606732686E-2</v>
      </c>
      <c r="X6" s="76">
        <f>+IFERROR(Country_year!AM6/_xlfn.XLOOKUP($B6,'2024 Prices'!$A$2:$A$40,'2024 Prices'!W$2:W$40,,0),0)</f>
        <v>0</v>
      </c>
      <c r="Y6" s="76">
        <f>+IFERROR(Country_year!AN6/_xlfn.XLOOKUP($B6,'2024 Prices'!$A$2:$A$40,'2024 Prices'!X$2:X$40,,0),0)</f>
        <v>1.35368882340432E-3</v>
      </c>
      <c r="Z6" s="76">
        <f>+IFERROR(Country_year!AO6/_xlfn.XLOOKUP($B6,'2024 Prices'!$A$2:$A$40,'2024 Prices'!Y$2:Y$40,,0),0)</f>
        <v>0</v>
      </c>
      <c r="AA6" s="76">
        <f>+IFERROR(Country_year!AP6/_xlfn.XLOOKUP($B6,'2024 Prices'!$A$2:$A$40,'2024 Prices'!Z$2:Z$40,,0),0)</f>
        <v>0</v>
      </c>
      <c r="AB6" s="76">
        <f>+IFERROR(Country_year!AQ6/_xlfn.XLOOKUP($B6,'2024 Prices'!$A$2:$A$40,'2024 Prices'!AA$2:AA$40,,0),0)</f>
        <v>5.6130761118019053E-5</v>
      </c>
      <c r="AC6" s="76">
        <f>+IFERROR(Country_year!AR6/_xlfn.XLOOKUP($B6,'2024 Prices'!$A$2:$A$40,'2024 Prices'!AB$2:AB$40,,0),0)</f>
        <v>1.5545644419806594E-5</v>
      </c>
      <c r="AD6" s="76">
        <f>+IFERROR(Country_year!AS6/_xlfn.XLOOKUP($B6,'2024 Prices'!$A$2:$A$40,'2024 Prices'!AC$2:AC$40,,0),0)</f>
        <v>2.3450764768471251E-4</v>
      </c>
      <c r="AE6" s="76">
        <f>+IFERROR(Country_year!AT6/_xlfn.XLOOKUP($B6,'2024 Prices'!$A$2:$A$40,'2024 Prices'!AD$2:AD$40,,0),0)</f>
        <v>1.3268600623252952E-4</v>
      </c>
      <c r="AF6" s="77">
        <f>+IFERROR(Country_year!AU6/_xlfn.XLOOKUP($B6,'2024 Prices'!$A$2:$A$40,'2024 Prices'!AE$2:AE$40,,0),0)</f>
        <v>1.1912287524581605E-5</v>
      </c>
      <c r="AG6" s="80">
        <f t="shared" si="0"/>
        <v>2.8482275836465465E-3</v>
      </c>
      <c r="AH6" s="80">
        <f t="shared" si="1"/>
        <v>2.0049679670932992E-4</v>
      </c>
      <c r="AI6" s="80">
        <f t="shared" si="2"/>
        <v>-2.6477307869372164E-3</v>
      </c>
    </row>
    <row r="7" spans="1:35" x14ac:dyDescent="0.25">
      <c r="A7" s="70" t="s">
        <v>76</v>
      </c>
      <c r="B7" s="71" t="s">
        <v>21</v>
      </c>
      <c r="C7" s="76">
        <f>+IFERROR(Country_year!R7/_xlfn.XLOOKUP($B7,'2024 Prices'!$A$2:$A$40,'2024 Prices'!B$2:B$40,,0),0)</f>
        <v>3.9201402607664952E-6</v>
      </c>
      <c r="D7" s="76">
        <f>+IFERROR(Country_year!S7/_xlfn.XLOOKUP($B7,'2024 Prices'!$A$2:$A$40,'2024 Prices'!C$2:C$40,,0),0)</f>
        <v>5.5140160426291778E-4</v>
      </c>
      <c r="E7" s="76">
        <f>+IFERROR(Country_year!T7/_xlfn.XLOOKUP($B7,'2024 Prices'!$A$2:$A$40,'2024 Prices'!D$2:D$40,,0),0)</f>
        <v>0</v>
      </c>
      <c r="F7" s="76">
        <f>+IFERROR(Country_year!U7/_xlfn.XLOOKUP($B7,'2024 Prices'!$A$2:$A$40,'2024 Prices'!E$2:E$40,,0),0)</f>
        <v>4.5598480050664978E-4</v>
      </c>
      <c r="G7" s="76">
        <f>+IFERROR(Country_year!V7/_xlfn.XLOOKUP($B7,'2024 Prices'!$A$2:$A$40,'2024 Prices'!F$2:F$40,,0),0)</f>
        <v>0</v>
      </c>
      <c r="H7" s="76">
        <f>+IFERROR(Country_year!W7/_xlfn.XLOOKUP($B7,'2024 Prices'!$A$2:$A$40,'2024 Prices'!G$2:G$40,,0),0)</f>
        <v>1.4127233873843322E-2</v>
      </c>
      <c r="I7" s="76">
        <f>+IFERROR(Country_year!X7/_xlfn.XLOOKUP($B7,'2024 Prices'!$A$2:$A$40,'2024 Prices'!H$2:H$40,,0),0)</f>
        <v>0</v>
      </c>
      <c r="J7" s="76">
        <f>+IFERROR(Country_year!Y7/_xlfn.XLOOKUP($B7,'2024 Prices'!$A$2:$A$40,'2024 Prices'!I$2:I$40,,0),0)</f>
        <v>1.0893059774315848E-4</v>
      </c>
      <c r="K7" s="76">
        <f>+IFERROR(Country_year!Z7/_xlfn.XLOOKUP($B7,'2024 Prices'!$A$2:$A$40,'2024 Prices'!J$2:J$40,,0),0)</f>
        <v>1.7137543622481849E-2</v>
      </c>
      <c r="L7" s="76">
        <f>+IFERROR(Country_year!AA7/_xlfn.XLOOKUP($B7,'2024 Prices'!$A$2:$A$40,'2024 Prices'!K$2:K$40,,0),0)</f>
        <v>5.0579979465247905E-4</v>
      </c>
      <c r="M7" s="76">
        <f>+IFERROR(Country_year!AB7/_xlfn.XLOOKUP($B7,'2024 Prices'!$A$2:$A$40,'2024 Prices'!L$2:L$40,,0),0)</f>
        <v>1.2926169213356838E-4</v>
      </c>
      <c r="N7" s="76">
        <f>+IFERROR(Country_year!AC7/_xlfn.XLOOKUP($B7,'2024 Prices'!$A$2:$A$40,'2024 Prices'!M$2:M$40,,0),0)</f>
        <v>9.7191068305553337E-6</v>
      </c>
      <c r="O7" s="76">
        <f>+IFERROR(Country_year!AD7/_xlfn.XLOOKUP($B7,'2024 Prices'!$A$2:$A$40,'2024 Prices'!N$2:N$40,,0),0)</f>
        <v>0</v>
      </c>
      <c r="P7" s="76">
        <f>+IFERROR(Country_year!AE7/_xlfn.XLOOKUP($B7,'2024 Prices'!$A$2:$A$40,'2024 Prices'!O$2:O$40,,0),0)</f>
        <v>0</v>
      </c>
      <c r="Q7" s="76">
        <f>+IFERROR(Country_year!AF7/_xlfn.XLOOKUP($B7,'2024 Prices'!$A$2:$A$40,'2024 Prices'!P$2:P$40,,0),0)</f>
        <v>0</v>
      </c>
      <c r="R7" s="76">
        <f>+IFERROR(Country_year!AG7/_xlfn.XLOOKUP($B7,'2024 Prices'!$A$2:$A$40,'2024 Prices'!Q$2:Q$40,,0),0)</f>
        <v>9.9944238204136889E-3</v>
      </c>
      <c r="S7" s="76">
        <f>+IFERROR(Country_year!AH7/_xlfn.XLOOKUP($B7,'2024 Prices'!$A$2:$A$40,'2024 Prices'!R$2:R$40,,0),0)</f>
        <v>0</v>
      </c>
      <c r="T7" s="76">
        <f>+IFERROR(Country_year!AI7/_xlfn.XLOOKUP($B7,'2024 Prices'!$A$2:$A$40,'2024 Prices'!S$2:S$40,,0),0)</f>
        <v>2.6593240093240092E-3</v>
      </c>
      <c r="U7" s="76">
        <f>+IFERROR(Country_year!AJ7/_xlfn.XLOOKUP($B7,'2024 Prices'!$A$2:$A$40,'2024 Prices'!T$2:T$40,,0),0)</f>
        <v>1.3888723183973551E-4</v>
      </c>
      <c r="V7" s="76">
        <f>+IFERROR(Country_year!AK7/_xlfn.XLOOKUP($B7,'2024 Prices'!$A$2:$A$40,'2024 Prices'!U$2:U$40,,0),0)</f>
        <v>1.089864962211232E-2</v>
      </c>
      <c r="W7" s="76">
        <f>+IFERROR(Country_year!AL7/_xlfn.XLOOKUP($B7,'2024 Prices'!$A$2:$A$40,'2024 Prices'!V$2:V$40,,0),0)</f>
        <v>2.7925061486591572E-3</v>
      </c>
      <c r="X7" s="76">
        <f>+IFERROR(Country_year!AM7/_xlfn.XLOOKUP($B7,'2024 Prices'!$A$2:$A$40,'2024 Prices'!W$2:W$40,,0),0)</f>
        <v>5.6404853088701992E-5</v>
      </c>
      <c r="Y7" s="76">
        <f>+IFERROR(Country_year!AN7/_xlfn.XLOOKUP($B7,'2024 Prices'!$A$2:$A$40,'2024 Prices'!X$2:X$40,,0),0)</f>
        <v>2.2723614884088577E-3</v>
      </c>
      <c r="Z7" s="76">
        <f>+IFERROR(Country_year!AO7/_xlfn.XLOOKUP($B7,'2024 Prices'!$A$2:$A$40,'2024 Prices'!Y$2:Y$40,,0),0)</f>
        <v>4.0447869323112446E-3</v>
      </c>
      <c r="AA7" s="76">
        <f>+IFERROR(Country_year!AP7/_xlfn.XLOOKUP($B7,'2024 Prices'!$A$2:$A$40,'2024 Prices'!Z$2:Z$40,,0),0)</f>
        <v>0</v>
      </c>
      <c r="AB7" s="76">
        <f>+IFERROR(Country_year!AQ7/_xlfn.XLOOKUP($B7,'2024 Prices'!$A$2:$A$40,'2024 Prices'!AA$2:AA$40,,0),0)</f>
        <v>1.5844431867158601E-2</v>
      </c>
      <c r="AC7" s="76">
        <f>+IFERROR(Country_year!AR7/_xlfn.XLOOKUP($B7,'2024 Prices'!$A$2:$A$40,'2024 Prices'!AB$2:AB$40,,0),0)</f>
        <v>0</v>
      </c>
      <c r="AD7" s="76">
        <f>+IFERROR(Country_year!AS7/_xlfn.XLOOKUP($B7,'2024 Prices'!$A$2:$A$40,'2024 Prices'!AC$2:AC$40,,0),0)</f>
        <v>3.2060786760579898E-3</v>
      </c>
      <c r="AE7" s="76">
        <f>+IFERROR(Country_year!AT7/_xlfn.XLOOKUP($B7,'2024 Prices'!$A$2:$A$40,'2024 Prices'!AD$2:AD$40,,0),0)</f>
        <v>1.1794516356182464E-3</v>
      </c>
      <c r="AF7" s="77">
        <f>+IFERROR(Country_year!AU7/_xlfn.XLOOKUP($B7,'2024 Prices'!$A$2:$A$40,'2024 Prices'!AE$2:AE$40,,0),0)</f>
        <v>1.308222728691549E-4</v>
      </c>
      <c r="AG7" s="80">
        <f t="shared" si="0"/>
        <v>2.8749307930192327E-3</v>
      </c>
      <c r="AH7" s="80">
        <f t="shared" si="1"/>
        <v>2.9704819695014219E-3</v>
      </c>
      <c r="AI7" s="80">
        <f t="shared" si="2"/>
        <v>9.5551176482189248E-5</v>
      </c>
    </row>
    <row r="8" spans="1:35" x14ac:dyDescent="0.25">
      <c r="A8" s="70" t="s">
        <v>67</v>
      </c>
      <c r="B8" s="71" t="s">
        <v>23</v>
      </c>
      <c r="C8" s="76">
        <f>+IFERROR(Country_year!R8/_xlfn.XLOOKUP($B8,'2024 Prices'!$A$2:$A$40,'2024 Prices'!B$2:B$40,,0),0)</f>
        <v>8.5209955976972573E-4</v>
      </c>
      <c r="D8" s="76">
        <f>+IFERROR(Country_year!S8/_xlfn.XLOOKUP($B8,'2024 Prices'!$A$2:$A$40,'2024 Prices'!C$2:C$40,,0),0)</f>
        <v>7.2456479171696035E-4</v>
      </c>
      <c r="E8" s="76">
        <f>+IFERROR(Country_year!T8/_xlfn.XLOOKUP($B8,'2024 Prices'!$A$2:$A$40,'2024 Prices'!D$2:D$40,,0),0)</f>
        <v>0</v>
      </c>
      <c r="F8" s="76">
        <f>+IFERROR(Country_year!U8/_xlfn.XLOOKUP($B8,'2024 Prices'!$A$2:$A$40,'2024 Prices'!E$2:E$40,,0),0)</f>
        <v>0</v>
      </c>
      <c r="G8" s="76">
        <f>+IFERROR(Country_year!V8/_xlfn.XLOOKUP($B8,'2024 Prices'!$A$2:$A$40,'2024 Prices'!F$2:F$40,,0),0)</f>
        <v>1.2616581015308481E-5</v>
      </c>
      <c r="H8" s="76">
        <f>+IFERROR(Country_year!W8/_xlfn.XLOOKUP($B8,'2024 Prices'!$A$2:$A$40,'2024 Prices'!G$2:G$40,,0),0)</f>
        <v>0</v>
      </c>
      <c r="I8" s="76">
        <f>+IFERROR(Country_year!X8/_xlfn.XLOOKUP($B8,'2024 Prices'!$A$2:$A$40,'2024 Prices'!H$2:H$40,,0),0)</f>
        <v>0</v>
      </c>
      <c r="J8" s="76">
        <f>+IFERROR(Country_year!Y8/_xlfn.XLOOKUP($B8,'2024 Prices'!$A$2:$A$40,'2024 Prices'!I$2:I$40,,0),0)</f>
        <v>0</v>
      </c>
      <c r="K8" s="76">
        <f>+IFERROR(Country_year!Z8/_xlfn.XLOOKUP($B8,'2024 Prices'!$A$2:$A$40,'2024 Prices'!J$2:J$40,,0),0)</f>
        <v>5.7242014610424385E-4</v>
      </c>
      <c r="L8" s="76">
        <f>+IFERROR(Country_year!AA8/_xlfn.XLOOKUP($B8,'2024 Prices'!$A$2:$A$40,'2024 Prices'!K$2:K$40,,0),0)</f>
        <v>0</v>
      </c>
      <c r="M8" s="76">
        <f>+IFERROR(Country_year!AB8/_xlfn.XLOOKUP($B8,'2024 Prices'!$A$2:$A$40,'2024 Prices'!L$2:L$40,,0),0)</f>
        <v>0</v>
      </c>
      <c r="N8" s="76">
        <f>+IFERROR(Country_year!AC8/_xlfn.XLOOKUP($B8,'2024 Prices'!$A$2:$A$40,'2024 Prices'!M$2:M$40,,0),0)</f>
        <v>0</v>
      </c>
      <c r="O8" s="76">
        <f>+IFERROR(Country_year!AD8/_xlfn.XLOOKUP($B8,'2024 Prices'!$A$2:$A$40,'2024 Prices'!N$2:N$40,,0),0)</f>
        <v>0</v>
      </c>
      <c r="P8" s="76">
        <f>+IFERROR(Country_year!AE8/_xlfn.XLOOKUP($B8,'2024 Prices'!$A$2:$A$40,'2024 Prices'!O$2:O$40,,0),0)</f>
        <v>5.5717687798593285E-3</v>
      </c>
      <c r="Q8" s="76">
        <f>+IFERROR(Country_year!AF8/_xlfn.XLOOKUP($B8,'2024 Prices'!$A$2:$A$40,'2024 Prices'!P$2:P$40,,0),0)</f>
        <v>8.8867018737057304E-5</v>
      </c>
      <c r="R8" s="76">
        <f>+IFERROR(Country_year!AG8/_xlfn.XLOOKUP($B8,'2024 Prices'!$A$2:$A$40,'2024 Prices'!Q$2:Q$40,,0),0)</f>
        <v>0</v>
      </c>
      <c r="S8" s="76">
        <f>+IFERROR(Country_year!AH8/_xlfn.XLOOKUP($B8,'2024 Prices'!$A$2:$A$40,'2024 Prices'!R$2:R$40,,0),0)</f>
        <v>0</v>
      </c>
      <c r="T8" s="76">
        <f>+IFERROR(Country_year!AI8/_xlfn.XLOOKUP($B8,'2024 Prices'!$A$2:$A$40,'2024 Prices'!S$2:S$40,,0),0)</f>
        <v>0</v>
      </c>
      <c r="U8" s="76">
        <f>+IFERROR(Country_year!AJ8/_xlfn.XLOOKUP($B8,'2024 Prices'!$A$2:$A$40,'2024 Prices'!T$2:T$40,,0),0)</f>
        <v>0</v>
      </c>
      <c r="V8" s="76">
        <f>+IFERROR(Country_year!AK8/_xlfn.XLOOKUP($B8,'2024 Prices'!$A$2:$A$40,'2024 Prices'!U$2:U$40,,0),0)</f>
        <v>0</v>
      </c>
      <c r="W8" s="76">
        <f>+IFERROR(Country_year!AL8/_xlfn.XLOOKUP($B8,'2024 Prices'!$A$2:$A$40,'2024 Prices'!V$2:V$40,,0),0)</f>
        <v>0</v>
      </c>
      <c r="X8" s="76">
        <f>+IFERROR(Country_year!AM8/_xlfn.XLOOKUP($B8,'2024 Prices'!$A$2:$A$40,'2024 Prices'!W$2:W$40,,0),0)</f>
        <v>6.2907082175879137E-3</v>
      </c>
      <c r="Y8" s="76">
        <f>+IFERROR(Country_year!AN8/_xlfn.XLOOKUP($B8,'2024 Prices'!$A$2:$A$40,'2024 Prices'!X$2:X$40,,0),0)</f>
        <v>0</v>
      </c>
      <c r="Z8" s="76">
        <f>+IFERROR(Country_year!AO8/_xlfn.XLOOKUP($B8,'2024 Prices'!$A$2:$A$40,'2024 Prices'!Y$2:Y$40,,0),0)</f>
        <v>0</v>
      </c>
      <c r="AA8" s="76">
        <f>+IFERROR(Country_year!AP8/_xlfn.XLOOKUP($B8,'2024 Prices'!$A$2:$A$40,'2024 Prices'!Z$2:Z$40,,0),0)</f>
        <v>0</v>
      </c>
      <c r="AB8" s="76">
        <f>+IFERROR(Country_year!AQ8/_xlfn.XLOOKUP($B8,'2024 Prices'!$A$2:$A$40,'2024 Prices'!AA$2:AA$40,,0),0)</f>
        <v>0</v>
      </c>
      <c r="AC8" s="76">
        <f>+IFERROR(Country_year!AR8/_xlfn.XLOOKUP($B8,'2024 Prices'!$A$2:$A$40,'2024 Prices'!AB$2:AB$40,,0),0)</f>
        <v>1.0881529291961182E-4</v>
      </c>
      <c r="AD8" s="76">
        <f>+IFERROR(Country_year!AS8/_xlfn.XLOOKUP($B8,'2024 Prices'!$A$2:$A$40,'2024 Prices'!AC$2:AC$40,,0),0)</f>
        <v>0</v>
      </c>
      <c r="AE8" s="76">
        <f>+IFERROR(Country_year!AT8/_xlfn.XLOOKUP($B8,'2024 Prices'!$A$2:$A$40,'2024 Prices'!AD$2:AD$40,,0),0)</f>
        <v>1.1640409236431318E-5</v>
      </c>
      <c r="AF8" s="77">
        <f>+IFERROR(Country_year!AU8/_xlfn.XLOOKUP($B8,'2024 Prices'!$A$2:$A$40,'2024 Prices'!AE$2:AE$40,,0),0)</f>
        <v>2.572639648587776E-5</v>
      </c>
      <c r="AG8" s="80">
        <f t="shared" si="0"/>
        <v>4.7530757311441531E-4</v>
      </c>
      <c r="AH8" s="80">
        <f t="shared" si="1"/>
        <v>7.1521003513664834E-4</v>
      </c>
      <c r="AI8" s="80">
        <f t="shared" si="2"/>
        <v>2.3990246202223303E-4</v>
      </c>
    </row>
    <row r="9" spans="1:35" x14ac:dyDescent="0.25">
      <c r="A9" s="70" t="s">
        <v>68</v>
      </c>
      <c r="B9" s="71" t="s">
        <v>13</v>
      </c>
      <c r="C9" s="76">
        <f>+IFERROR(Country_year!R9/_xlfn.XLOOKUP($B9,'2024 Prices'!$A$2:$A$40,'2024 Prices'!B$2:B$40,,0),0)</f>
        <v>0</v>
      </c>
      <c r="D9" s="76">
        <f>+IFERROR(Country_year!S9/_xlfn.XLOOKUP($B9,'2024 Prices'!$A$2:$A$40,'2024 Prices'!C$2:C$40,,0),0)</f>
        <v>6.3537402518843377E-4</v>
      </c>
      <c r="E9" s="76">
        <f>+IFERROR(Country_year!T9/_xlfn.XLOOKUP($B9,'2024 Prices'!$A$2:$A$40,'2024 Prices'!D$2:D$40,,0),0)</f>
        <v>3.60649923574375E-2</v>
      </c>
      <c r="F9" s="76">
        <f>+IFERROR(Country_year!U9/_xlfn.XLOOKUP($B9,'2024 Prices'!$A$2:$A$40,'2024 Prices'!E$2:E$40,,0),0)</f>
        <v>7.90153948280189E-4</v>
      </c>
      <c r="G9" s="76">
        <f>+IFERROR(Country_year!V9/_xlfn.XLOOKUP($B9,'2024 Prices'!$A$2:$A$40,'2024 Prices'!F$2:F$40,,0),0)</f>
        <v>0</v>
      </c>
      <c r="H9" s="76">
        <f>+IFERROR(Country_year!W9/_xlfn.XLOOKUP($B9,'2024 Prices'!$A$2:$A$40,'2024 Prices'!G$2:G$40,,0),0)</f>
        <v>5.2279041406322786E-3</v>
      </c>
      <c r="I9" s="76">
        <f>+IFERROR(Country_year!X9/_xlfn.XLOOKUP($B9,'2024 Prices'!$A$2:$A$40,'2024 Prices'!H$2:H$40,,0),0)</f>
        <v>2.4351254524665233E-4</v>
      </c>
      <c r="J9" s="76">
        <f>+IFERROR(Country_year!Y9/_xlfn.XLOOKUP($B9,'2024 Prices'!$A$2:$A$40,'2024 Prices'!I$2:I$40,,0),0)</f>
        <v>2.1137886253852274E-2</v>
      </c>
      <c r="K9" s="76">
        <f>+IFERROR(Country_year!Z9/_xlfn.XLOOKUP($B9,'2024 Prices'!$A$2:$A$40,'2024 Prices'!J$2:J$40,,0),0)</f>
        <v>0</v>
      </c>
      <c r="L9" s="76">
        <f>+IFERROR(Country_year!AA9/_xlfn.XLOOKUP($B9,'2024 Prices'!$A$2:$A$40,'2024 Prices'!K$2:K$40,,0),0)</f>
        <v>0</v>
      </c>
      <c r="M9" s="76">
        <f>+IFERROR(Country_year!AB9/_xlfn.XLOOKUP($B9,'2024 Prices'!$A$2:$A$40,'2024 Prices'!L$2:L$40,,0),0)</f>
        <v>0</v>
      </c>
      <c r="N9" s="76">
        <f>+IFERROR(Country_year!AC9/_xlfn.XLOOKUP($B9,'2024 Prices'!$A$2:$A$40,'2024 Prices'!M$2:M$40,,0),0)</f>
        <v>1.7366135528667577E-3</v>
      </c>
      <c r="O9" s="76">
        <f>+IFERROR(Country_year!AD9/_xlfn.XLOOKUP($B9,'2024 Prices'!$A$2:$A$40,'2024 Prices'!N$2:N$40,,0),0)</f>
        <v>6.3348851829756673E-4</v>
      </c>
      <c r="P9" s="76">
        <f>+IFERROR(Country_year!AE9/_xlfn.XLOOKUP($B9,'2024 Prices'!$A$2:$A$40,'2024 Prices'!O$2:O$40,,0),0)</f>
        <v>1.0464077262866305E-4</v>
      </c>
      <c r="Q9" s="76">
        <f>+IFERROR(Country_year!AF9/_xlfn.XLOOKUP($B9,'2024 Prices'!$A$2:$A$40,'2024 Prices'!P$2:P$40,,0),0)</f>
        <v>1.2070635321132955E-3</v>
      </c>
      <c r="R9" s="76">
        <f>+IFERROR(Country_year!AG9/_xlfn.XLOOKUP($B9,'2024 Prices'!$A$2:$A$40,'2024 Prices'!Q$2:Q$40,,0),0)</f>
        <v>1.7901858124214297E-3</v>
      </c>
      <c r="S9" s="76">
        <f>+IFERROR(Country_year!AH9/_xlfn.XLOOKUP($B9,'2024 Prices'!$A$2:$A$40,'2024 Prices'!R$2:R$40,,0),0)</f>
        <v>0</v>
      </c>
      <c r="T9" s="76">
        <f>+IFERROR(Country_year!AI9/_xlfn.XLOOKUP($B9,'2024 Prices'!$A$2:$A$40,'2024 Prices'!S$2:S$40,,0),0)</f>
        <v>1.0065635029161774E-4</v>
      </c>
      <c r="U9" s="76">
        <f>+IFERROR(Country_year!AJ9/_xlfn.XLOOKUP($B9,'2024 Prices'!$A$2:$A$40,'2024 Prices'!T$2:T$40,,0),0)</f>
        <v>2.2505350864208862E-3</v>
      </c>
      <c r="V9" s="76">
        <f>+IFERROR(Country_year!AK9/_xlfn.XLOOKUP($B9,'2024 Prices'!$A$2:$A$40,'2024 Prices'!U$2:U$40,,0),0)</f>
        <v>3.7979653498864184E-5</v>
      </c>
      <c r="W9" s="76">
        <f>+IFERROR(Country_year!AL9/_xlfn.XLOOKUP($B9,'2024 Prices'!$A$2:$A$40,'2024 Prices'!V$2:V$40,,0),0)</f>
        <v>0</v>
      </c>
      <c r="X9" s="76">
        <f>+IFERROR(Country_year!AM9/_xlfn.XLOOKUP($B9,'2024 Prices'!$A$2:$A$40,'2024 Prices'!W$2:W$40,,0),0)</f>
        <v>1.3089688187103296E-4</v>
      </c>
      <c r="Y9" s="76">
        <f>+IFERROR(Country_year!AN9/_xlfn.XLOOKUP($B9,'2024 Prices'!$A$2:$A$40,'2024 Prices'!X$2:X$40,,0),0)</f>
        <v>1.266492806566931E-3</v>
      </c>
      <c r="Z9" s="76">
        <f>+IFERROR(Country_year!AO9/_xlfn.XLOOKUP($B9,'2024 Prices'!$A$2:$A$40,'2024 Prices'!Y$2:Y$40,,0),0)</f>
        <v>2.4832357132626153E-4</v>
      </c>
      <c r="AA9" s="76">
        <f>+IFERROR(Country_year!AP9/_xlfn.XLOOKUP($B9,'2024 Prices'!$A$2:$A$40,'2024 Prices'!Z$2:Z$40,,0),0)</f>
        <v>0</v>
      </c>
      <c r="AB9" s="76">
        <f>+IFERROR(Country_year!AQ9/_xlfn.XLOOKUP($B9,'2024 Prices'!$A$2:$A$40,'2024 Prices'!AA$2:AA$40,,0),0)</f>
        <v>2.9297075528564423E-4</v>
      </c>
      <c r="AC9" s="76">
        <f>+IFERROR(Country_year!AR9/_xlfn.XLOOKUP($B9,'2024 Prices'!$A$2:$A$40,'2024 Prices'!AB$2:AB$40,,0),0)</f>
        <v>9.5258384805180707E-4</v>
      </c>
      <c r="AD9" s="76">
        <f>+IFERROR(Country_year!AS9/_xlfn.XLOOKUP($B9,'2024 Prices'!$A$2:$A$40,'2024 Prices'!AC$2:AC$40,,0),0)</f>
        <v>9.083359390903018E-5</v>
      </c>
      <c r="AE9" s="76">
        <f>+IFERROR(Country_year!AT9/_xlfn.XLOOKUP($B9,'2024 Prices'!$A$2:$A$40,'2024 Prices'!AD$2:AD$40,,0),0)</f>
        <v>2.3180458220819278E-5</v>
      </c>
      <c r="AF9" s="77">
        <f>+IFERROR(Country_year!AU9/_xlfn.XLOOKUP($B9,'2024 Prices'!$A$2:$A$40,'2024 Prices'!AE$2:AE$40,,0),0)</f>
        <v>2.819420257071228E-3</v>
      </c>
      <c r="AG9" s="80">
        <f t="shared" si="0"/>
        <v>2.5928562907159727E-3</v>
      </c>
      <c r="AH9" s="80">
        <f t="shared" si="1"/>
        <v>6.4718913025586149E-4</v>
      </c>
      <c r="AI9" s="80">
        <f t="shared" si="2"/>
        <v>-1.9456671604601112E-3</v>
      </c>
    </row>
    <row r="10" spans="1:35" x14ac:dyDescent="0.25">
      <c r="A10" s="70" t="s">
        <v>70</v>
      </c>
      <c r="B10" s="71" t="s">
        <v>14</v>
      </c>
      <c r="C10" s="76">
        <f>+IFERROR(Country_year!R10/_xlfn.XLOOKUP($B10,'2024 Prices'!$A$2:$A$40,'2024 Prices'!B$2:B$40,,0),0)</f>
        <v>1.9736253217060491E-5</v>
      </c>
      <c r="D10" s="76">
        <f>+IFERROR(Country_year!S10/_xlfn.XLOOKUP($B10,'2024 Prices'!$A$2:$A$40,'2024 Prices'!C$2:C$40,,0),0)</f>
        <v>0</v>
      </c>
      <c r="E10" s="76">
        <f>+IFERROR(Country_year!T10/_xlfn.XLOOKUP($B10,'2024 Prices'!$A$2:$A$40,'2024 Prices'!D$2:D$40,,0),0)</f>
        <v>0</v>
      </c>
      <c r="F10" s="76">
        <f>+IFERROR(Country_year!U10/_xlfn.XLOOKUP($B10,'2024 Prices'!$A$2:$A$40,'2024 Prices'!E$2:E$40,,0),0)</f>
        <v>0</v>
      </c>
      <c r="G10" s="76">
        <f>+IFERROR(Country_year!V10/_xlfn.XLOOKUP($B10,'2024 Prices'!$A$2:$A$40,'2024 Prices'!F$2:F$40,,0),0)</f>
        <v>1.3437900774167533E-2</v>
      </c>
      <c r="H10" s="76">
        <f>+IFERROR(Country_year!W10/_xlfn.XLOOKUP($B10,'2024 Prices'!$A$2:$A$40,'2024 Prices'!G$2:G$40,,0),0)</f>
        <v>2.8304126029750641E-4</v>
      </c>
      <c r="I10" s="76">
        <f>+IFERROR(Country_year!X10/_xlfn.XLOOKUP($B10,'2024 Prices'!$A$2:$A$40,'2024 Prices'!H$2:H$40,,0),0)</f>
        <v>0</v>
      </c>
      <c r="J10" s="76">
        <f>+IFERROR(Country_year!Y10/_xlfn.XLOOKUP($B10,'2024 Prices'!$A$2:$A$40,'2024 Prices'!I$2:I$40,,0),0)</f>
        <v>0</v>
      </c>
      <c r="K10" s="76">
        <f>+IFERROR(Country_year!Z10/_xlfn.XLOOKUP($B10,'2024 Prices'!$A$2:$A$40,'2024 Prices'!J$2:J$40,,0),0)</f>
        <v>0</v>
      </c>
      <c r="L10" s="76">
        <f>+IFERROR(Country_year!AA10/_xlfn.XLOOKUP($B10,'2024 Prices'!$A$2:$A$40,'2024 Prices'!K$2:K$40,,0),0)</f>
        <v>1.5558397895885803E-6</v>
      </c>
      <c r="M10" s="76">
        <f>+IFERROR(Country_year!AB10/_xlfn.XLOOKUP($B10,'2024 Prices'!$A$2:$A$40,'2024 Prices'!L$2:L$40,,0),0)</f>
        <v>1.428338212562333E-5</v>
      </c>
      <c r="N10" s="76">
        <f>+IFERROR(Country_year!AC10/_xlfn.XLOOKUP($B10,'2024 Prices'!$A$2:$A$40,'2024 Prices'!M$2:M$40,,0),0)</f>
        <v>1.4573893215957343E-4</v>
      </c>
      <c r="O10" s="76">
        <f>+IFERROR(Country_year!AD10/_xlfn.XLOOKUP($B10,'2024 Prices'!$A$2:$A$40,'2024 Prices'!N$2:N$40,,0),0)</f>
        <v>2.1910938733812671E-4</v>
      </c>
      <c r="P10" s="76">
        <f>+IFERROR(Country_year!AE10/_xlfn.XLOOKUP($B10,'2024 Prices'!$A$2:$A$40,'2024 Prices'!O$2:O$40,,0),0)</f>
        <v>0</v>
      </c>
      <c r="Q10" s="76">
        <f>+IFERROR(Country_year!AF10/_xlfn.XLOOKUP($B10,'2024 Prices'!$A$2:$A$40,'2024 Prices'!P$2:P$40,,0),0)</f>
        <v>0</v>
      </c>
      <c r="R10" s="76">
        <f>+IFERROR(Country_year!AG10/_xlfn.XLOOKUP($B10,'2024 Prices'!$A$2:$A$40,'2024 Prices'!Q$2:Q$40,,0),0)</f>
        <v>2.4303289891016247E-4</v>
      </c>
      <c r="S10" s="76">
        <f>+IFERROR(Country_year!AH10/_xlfn.XLOOKUP($B10,'2024 Prices'!$A$2:$A$40,'2024 Prices'!R$2:R$40,,0),0)</f>
        <v>1.8000540155438457E-3</v>
      </c>
      <c r="T10" s="76">
        <f>+IFERROR(Country_year!AI10/_xlfn.XLOOKUP($B10,'2024 Prices'!$A$2:$A$40,'2024 Prices'!S$2:S$40,,0),0)</f>
        <v>0</v>
      </c>
      <c r="U10" s="76">
        <f>+IFERROR(Country_year!AJ10/_xlfn.XLOOKUP($B10,'2024 Prices'!$A$2:$A$40,'2024 Prices'!T$2:T$40,,0),0)</f>
        <v>1.9610566504011037E-3</v>
      </c>
      <c r="V10" s="76">
        <f>+IFERROR(Country_year!AK10/_xlfn.XLOOKUP($B10,'2024 Prices'!$A$2:$A$40,'2024 Prices'!U$2:U$40,,0),0)</f>
        <v>1.669440879096378E-4</v>
      </c>
      <c r="W10" s="76">
        <f>+IFERROR(Country_year!AL10/_xlfn.XLOOKUP($B10,'2024 Prices'!$A$2:$A$40,'2024 Prices'!V$2:V$40,,0),0)</f>
        <v>0</v>
      </c>
      <c r="X10" s="76">
        <f>+IFERROR(Country_year!AM10/_xlfn.XLOOKUP($B10,'2024 Prices'!$A$2:$A$40,'2024 Prices'!W$2:W$40,,0),0)</f>
        <v>0</v>
      </c>
      <c r="Y10" s="76">
        <f>+IFERROR(Country_year!AN10/_xlfn.XLOOKUP($B10,'2024 Prices'!$A$2:$A$40,'2024 Prices'!X$2:X$40,,0),0)</f>
        <v>0</v>
      </c>
      <c r="Z10" s="76">
        <f>+IFERROR(Country_year!AO10/_xlfn.XLOOKUP($B10,'2024 Prices'!$A$2:$A$40,'2024 Prices'!Y$2:Y$40,,0),0)</f>
        <v>1.4630819028360996E-4</v>
      </c>
      <c r="AA10" s="76">
        <f>+IFERROR(Country_year!AP10/_xlfn.XLOOKUP($B10,'2024 Prices'!$A$2:$A$40,'2024 Prices'!Z$2:Z$40,,0),0)</f>
        <v>0</v>
      </c>
      <c r="AB10" s="76">
        <f>+IFERROR(Country_year!AQ10/_xlfn.XLOOKUP($B10,'2024 Prices'!$A$2:$A$40,'2024 Prices'!AA$2:AA$40,,0),0)</f>
        <v>9.7199099545417186E-5</v>
      </c>
      <c r="AC10" s="76">
        <f>+IFERROR(Country_year!AR10/_xlfn.XLOOKUP($B10,'2024 Prices'!$A$2:$A$40,'2024 Prices'!AB$2:AB$40,,0),0)</f>
        <v>0</v>
      </c>
      <c r="AD10" s="76">
        <f>+IFERROR(Country_year!AS10/_xlfn.XLOOKUP($B10,'2024 Prices'!$A$2:$A$40,'2024 Prices'!AC$2:AC$40,,0),0)</f>
        <v>5.4165235626528602E-6</v>
      </c>
      <c r="AE10" s="76">
        <f>+IFERROR(Country_year!AT10/_xlfn.XLOOKUP($B10,'2024 Prices'!$A$2:$A$40,'2024 Prices'!AD$2:AD$40,,0),0)</f>
        <v>2.1028481258170619E-4</v>
      </c>
      <c r="AF10" s="77">
        <f>+IFERROR(Country_year!AU10/_xlfn.XLOOKUP($B10,'2024 Prices'!$A$2:$A$40,'2024 Prices'!AE$2:AE$40,,0),0)</f>
        <v>0</v>
      </c>
      <c r="AG10" s="80">
        <f t="shared" si="0"/>
        <v>6.2505540359443815E-4</v>
      </c>
      <c r="AH10" s="80">
        <f t="shared" si="1"/>
        <v>5.1023180663709581E-5</v>
      </c>
      <c r="AI10" s="80">
        <f t="shared" si="2"/>
        <v>-5.740322229307286E-4</v>
      </c>
    </row>
    <row r="11" spans="1:35" x14ac:dyDescent="0.25">
      <c r="A11" s="70" t="s">
        <v>71</v>
      </c>
      <c r="B11" s="71" t="s">
        <v>16</v>
      </c>
      <c r="C11" s="76">
        <f>+IFERROR(Country_year!R11/_xlfn.XLOOKUP($B11,'2024 Prices'!$A$2:$A$40,'2024 Prices'!B$2:B$40,,0),0)</f>
        <v>0</v>
      </c>
      <c r="D11" s="76">
        <f>+IFERROR(Country_year!S11/_xlfn.XLOOKUP($B11,'2024 Prices'!$A$2:$A$40,'2024 Prices'!C$2:C$40,,0),0)</f>
        <v>0</v>
      </c>
      <c r="E11" s="76">
        <f>+IFERROR(Country_year!T11/_xlfn.XLOOKUP($B11,'2024 Prices'!$A$2:$A$40,'2024 Prices'!D$2:D$40,,0),0)</f>
        <v>0</v>
      </c>
      <c r="F11" s="76">
        <f>+IFERROR(Country_year!U11/_xlfn.XLOOKUP($B11,'2024 Prices'!$A$2:$A$40,'2024 Prices'!E$2:E$40,,0),0)</f>
        <v>0</v>
      </c>
      <c r="G11" s="76">
        <f>+IFERROR(Country_year!V11/_xlfn.XLOOKUP($B11,'2024 Prices'!$A$2:$A$40,'2024 Prices'!F$2:F$40,,0),0)</f>
        <v>0</v>
      </c>
      <c r="H11" s="76">
        <f>+IFERROR(Country_year!W11/_xlfn.XLOOKUP($B11,'2024 Prices'!$A$2:$A$40,'2024 Prices'!G$2:G$40,,0),0)</f>
        <v>9.4496602836100722E-4</v>
      </c>
      <c r="I11" s="76">
        <f>+IFERROR(Country_year!X11/_xlfn.XLOOKUP($B11,'2024 Prices'!$A$2:$A$40,'2024 Prices'!H$2:H$40,,0),0)</f>
        <v>0</v>
      </c>
      <c r="J11" s="76">
        <f>+IFERROR(Country_year!Y11/_xlfn.XLOOKUP($B11,'2024 Prices'!$A$2:$A$40,'2024 Prices'!I$2:I$40,,0),0)</f>
        <v>0</v>
      </c>
      <c r="K11" s="76">
        <f>+IFERROR(Country_year!Z11/_xlfn.XLOOKUP($B11,'2024 Prices'!$A$2:$A$40,'2024 Prices'!J$2:J$40,,0),0)</f>
        <v>8.6601012430488134E-4</v>
      </c>
      <c r="L11" s="76">
        <f>+IFERROR(Country_year!AA11/_xlfn.XLOOKUP($B11,'2024 Prices'!$A$2:$A$40,'2024 Prices'!K$2:K$40,,0),0)</f>
        <v>0</v>
      </c>
      <c r="M11" s="76">
        <f>+IFERROR(Country_year!AB11/_xlfn.XLOOKUP($B11,'2024 Prices'!$A$2:$A$40,'2024 Prices'!L$2:L$40,,0),0)</f>
        <v>8.0847217069931459E-3</v>
      </c>
      <c r="N11" s="76">
        <f>+IFERROR(Country_year!AC11/_xlfn.XLOOKUP($B11,'2024 Prices'!$A$2:$A$40,'2024 Prices'!M$2:M$40,,0),0)</f>
        <v>0</v>
      </c>
      <c r="O11" s="76">
        <f>+IFERROR(Country_year!AD11/_xlfn.XLOOKUP($B11,'2024 Prices'!$A$2:$A$40,'2024 Prices'!N$2:N$40,,0),0)</f>
        <v>0</v>
      </c>
      <c r="P11" s="76">
        <f>+IFERROR(Country_year!AE11/_xlfn.XLOOKUP($B11,'2024 Prices'!$A$2:$A$40,'2024 Prices'!O$2:O$40,,0),0)</f>
        <v>0</v>
      </c>
      <c r="Q11" s="76">
        <f>+IFERROR(Country_year!AF11/_xlfn.XLOOKUP($B11,'2024 Prices'!$A$2:$A$40,'2024 Prices'!P$2:P$40,,0),0)</f>
        <v>0</v>
      </c>
      <c r="R11" s="76">
        <f>+IFERROR(Country_year!AG11/_xlfn.XLOOKUP($B11,'2024 Prices'!$A$2:$A$40,'2024 Prices'!Q$2:Q$40,,0),0)</f>
        <v>1.5054615211421128E-3</v>
      </c>
      <c r="S11" s="76">
        <f>+IFERROR(Country_year!AH11/_xlfn.XLOOKUP($B11,'2024 Prices'!$A$2:$A$40,'2024 Prices'!R$2:R$40,,0),0)</f>
        <v>0</v>
      </c>
      <c r="T11" s="76">
        <f>+IFERROR(Country_year!AI11/_xlfn.XLOOKUP($B11,'2024 Prices'!$A$2:$A$40,'2024 Prices'!S$2:S$40,,0),0)</f>
        <v>0</v>
      </c>
      <c r="U11" s="76">
        <f>+IFERROR(Country_year!AJ11/_xlfn.XLOOKUP($B11,'2024 Prices'!$A$2:$A$40,'2024 Prices'!T$2:T$40,,0),0)</f>
        <v>0</v>
      </c>
      <c r="V11" s="76">
        <f>+IFERROR(Country_year!AK11/_xlfn.XLOOKUP($B11,'2024 Prices'!$A$2:$A$40,'2024 Prices'!U$2:U$40,,0),0)</f>
        <v>0</v>
      </c>
      <c r="W11" s="76">
        <f>+IFERROR(Country_year!AL11/_xlfn.XLOOKUP($B11,'2024 Prices'!$A$2:$A$40,'2024 Prices'!V$2:V$40,,0),0)</f>
        <v>0</v>
      </c>
      <c r="X11" s="76">
        <f>+IFERROR(Country_year!AM11/_xlfn.XLOOKUP($B11,'2024 Prices'!$A$2:$A$40,'2024 Prices'!W$2:W$40,,0),0)</f>
        <v>0</v>
      </c>
      <c r="Y11" s="76">
        <f>+IFERROR(Country_year!AN11/_xlfn.XLOOKUP($B11,'2024 Prices'!$A$2:$A$40,'2024 Prices'!X$2:X$40,,0),0)</f>
        <v>0</v>
      </c>
      <c r="Z11" s="76">
        <f>+IFERROR(Country_year!AO11/_xlfn.XLOOKUP($B11,'2024 Prices'!$A$2:$A$40,'2024 Prices'!Y$2:Y$40,,0),0)</f>
        <v>0</v>
      </c>
      <c r="AA11" s="76">
        <f>+IFERROR(Country_year!AP11/_xlfn.XLOOKUP($B11,'2024 Prices'!$A$2:$A$40,'2024 Prices'!Z$2:Z$40,,0),0)</f>
        <v>0</v>
      </c>
      <c r="AB11" s="76">
        <f>+IFERROR(Country_year!AQ11/_xlfn.XLOOKUP($B11,'2024 Prices'!$A$2:$A$40,'2024 Prices'!AA$2:AA$40,,0),0)</f>
        <v>0</v>
      </c>
      <c r="AC11" s="76">
        <f>+IFERROR(Country_year!AR11/_xlfn.XLOOKUP($B11,'2024 Prices'!$A$2:$A$40,'2024 Prices'!AB$2:AB$40,,0),0)</f>
        <v>0</v>
      </c>
      <c r="AD11" s="76">
        <f>+IFERROR(Country_year!AS11/_xlfn.XLOOKUP($B11,'2024 Prices'!$A$2:$A$40,'2024 Prices'!AC$2:AC$40,,0),0)</f>
        <v>0</v>
      </c>
      <c r="AE11" s="76">
        <f>+IFERROR(Country_year!AT11/_xlfn.XLOOKUP($B11,'2024 Prices'!$A$2:$A$40,'2024 Prices'!AD$2:AD$40,,0),0)</f>
        <v>3.809475081451026E-5</v>
      </c>
      <c r="AF11" s="77">
        <f>+IFERROR(Country_year!AU11/_xlfn.XLOOKUP($B11,'2024 Prices'!$A$2:$A$40,'2024 Prices'!AE$2:AE$40,,0),0)</f>
        <v>0</v>
      </c>
      <c r="AG11" s="80">
        <f t="shared" si="0"/>
        <v>3.8130847105385528E-4</v>
      </c>
      <c r="AH11" s="80">
        <f t="shared" si="1"/>
        <v>4.2327500905011398E-6</v>
      </c>
      <c r="AI11" s="80">
        <f t="shared" si="2"/>
        <v>-3.7707572096335417E-4</v>
      </c>
    </row>
    <row r="12" spans="1:35" x14ac:dyDescent="0.25">
      <c r="A12" s="70" t="s">
        <v>74</v>
      </c>
      <c r="B12" s="71" t="s">
        <v>36</v>
      </c>
      <c r="C12" s="76">
        <f>+IFERROR(Country_year!R12/_xlfn.XLOOKUP($B12,'2024 Prices'!$A$2:$A$40,'2024 Prices'!B$2:B$40,,0),0)</f>
        <v>0</v>
      </c>
      <c r="D12" s="76">
        <f>+IFERROR(Country_year!S12/_xlfn.XLOOKUP($B12,'2024 Prices'!$A$2:$A$40,'2024 Prices'!C$2:C$40,,0),0)</f>
        <v>0</v>
      </c>
      <c r="E12" s="76">
        <f>+IFERROR(Country_year!T12/_xlfn.XLOOKUP($B12,'2024 Prices'!$A$2:$A$40,'2024 Prices'!D$2:D$40,,0),0)</f>
        <v>0</v>
      </c>
      <c r="F12" s="76">
        <f>+IFERROR(Country_year!U12/_xlfn.XLOOKUP($B12,'2024 Prices'!$A$2:$A$40,'2024 Prices'!E$2:E$40,,0),0)</f>
        <v>0</v>
      </c>
      <c r="G12" s="76">
        <f>+IFERROR(Country_year!V12/_xlfn.XLOOKUP($B12,'2024 Prices'!$A$2:$A$40,'2024 Prices'!F$2:F$40,,0),0)</f>
        <v>0</v>
      </c>
      <c r="H12" s="76">
        <f>+IFERROR(Country_year!W12/_xlfn.XLOOKUP($B12,'2024 Prices'!$A$2:$A$40,'2024 Prices'!G$2:G$40,,0),0)</f>
        <v>0</v>
      </c>
      <c r="I12" s="76">
        <f>+IFERROR(Country_year!X12/_xlfn.XLOOKUP($B12,'2024 Prices'!$A$2:$A$40,'2024 Prices'!H$2:H$40,,0),0)</f>
        <v>7.2248883743339281E-5</v>
      </c>
      <c r="J12" s="76">
        <f>+IFERROR(Country_year!Y12/_xlfn.XLOOKUP($B12,'2024 Prices'!$A$2:$A$40,'2024 Prices'!I$2:I$40,,0),0)</f>
        <v>0</v>
      </c>
      <c r="K12" s="76">
        <f>+IFERROR(Country_year!Z12/_xlfn.XLOOKUP($B12,'2024 Prices'!$A$2:$A$40,'2024 Prices'!J$2:J$40,,0),0)</f>
        <v>0</v>
      </c>
      <c r="L12" s="76">
        <f>+IFERROR(Country_year!AA12/_xlfn.XLOOKUP($B12,'2024 Prices'!$A$2:$A$40,'2024 Prices'!K$2:K$40,,0),0)</f>
        <v>6.7265575458613145E-6</v>
      </c>
      <c r="M12" s="76">
        <f>+IFERROR(Country_year!AB12/_xlfn.XLOOKUP($B12,'2024 Prices'!$A$2:$A$40,'2024 Prices'!L$2:L$40,,0),0)</f>
        <v>4.3185049289769305E-4</v>
      </c>
      <c r="N12" s="76">
        <f>+IFERROR(Country_year!AC12/_xlfn.XLOOKUP($B12,'2024 Prices'!$A$2:$A$40,'2024 Prices'!M$2:M$40,,0),0)</f>
        <v>1.6363285366585898E-6</v>
      </c>
      <c r="O12" s="76">
        <f>+IFERROR(Country_year!AD12/_xlfn.XLOOKUP($B12,'2024 Prices'!$A$2:$A$40,'2024 Prices'!N$2:N$40,,0),0)</f>
        <v>7.3108199589366266E-5</v>
      </c>
      <c r="P12" s="76">
        <f>+IFERROR(Country_year!AE12/_xlfn.XLOOKUP($B12,'2024 Prices'!$A$2:$A$40,'2024 Prices'!O$2:O$40,,0),0)</f>
        <v>0</v>
      </c>
      <c r="Q12" s="76">
        <f>+IFERROR(Country_year!AF12/_xlfn.XLOOKUP($B12,'2024 Prices'!$A$2:$A$40,'2024 Prices'!P$2:P$40,,0),0)</f>
        <v>0</v>
      </c>
      <c r="R12" s="76">
        <f>+IFERROR(Country_year!AG12/_xlfn.XLOOKUP($B12,'2024 Prices'!$A$2:$A$40,'2024 Prices'!Q$2:Q$40,,0),0)</f>
        <v>3.6977622220505291E-4</v>
      </c>
      <c r="S12" s="76">
        <f>+IFERROR(Country_year!AH12/_xlfn.XLOOKUP($B12,'2024 Prices'!$A$2:$A$40,'2024 Prices'!R$2:R$40,,0),0)</f>
        <v>3.5505186577141219E-4</v>
      </c>
      <c r="T12" s="76">
        <f>+IFERROR(Country_year!AI12/_xlfn.XLOOKUP($B12,'2024 Prices'!$A$2:$A$40,'2024 Prices'!S$2:S$40,,0),0)</f>
        <v>1.6824334235273495E-5</v>
      </c>
      <c r="U12" s="76">
        <f>+IFERROR(Country_year!AJ12/_xlfn.XLOOKUP($B12,'2024 Prices'!$A$2:$A$40,'2024 Prices'!T$2:T$40,,0),0)</f>
        <v>0</v>
      </c>
      <c r="V12" s="76">
        <f>+IFERROR(Country_year!AK12/_xlfn.XLOOKUP($B12,'2024 Prices'!$A$2:$A$40,'2024 Prices'!U$2:U$40,,0),0)</f>
        <v>0</v>
      </c>
      <c r="W12" s="76">
        <f>+IFERROR(Country_year!AL12/_xlfn.XLOOKUP($B12,'2024 Prices'!$A$2:$A$40,'2024 Prices'!V$2:V$40,,0),0)</f>
        <v>0</v>
      </c>
      <c r="X12" s="76">
        <f>+IFERROR(Country_year!AM12/_xlfn.XLOOKUP($B12,'2024 Prices'!$A$2:$A$40,'2024 Prices'!W$2:W$40,,0),0)</f>
        <v>0</v>
      </c>
      <c r="Y12" s="76">
        <f>+IFERROR(Country_year!AN12/_xlfn.XLOOKUP($B12,'2024 Prices'!$A$2:$A$40,'2024 Prices'!X$2:X$40,,0),0)</f>
        <v>0</v>
      </c>
      <c r="Z12" s="76">
        <f>+IFERROR(Country_year!AO12/_xlfn.XLOOKUP($B12,'2024 Prices'!$A$2:$A$40,'2024 Prices'!Y$2:Y$40,,0),0)</f>
        <v>0</v>
      </c>
      <c r="AA12" s="76">
        <f>+IFERROR(Country_year!AP12/_xlfn.XLOOKUP($B12,'2024 Prices'!$A$2:$A$40,'2024 Prices'!Z$2:Z$40,,0),0)</f>
        <v>0</v>
      </c>
      <c r="AB12" s="76">
        <f>+IFERROR(Country_year!AQ12/_xlfn.XLOOKUP($B12,'2024 Prices'!$A$2:$A$40,'2024 Prices'!AA$2:AA$40,,0),0)</f>
        <v>1.9250308741632503E-4</v>
      </c>
      <c r="AC12" s="76">
        <f>+IFERROR(Country_year!AR12/_xlfn.XLOOKUP($B12,'2024 Prices'!$A$2:$A$40,'2024 Prices'!AB$2:AB$40,,0),0)</f>
        <v>9.0396134384280064E-5</v>
      </c>
      <c r="AD12" s="76">
        <f>+IFERROR(Country_year!AS12/_xlfn.XLOOKUP($B12,'2024 Prices'!$A$2:$A$40,'2024 Prices'!AC$2:AC$40,,0),0)</f>
        <v>0</v>
      </c>
      <c r="AE12" s="76">
        <f>+IFERROR(Country_year!AT12/_xlfn.XLOOKUP($B12,'2024 Prices'!$A$2:$A$40,'2024 Prices'!AD$2:AD$40,,0),0)</f>
        <v>0</v>
      </c>
      <c r="AF12" s="77">
        <f>+IFERROR(Country_year!AU12/_xlfn.XLOOKUP($B12,'2024 Prices'!$A$2:$A$40,'2024 Prices'!AE$2:AE$40,,0),0)</f>
        <v>0</v>
      </c>
      <c r="AG12" s="80">
        <f t="shared" si="0"/>
        <v>5.3670736877508745E-5</v>
      </c>
      <c r="AH12" s="80">
        <f t="shared" si="1"/>
        <v>3.1433246866733899E-5</v>
      </c>
      <c r="AI12" s="80">
        <f t="shared" si="2"/>
        <v>-2.2237490010774846E-5</v>
      </c>
    </row>
    <row r="13" spans="1:35" x14ac:dyDescent="0.25">
      <c r="A13" s="70" t="s">
        <v>75</v>
      </c>
      <c r="B13" s="71" t="s">
        <v>20</v>
      </c>
      <c r="C13" s="76">
        <f>+IFERROR(Country_year!R13/_xlfn.XLOOKUP($B13,'2024 Prices'!$A$2:$A$40,'2024 Prices'!B$2:B$40,,0),0)</f>
        <v>1.160053824171775E-3</v>
      </c>
      <c r="D13" s="76">
        <f>+IFERROR(Country_year!S13/_xlfn.XLOOKUP($B13,'2024 Prices'!$A$2:$A$40,'2024 Prices'!C$2:C$40,,0),0)</f>
        <v>4.1643145972195894E-4</v>
      </c>
      <c r="E13" s="76">
        <f>+IFERROR(Country_year!T13/_xlfn.XLOOKUP($B13,'2024 Prices'!$A$2:$A$40,'2024 Prices'!D$2:D$40,,0),0)</f>
        <v>2.4856375896598033E-4</v>
      </c>
      <c r="F13" s="76">
        <f>+IFERROR(Country_year!U13/_xlfn.XLOOKUP($B13,'2024 Prices'!$A$2:$A$40,'2024 Prices'!E$2:E$40,,0),0)</f>
        <v>3.6594901658624487E-4</v>
      </c>
      <c r="G13" s="76">
        <f>+IFERROR(Country_year!V13/_xlfn.XLOOKUP($B13,'2024 Prices'!$A$2:$A$40,'2024 Prices'!F$2:F$40,,0),0)</f>
        <v>7.0056586958064286E-3</v>
      </c>
      <c r="H13" s="76">
        <f>+IFERROR(Country_year!W13/_xlfn.XLOOKUP($B13,'2024 Prices'!$A$2:$A$40,'2024 Prices'!G$2:G$40,,0),0)</f>
        <v>3.9977726221278548E-4</v>
      </c>
      <c r="I13" s="76">
        <f>+IFERROR(Country_year!X13/_xlfn.XLOOKUP($B13,'2024 Prices'!$A$2:$A$40,'2024 Prices'!H$2:H$40,,0),0)</f>
        <v>2.9781785187652838E-4</v>
      </c>
      <c r="J13" s="76">
        <f>+IFERROR(Country_year!Y13/_xlfn.XLOOKUP($B13,'2024 Prices'!$A$2:$A$40,'2024 Prices'!I$2:I$40,,0),0)</f>
        <v>7.0795097510703423E-4</v>
      </c>
      <c r="K13" s="76">
        <f>+IFERROR(Country_year!Z13/_xlfn.XLOOKUP($B13,'2024 Prices'!$A$2:$A$40,'2024 Prices'!J$2:J$40,,0),0)</f>
        <v>2.1133408260377829E-3</v>
      </c>
      <c r="L13" s="76">
        <f>+IFERROR(Country_year!AA13/_xlfn.XLOOKUP($B13,'2024 Prices'!$A$2:$A$40,'2024 Prices'!K$2:K$40,,0),0)</f>
        <v>1.5464738044598529E-5</v>
      </c>
      <c r="M13" s="76">
        <f>+IFERROR(Country_year!AB13/_xlfn.XLOOKUP($B13,'2024 Prices'!$A$2:$A$40,'2024 Prices'!L$2:L$40,,0),0)</f>
        <v>1.0119742894448727E-3</v>
      </c>
      <c r="N13" s="76">
        <f>+IFERROR(Country_year!AC13/_xlfn.XLOOKUP($B13,'2024 Prices'!$A$2:$A$40,'2024 Prices'!M$2:M$40,,0),0)</f>
        <v>6.8348802027954632E-5</v>
      </c>
      <c r="O13" s="76">
        <f>+IFERROR(Country_year!AD13/_xlfn.XLOOKUP($B13,'2024 Prices'!$A$2:$A$40,'2024 Prices'!N$2:N$40,,0),0)</f>
        <v>1.4428060565086336E-4</v>
      </c>
      <c r="P13" s="76">
        <f>+IFERROR(Country_year!AE13/_xlfn.XLOOKUP($B13,'2024 Prices'!$A$2:$A$40,'2024 Prices'!O$2:O$40,,0),0)</f>
        <v>1.3198673907849378E-4</v>
      </c>
      <c r="Q13" s="76">
        <f>+IFERROR(Country_year!AF13/_xlfn.XLOOKUP($B13,'2024 Prices'!$A$2:$A$40,'2024 Prices'!P$2:P$40,,0),0)</f>
        <v>8.2826892327098251E-4</v>
      </c>
      <c r="R13" s="76">
        <f>+IFERROR(Country_year!AG13/_xlfn.XLOOKUP($B13,'2024 Prices'!$A$2:$A$40,'2024 Prices'!Q$2:Q$40,,0),0)</f>
        <v>1.3280571997730589E-3</v>
      </c>
      <c r="S13" s="76">
        <f>+IFERROR(Country_year!AH13/_xlfn.XLOOKUP($B13,'2024 Prices'!$A$2:$A$40,'2024 Prices'!R$2:R$40,,0),0)</f>
        <v>5.5612133719825621E-4</v>
      </c>
      <c r="T13" s="76">
        <f>+IFERROR(Country_year!AI13/_xlfn.XLOOKUP($B13,'2024 Prices'!$A$2:$A$40,'2024 Prices'!S$2:S$40,,0),0)</f>
        <v>4.0034405697717462E-4</v>
      </c>
      <c r="U13" s="76">
        <f>+IFERROR(Country_year!AJ13/_xlfn.XLOOKUP($B13,'2024 Prices'!$A$2:$A$40,'2024 Prices'!T$2:T$40,,0),0)</f>
        <v>4.4630274658115788E-4</v>
      </c>
      <c r="V13" s="76">
        <f>+IFERROR(Country_year!AK13/_xlfn.XLOOKUP($B13,'2024 Prices'!$A$2:$A$40,'2024 Prices'!U$2:U$40,,0),0)</f>
        <v>6.7619781312424146E-4</v>
      </c>
      <c r="W13" s="76">
        <f>+IFERROR(Country_year!AL13/_xlfn.XLOOKUP($B13,'2024 Prices'!$A$2:$A$40,'2024 Prices'!V$2:V$40,,0),0)</f>
        <v>1.8818826840312375E-4</v>
      </c>
      <c r="X13" s="76">
        <f>+IFERROR(Country_year!AM13/_xlfn.XLOOKUP($B13,'2024 Prices'!$A$2:$A$40,'2024 Prices'!W$2:W$40,,0),0)</f>
        <v>6.8763646243051363E-4</v>
      </c>
      <c r="Y13" s="76">
        <f>+IFERROR(Country_year!AN13/_xlfn.XLOOKUP($B13,'2024 Prices'!$A$2:$A$40,'2024 Prices'!X$2:X$40,,0),0)</f>
        <v>1.386923527197343E-3</v>
      </c>
      <c r="Z13" s="76">
        <f>+IFERROR(Country_year!AO13/_xlfn.XLOOKUP($B13,'2024 Prices'!$A$2:$A$40,'2024 Prices'!Y$2:Y$40,,0),0)</f>
        <v>7.2334984882925859E-4</v>
      </c>
      <c r="AA13" s="76">
        <f>+IFERROR(Country_year!AP13/_xlfn.XLOOKUP($B13,'2024 Prices'!$A$2:$A$40,'2024 Prices'!Z$2:Z$40,,0),0)</f>
        <v>1.2169227466734482E-3</v>
      </c>
      <c r="AB13" s="76">
        <f>+IFERROR(Country_year!AQ13/_xlfn.XLOOKUP($B13,'2024 Prices'!$A$2:$A$40,'2024 Prices'!AA$2:AA$40,,0),0)</f>
        <v>1.0468414868888714E-3</v>
      </c>
      <c r="AC13" s="76">
        <f>+IFERROR(Country_year!AR13/_xlfn.XLOOKUP($B13,'2024 Prices'!$A$2:$A$40,'2024 Prices'!AB$2:AB$40,,0),0)</f>
        <v>1.2073131903542532E-3</v>
      </c>
      <c r="AD13" s="76">
        <f>+IFERROR(Country_year!AS13/_xlfn.XLOOKUP($B13,'2024 Prices'!$A$2:$A$40,'2024 Prices'!AC$2:AC$40,,0),0)</f>
        <v>1.5345284551870465E-3</v>
      </c>
      <c r="AE13" s="76">
        <f>+IFERROR(Country_year!AT13/_xlfn.XLOOKUP($B13,'2024 Prices'!$A$2:$A$40,'2024 Prices'!AD$2:AD$40,,0),0)</f>
        <v>5.9883689587566602E-4</v>
      </c>
      <c r="AF13" s="77">
        <f>+IFERROR(Country_year!AU13/_xlfn.XLOOKUP($B13,'2024 Prices'!$A$2:$A$40,'2024 Prices'!AE$2:AE$40,,0),0)</f>
        <v>3.1714021330231926E-4</v>
      </c>
      <c r="AG13" s="80">
        <f t="shared" si="0"/>
        <v>9.0768573389333389E-4</v>
      </c>
      <c r="AH13" s="80">
        <f t="shared" si="1"/>
        <v>9.6883253630430195E-4</v>
      </c>
      <c r="AI13" s="80">
        <f t="shared" si="2"/>
        <v>6.1146802410968061E-5</v>
      </c>
    </row>
    <row r="14" spans="1:35" x14ac:dyDescent="0.25">
      <c r="A14" s="70" t="s">
        <v>69</v>
      </c>
      <c r="B14" s="71" t="s">
        <v>15</v>
      </c>
      <c r="C14" s="76">
        <f>+IFERROR(Country_year!R14/_xlfn.XLOOKUP($B14,'2024 Prices'!$A$2:$A$40,'2024 Prices'!B$2:B$40,,0),0)</f>
        <v>1.7143416664677587E-4</v>
      </c>
      <c r="D14" s="76">
        <f>+IFERROR(Country_year!S14/_xlfn.XLOOKUP($B14,'2024 Prices'!$A$2:$A$40,'2024 Prices'!C$2:C$40,,0),0)</f>
        <v>8.5510674832838549E-5</v>
      </c>
      <c r="E14" s="76">
        <f>+IFERROR(Country_year!T14/_xlfn.XLOOKUP($B14,'2024 Prices'!$A$2:$A$40,'2024 Prices'!D$2:D$40,,0),0)</f>
        <v>1.8297269906819111E-4</v>
      </c>
      <c r="F14" s="76">
        <f>+IFERROR(Country_year!U14/_xlfn.XLOOKUP($B14,'2024 Prices'!$A$2:$A$40,'2024 Prices'!E$2:E$40,,0),0)</f>
        <v>1.1267311632476723E-4</v>
      </c>
      <c r="G14" s="76">
        <f>+IFERROR(Country_year!V14/_xlfn.XLOOKUP($B14,'2024 Prices'!$A$2:$A$40,'2024 Prices'!F$2:F$40,,0),0)</f>
        <v>9.2615596528021081E-4</v>
      </c>
      <c r="H14" s="76">
        <f>+IFERROR(Country_year!W14/_xlfn.XLOOKUP($B14,'2024 Prices'!$A$2:$A$40,'2024 Prices'!G$2:G$40,,0),0)</f>
        <v>9.215151074389945E-5</v>
      </c>
      <c r="I14" s="76">
        <f>+IFERROR(Country_year!X14/_xlfn.XLOOKUP($B14,'2024 Prices'!$A$2:$A$40,'2024 Prices'!H$2:H$40,,0),0)</f>
        <v>2.2252759340029836E-4</v>
      </c>
      <c r="J14" s="76">
        <f>+IFERROR(Country_year!Y14/_xlfn.XLOOKUP($B14,'2024 Prices'!$A$2:$A$40,'2024 Prices'!I$2:I$40,,0),0)</f>
        <v>4.9428820779741211E-3</v>
      </c>
      <c r="K14" s="76">
        <f>+IFERROR(Country_year!Z14/_xlfn.XLOOKUP($B14,'2024 Prices'!$A$2:$A$40,'2024 Prices'!J$2:J$40,,0),0)</f>
        <v>5.4941788995235504E-4</v>
      </c>
      <c r="L14" s="76">
        <f>+IFERROR(Country_year!AA14/_xlfn.XLOOKUP($B14,'2024 Prices'!$A$2:$A$40,'2024 Prices'!K$2:K$40,,0),0)</f>
        <v>3.1410225919264247E-4</v>
      </c>
      <c r="M14" s="76">
        <f>+IFERROR(Country_year!AB14/_xlfn.XLOOKUP($B14,'2024 Prices'!$A$2:$A$40,'2024 Prices'!L$2:L$40,,0),0)</f>
        <v>3.6612337380637831E-4</v>
      </c>
      <c r="N14" s="76">
        <f>+IFERROR(Country_year!AC14/_xlfn.XLOOKUP($B14,'2024 Prices'!$A$2:$A$40,'2024 Prices'!M$2:M$40,,0),0)</f>
        <v>2.2989703509721971E-4</v>
      </c>
      <c r="O14" s="76">
        <f>+IFERROR(Country_year!AD14/_xlfn.XLOOKUP($B14,'2024 Prices'!$A$2:$A$40,'2024 Prices'!N$2:N$40,,0),0)</f>
        <v>1.137568903931711E-3</v>
      </c>
      <c r="P14" s="76">
        <f>+IFERROR(Country_year!AE14/_xlfn.XLOOKUP($B14,'2024 Prices'!$A$2:$A$40,'2024 Prices'!O$2:O$40,,0),0)</f>
        <v>4.9204604287421622E-4</v>
      </c>
      <c r="Q14" s="76">
        <f>+IFERROR(Country_year!AF14/_xlfn.XLOOKUP($B14,'2024 Prices'!$A$2:$A$40,'2024 Prices'!P$2:P$40,,0),0)</f>
        <v>2.4934478198242291E-4</v>
      </c>
      <c r="R14" s="76">
        <f>+IFERROR(Country_year!AG14/_xlfn.XLOOKUP($B14,'2024 Prices'!$A$2:$A$40,'2024 Prices'!Q$2:Q$40,,0),0)</f>
        <v>1.0406118474783183E-3</v>
      </c>
      <c r="S14" s="76">
        <f>+IFERROR(Country_year!AH14/_xlfn.XLOOKUP($B14,'2024 Prices'!$A$2:$A$40,'2024 Prices'!R$2:R$40,,0),0)</f>
        <v>1.6685353396747021E-4</v>
      </c>
      <c r="T14" s="76">
        <f>+IFERROR(Country_year!AI14/_xlfn.XLOOKUP($B14,'2024 Prices'!$A$2:$A$40,'2024 Prices'!S$2:S$40,,0),0)</f>
        <v>2.5492088300391466E-5</v>
      </c>
      <c r="U14" s="76">
        <f>+IFERROR(Country_year!AJ14/_xlfn.XLOOKUP($B14,'2024 Prices'!$A$2:$A$40,'2024 Prices'!T$2:T$40,,0),0)</f>
        <v>2.4416174418879343E-3</v>
      </c>
      <c r="V14" s="76">
        <f>+IFERROR(Country_year!AK14/_xlfn.XLOOKUP($B14,'2024 Prices'!$A$2:$A$40,'2024 Prices'!U$2:U$40,,0),0)</f>
        <v>4.8981152488553612E-4</v>
      </c>
      <c r="W14" s="76">
        <f>+IFERROR(Country_year!AL14/_xlfn.XLOOKUP($B14,'2024 Prices'!$A$2:$A$40,'2024 Prices'!V$2:V$40,,0),0)</f>
        <v>4.4507413433888935E-4</v>
      </c>
      <c r="X14" s="76">
        <f>+IFERROR(Country_year!AM14/_xlfn.XLOOKUP($B14,'2024 Prices'!$A$2:$A$40,'2024 Prices'!W$2:W$40,,0),0)</f>
        <v>5.7854098936407005E-4</v>
      </c>
      <c r="Y14" s="76">
        <f>+IFERROR(Country_year!AN14/_xlfn.XLOOKUP($B14,'2024 Prices'!$A$2:$A$40,'2024 Prices'!X$2:X$40,,0),0)</f>
        <v>7.9812314799285265E-4</v>
      </c>
      <c r="Z14" s="76">
        <f>+IFERROR(Country_year!AO14/_xlfn.XLOOKUP($B14,'2024 Prices'!$A$2:$A$40,'2024 Prices'!Y$2:Y$40,,0),0)</f>
        <v>1.3595894682940635E-3</v>
      </c>
      <c r="AA14" s="76">
        <f>+IFERROR(Country_year!AP14/_xlfn.XLOOKUP($B14,'2024 Prices'!$A$2:$A$40,'2024 Prices'!Z$2:Z$40,,0),0)</f>
        <v>1.0771484169872173E-3</v>
      </c>
      <c r="AB14" s="76">
        <f>+IFERROR(Country_year!AQ14/_xlfn.XLOOKUP($B14,'2024 Prices'!$A$2:$A$40,'2024 Prices'!AA$2:AA$40,,0),0)</f>
        <v>2.1557341706248751E-4</v>
      </c>
      <c r="AC14" s="76">
        <f>+IFERROR(Country_year!AR14/_xlfn.XLOOKUP($B14,'2024 Prices'!$A$2:$A$40,'2024 Prices'!AB$2:AB$40,,0),0)</f>
        <v>4.8087861981897569E-3</v>
      </c>
      <c r="AD14" s="76">
        <f>+IFERROR(Country_year!AS14/_xlfn.XLOOKUP($B14,'2024 Prices'!$A$2:$A$40,'2024 Prices'!AC$2:AC$40,,0),0)</f>
        <v>1.1888497903955937E-3</v>
      </c>
      <c r="AE14" s="76">
        <f>+IFERROR(Country_year!AT14/_xlfn.XLOOKUP($B14,'2024 Prices'!$A$2:$A$40,'2024 Prices'!AD$2:AD$40,,0),0)</f>
        <v>2.2535477459277876E-4</v>
      </c>
      <c r="AF14" s="77">
        <f>+IFERROR(Country_year!AU14/_xlfn.XLOOKUP($B14,'2024 Prices'!$A$2:$A$40,'2024 Prices'!AE$2:AE$40,,0),0)</f>
        <v>5.1449493633330711E-4</v>
      </c>
      <c r="AG14" s="80">
        <f t="shared" si="0"/>
        <v>8.4835766003929047E-4</v>
      </c>
      <c r="AH14" s="80">
        <f t="shared" si="1"/>
        <v>1.1962734599124587E-3</v>
      </c>
      <c r="AI14" s="80">
        <f t="shared" si="2"/>
        <v>3.4791579987316821E-4</v>
      </c>
    </row>
    <row r="15" spans="1:35" x14ac:dyDescent="0.25">
      <c r="A15" s="70" t="s">
        <v>72</v>
      </c>
      <c r="B15" s="71" t="s">
        <v>18</v>
      </c>
      <c r="C15" s="76">
        <f>+IFERROR(Country_year!R15/_xlfn.XLOOKUP($B15,'2024 Prices'!$A$2:$A$40,'2024 Prices'!B$2:B$40,,0),0)</f>
        <v>6.3783094645468207E-3</v>
      </c>
      <c r="D15" s="76">
        <f>+IFERROR(Country_year!S15/_xlfn.XLOOKUP($B15,'2024 Prices'!$A$2:$A$40,'2024 Prices'!C$2:C$40,,0),0)</f>
        <v>9.2678705735873942E-6</v>
      </c>
      <c r="E15" s="76">
        <f>+IFERROR(Country_year!T15/_xlfn.XLOOKUP($B15,'2024 Prices'!$A$2:$A$40,'2024 Prices'!D$2:D$40,,0),0)</f>
        <v>8.0947870161360205E-4</v>
      </c>
      <c r="F15" s="76">
        <f>+IFERROR(Country_year!U15/_xlfn.XLOOKUP($B15,'2024 Prices'!$A$2:$A$40,'2024 Prices'!E$2:E$40,,0),0)</f>
        <v>3.6746286972393618E-3</v>
      </c>
      <c r="G15" s="76">
        <f>+IFERROR(Country_year!V15/_xlfn.XLOOKUP($B15,'2024 Prices'!$A$2:$A$40,'2024 Prices'!F$2:F$40,,0),0)</f>
        <v>2.144541868848979E-2</v>
      </c>
      <c r="H15" s="76">
        <f>+IFERROR(Country_year!W15/_xlfn.XLOOKUP($B15,'2024 Prices'!$A$2:$A$40,'2024 Prices'!G$2:G$40,,0),0)</f>
        <v>1.9699707125848597E-5</v>
      </c>
      <c r="I15" s="76">
        <f>+IFERROR(Country_year!X15/_xlfn.XLOOKUP($B15,'2024 Prices'!$A$2:$A$40,'2024 Prices'!H$2:H$40,,0),0)</f>
        <v>2.9243604262393328E-4</v>
      </c>
      <c r="J15" s="76">
        <f>+IFERROR(Country_year!Y15/_xlfn.XLOOKUP($B15,'2024 Prices'!$A$2:$A$40,'2024 Prices'!I$2:I$40,,0),0)</f>
        <v>1.2147722897077234E-4</v>
      </c>
      <c r="K15" s="76">
        <f>+IFERROR(Country_year!Z15/_xlfn.XLOOKUP($B15,'2024 Prices'!$A$2:$A$40,'2024 Prices'!J$2:J$40,,0),0)</f>
        <v>4.3383619774425841E-3</v>
      </c>
      <c r="L15" s="76">
        <f>+IFERROR(Country_year!AA15/_xlfn.XLOOKUP($B15,'2024 Prices'!$A$2:$A$40,'2024 Prices'!K$2:K$40,,0),0)</f>
        <v>9.8075360096227474E-4</v>
      </c>
      <c r="M15" s="76">
        <f>+IFERROR(Country_year!AB15/_xlfn.XLOOKUP($B15,'2024 Prices'!$A$2:$A$40,'2024 Prices'!L$2:L$40,,0),0)</f>
        <v>0</v>
      </c>
      <c r="N15" s="76">
        <f>+IFERROR(Country_year!AC15/_xlfn.XLOOKUP($B15,'2024 Prices'!$A$2:$A$40,'2024 Prices'!M$2:M$40,,0),0)</f>
        <v>1.1406664302623713E-3</v>
      </c>
      <c r="O15" s="76">
        <f>+IFERROR(Country_year!AD15/_xlfn.XLOOKUP($B15,'2024 Prices'!$A$2:$A$40,'2024 Prices'!N$2:N$40,,0),0)</f>
        <v>3.3853752763795212E-3</v>
      </c>
      <c r="P15" s="76">
        <f>+IFERROR(Country_year!AE15/_xlfn.XLOOKUP($B15,'2024 Prices'!$A$2:$A$40,'2024 Prices'!O$2:O$40,,0),0)</f>
        <v>2.7125609236006277E-5</v>
      </c>
      <c r="Q15" s="76">
        <f>+IFERROR(Country_year!AF15/_xlfn.XLOOKUP($B15,'2024 Prices'!$A$2:$A$40,'2024 Prices'!P$2:P$40,,0),0)</f>
        <v>2.0868346598200473E-4</v>
      </c>
      <c r="R15" s="76">
        <f>+IFERROR(Country_year!AG15/_xlfn.XLOOKUP($B15,'2024 Prices'!$A$2:$A$40,'2024 Prices'!Q$2:Q$40,,0),0)</f>
        <v>3.1197574019038076E-6</v>
      </c>
      <c r="S15" s="76">
        <f>+IFERROR(Country_year!AH15/_xlfn.XLOOKUP($B15,'2024 Prices'!$A$2:$A$40,'2024 Prices'!R$2:R$40,,0),0)</f>
        <v>0</v>
      </c>
      <c r="T15" s="76">
        <f>+IFERROR(Country_year!AI15/_xlfn.XLOOKUP($B15,'2024 Prices'!$A$2:$A$40,'2024 Prices'!S$2:S$40,,0),0)</f>
        <v>2.4379841048787357E-8</v>
      </c>
      <c r="U15" s="76">
        <f>+IFERROR(Country_year!AJ15/_xlfn.XLOOKUP($B15,'2024 Prices'!$A$2:$A$40,'2024 Prices'!T$2:T$40,,0),0)</f>
        <v>9.4979412064719355E-5</v>
      </c>
      <c r="V15" s="76">
        <f>+IFERROR(Country_year!AK15/_xlfn.XLOOKUP($B15,'2024 Prices'!$A$2:$A$40,'2024 Prices'!U$2:U$40,,0),0)</f>
        <v>5.1005062218828804E-4</v>
      </c>
      <c r="W15" s="76">
        <f>+IFERROR(Country_year!AL15/_xlfn.XLOOKUP($B15,'2024 Prices'!$A$2:$A$40,'2024 Prices'!V$2:V$40,,0),0)</f>
        <v>1.3731233159646108E-3</v>
      </c>
      <c r="X15" s="76">
        <f>+IFERROR(Country_year!AM15/_xlfn.XLOOKUP($B15,'2024 Prices'!$A$2:$A$40,'2024 Prices'!W$2:W$40,,0),0)</f>
        <v>1.7246195940802874E-4</v>
      </c>
      <c r="Y15" s="76">
        <f>+IFERROR(Country_year!AN15/_xlfn.XLOOKUP($B15,'2024 Prices'!$A$2:$A$40,'2024 Prices'!X$2:X$40,,0),0)</f>
        <v>9.6903641079515077E-4</v>
      </c>
      <c r="Z15" s="76">
        <f>+IFERROR(Country_year!AO15/_xlfn.XLOOKUP($B15,'2024 Prices'!$A$2:$A$40,'2024 Prices'!Y$2:Y$40,,0),0)</f>
        <v>2.1894116600222906E-4</v>
      </c>
      <c r="AA15" s="76">
        <f>+IFERROR(Country_year!AP15/_xlfn.XLOOKUP($B15,'2024 Prices'!$A$2:$A$40,'2024 Prices'!Z$2:Z$40,,0),0)</f>
        <v>8.9426569144229534E-4</v>
      </c>
      <c r="AB15" s="76">
        <f>+IFERROR(Country_year!AQ15/_xlfn.XLOOKUP($B15,'2024 Prices'!$A$2:$A$40,'2024 Prices'!AA$2:AA$40,,0),0)</f>
        <v>3.5829216465187268E-3</v>
      </c>
      <c r="AC15" s="76">
        <f>+IFERROR(Country_year!AR15/_xlfn.XLOOKUP($B15,'2024 Prices'!$A$2:$A$40,'2024 Prices'!AB$2:AB$40,,0),0)</f>
        <v>1.8651134986876828E-3</v>
      </c>
      <c r="AD15" s="76">
        <f>+IFERROR(Country_year!AS15/_xlfn.XLOOKUP($B15,'2024 Prices'!$A$2:$A$40,'2024 Prices'!AC$2:AC$40,,0),0)</f>
        <v>4.6808448971935669E-5</v>
      </c>
      <c r="AE15" s="76">
        <f>+IFERROR(Country_year!AT15/_xlfn.XLOOKUP($B15,'2024 Prices'!$A$2:$A$40,'2024 Prices'!AD$2:AD$40,,0),0)</f>
        <v>8.269927738258992E-3</v>
      </c>
      <c r="AF15" s="77">
        <f>+IFERROR(Country_year!AU15/_xlfn.XLOOKUP($B15,'2024 Prices'!$A$2:$A$40,'2024 Prices'!AE$2:AE$40,,0),0)</f>
        <v>6.7967306899799514E-4</v>
      </c>
      <c r="AG15" s="80">
        <f t="shared" si="0"/>
        <v>2.0504043292664024E-3</v>
      </c>
      <c r="AH15" s="80">
        <f t="shared" si="1"/>
        <v>1.8554610698981152E-3</v>
      </c>
      <c r="AI15" s="80">
        <f t="shared" si="2"/>
        <v>-1.949432593682872E-4</v>
      </c>
    </row>
    <row r="16" spans="1:35" x14ac:dyDescent="0.25">
      <c r="A16" s="70" t="s">
        <v>77</v>
      </c>
      <c r="B16" s="71" t="s">
        <v>27</v>
      </c>
      <c r="C16" s="76">
        <f>+IFERROR(Country_year!R16/_xlfn.XLOOKUP($B16,'2024 Prices'!$A$2:$A$40,'2024 Prices'!B$2:B$40,,0),0)</f>
        <v>6.0467660481336583E-6</v>
      </c>
      <c r="D16" s="76">
        <f>+IFERROR(Country_year!S16/_xlfn.XLOOKUP($B16,'2024 Prices'!$A$2:$A$40,'2024 Prices'!C$2:C$40,,0),0)</f>
        <v>0</v>
      </c>
      <c r="E16" s="76">
        <f>+IFERROR(Country_year!T16/_xlfn.XLOOKUP($B16,'2024 Prices'!$A$2:$A$40,'2024 Prices'!D$2:D$40,,0),0)</f>
        <v>2.1302761021049942E-4</v>
      </c>
      <c r="F16" s="76">
        <f>+IFERROR(Country_year!U16/_xlfn.XLOOKUP($B16,'2024 Prices'!$A$2:$A$40,'2024 Prices'!E$2:E$40,,0),0)</f>
        <v>4.9016322149878324E-4</v>
      </c>
      <c r="G16" s="76">
        <f>+IFERROR(Country_year!V16/_xlfn.XLOOKUP($B16,'2024 Prices'!$A$2:$A$40,'2024 Prices'!F$2:F$40,,0),0)</f>
        <v>1.0283049260836194E-2</v>
      </c>
      <c r="H16" s="76">
        <f>+IFERROR(Country_year!W16/_xlfn.XLOOKUP($B16,'2024 Prices'!$A$2:$A$40,'2024 Prices'!G$2:G$40,,0),0)</f>
        <v>9.7594941081901817E-4</v>
      </c>
      <c r="I16" s="76">
        <f>+IFERROR(Country_year!X16/_xlfn.XLOOKUP($B16,'2024 Prices'!$A$2:$A$40,'2024 Prices'!H$2:H$40,,0),0)</f>
        <v>2.4980163380708257E-3</v>
      </c>
      <c r="J16" s="76">
        <f>+IFERROR(Country_year!Y16/_xlfn.XLOOKUP($B16,'2024 Prices'!$A$2:$A$40,'2024 Prices'!I$2:I$40,,0),0)</f>
        <v>2.8681300516949506E-4</v>
      </c>
      <c r="K16" s="76">
        <f>+IFERROR(Country_year!Z16/_xlfn.XLOOKUP($B16,'2024 Prices'!$A$2:$A$40,'2024 Prices'!J$2:J$40,,0),0)</f>
        <v>3.938678930718989E-3</v>
      </c>
      <c r="L16" s="76">
        <f>+IFERROR(Country_year!AA16/_xlfn.XLOOKUP($B16,'2024 Prices'!$A$2:$A$40,'2024 Prices'!K$2:K$40,,0),0)</f>
        <v>2.5605344857206396E-5</v>
      </c>
      <c r="M16" s="76">
        <f>+IFERROR(Country_year!AB16/_xlfn.XLOOKUP($B16,'2024 Prices'!$A$2:$A$40,'2024 Prices'!L$2:L$40,,0),0)</f>
        <v>5.1544550040192151E-4</v>
      </c>
      <c r="N16" s="76">
        <f>+IFERROR(Country_year!AC16/_xlfn.XLOOKUP($B16,'2024 Prices'!$A$2:$A$40,'2024 Prices'!M$2:M$40,,0),0)</f>
        <v>3.408356967573059E-3</v>
      </c>
      <c r="O16" s="76">
        <f>+IFERROR(Country_year!AD16/_xlfn.XLOOKUP($B16,'2024 Prices'!$A$2:$A$40,'2024 Prices'!N$2:N$40,,0),0)</f>
        <v>0</v>
      </c>
      <c r="P16" s="76">
        <f>+IFERROR(Country_year!AE16/_xlfn.XLOOKUP($B16,'2024 Prices'!$A$2:$A$40,'2024 Prices'!O$2:O$40,,0),0)</f>
        <v>0</v>
      </c>
      <c r="Q16" s="76">
        <f>+IFERROR(Country_year!AF16/_xlfn.XLOOKUP($B16,'2024 Prices'!$A$2:$A$40,'2024 Prices'!P$2:P$40,,0),0)</f>
        <v>0</v>
      </c>
      <c r="R16" s="76">
        <f>+IFERROR(Country_year!AG16/_xlfn.XLOOKUP($B16,'2024 Prices'!$A$2:$A$40,'2024 Prices'!Q$2:Q$40,,0),0)</f>
        <v>4.730203775734518E-3</v>
      </c>
      <c r="S16" s="76">
        <f>+IFERROR(Country_year!AH16/_xlfn.XLOOKUP($B16,'2024 Prices'!$A$2:$A$40,'2024 Prices'!R$2:R$40,,0),0)</f>
        <v>1.7001249515120933E-4</v>
      </c>
      <c r="T16" s="76">
        <f>+IFERROR(Country_year!AI16/_xlfn.XLOOKUP($B16,'2024 Prices'!$A$2:$A$40,'2024 Prices'!S$2:S$40,,0),0)</f>
        <v>1.278267278387566E-4</v>
      </c>
      <c r="U16" s="76">
        <f>+IFERROR(Country_year!AJ16/_xlfn.XLOOKUP($B16,'2024 Prices'!$A$2:$A$40,'2024 Prices'!T$2:T$40,,0),0)</f>
        <v>1.6109231365447557E-4</v>
      </c>
      <c r="V16" s="76">
        <f>+IFERROR(Country_year!AK16/_xlfn.XLOOKUP($B16,'2024 Prices'!$A$2:$A$40,'2024 Prices'!U$2:U$40,,0),0)</f>
        <v>9.9555230378107546E-5</v>
      </c>
      <c r="W16" s="76">
        <f>+IFERROR(Country_year!AL16/_xlfn.XLOOKUP($B16,'2024 Prices'!$A$2:$A$40,'2024 Prices'!V$2:V$40,,0),0)</f>
        <v>1.1177177394553243E-4</v>
      </c>
      <c r="X16" s="76">
        <f>+IFERROR(Country_year!AM16/_xlfn.XLOOKUP($B16,'2024 Prices'!$A$2:$A$40,'2024 Prices'!W$2:W$40,,0),0)</f>
        <v>3.6755126895856768E-5</v>
      </c>
      <c r="Y16" s="76">
        <f>+IFERROR(Country_year!AN16/_xlfn.XLOOKUP($B16,'2024 Prices'!$A$2:$A$40,'2024 Prices'!X$2:X$40,,0),0)</f>
        <v>8.6945528813975562E-5</v>
      </c>
      <c r="Z16" s="76">
        <f>+IFERROR(Country_year!AO16/_xlfn.XLOOKUP($B16,'2024 Prices'!$A$2:$A$40,'2024 Prices'!Y$2:Y$40,,0),0)</f>
        <v>2.2626263974570423E-5</v>
      </c>
      <c r="AA16" s="76">
        <f>+IFERROR(Country_year!AP16/_xlfn.XLOOKUP($B16,'2024 Prices'!$A$2:$A$40,'2024 Prices'!Z$2:Z$40,,0),0)</f>
        <v>3.5955453296344658E-5</v>
      </c>
      <c r="AB16" s="76">
        <f>+IFERROR(Country_year!AQ16/_xlfn.XLOOKUP($B16,'2024 Prices'!$A$2:$A$40,'2024 Prices'!AA$2:AA$40,,0),0)</f>
        <v>3.8462858105959457E-5</v>
      </c>
      <c r="AC16" s="76">
        <f>+IFERROR(Country_year!AR16/_xlfn.XLOOKUP($B16,'2024 Prices'!$A$2:$A$40,'2024 Prices'!AB$2:AB$40,,0),0)</f>
        <v>8.5341526294041369E-5</v>
      </c>
      <c r="AD16" s="76">
        <f>+IFERROR(Country_year!AS16/_xlfn.XLOOKUP($B16,'2024 Prices'!$A$2:$A$40,'2024 Prices'!AC$2:AC$40,,0),0)</f>
        <v>5.1878661997099571E-3</v>
      </c>
      <c r="AE16" s="76">
        <f>+IFERROR(Country_year!AT16/_xlfn.XLOOKUP($B16,'2024 Prices'!$A$2:$A$40,'2024 Prices'!AD$2:AD$40,,0),0)</f>
        <v>5.9247204173779877E-5</v>
      </c>
      <c r="AF16" s="77">
        <f>+IFERROR(Country_year!AU16/_xlfn.XLOOKUP($B16,'2024 Prices'!$A$2:$A$40,'2024 Prices'!AE$2:AE$40,,0),0)</f>
        <v>4.0725840255921754E-5</v>
      </c>
      <c r="AG16" s="80">
        <f t="shared" si="0"/>
        <v>1.1211846891475709E-3</v>
      </c>
      <c r="AH16" s="80">
        <f t="shared" si="1"/>
        <v>6.2154733350226732E-4</v>
      </c>
      <c r="AI16" s="80">
        <f t="shared" si="2"/>
        <v>-4.9963735564530361E-4</v>
      </c>
    </row>
    <row r="17" spans="1:35" x14ac:dyDescent="0.25">
      <c r="A17" s="70" t="s">
        <v>79</v>
      </c>
      <c r="B17" s="71" t="s">
        <v>38</v>
      </c>
      <c r="C17" s="76">
        <f>+IFERROR(Country_year!R17/_xlfn.XLOOKUP($B17,'2024 Prices'!$A$2:$A$40,'2024 Prices'!B$2:B$40,,0),0)</f>
        <v>1.1025091967276121E-3</v>
      </c>
      <c r="D17" s="76">
        <f>+IFERROR(Country_year!S17/_xlfn.XLOOKUP($B17,'2024 Prices'!$A$2:$A$40,'2024 Prices'!C$2:C$40,,0),0)</f>
        <v>5.0133079092678657E-3</v>
      </c>
      <c r="E17" s="76">
        <f>+IFERROR(Country_year!T17/_xlfn.XLOOKUP($B17,'2024 Prices'!$A$2:$A$40,'2024 Prices'!D$2:D$40,,0),0)</f>
        <v>0</v>
      </c>
      <c r="F17" s="76">
        <f>+IFERROR(Country_year!U17/_xlfn.XLOOKUP($B17,'2024 Prices'!$A$2:$A$40,'2024 Prices'!E$2:E$40,,0),0)</f>
        <v>0</v>
      </c>
      <c r="G17" s="76">
        <f>+IFERROR(Country_year!V17/_xlfn.XLOOKUP($B17,'2024 Prices'!$A$2:$A$40,'2024 Prices'!F$2:F$40,,0),0)</f>
        <v>0</v>
      </c>
      <c r="H17" s="76">
        <f>+IFERROR(Country_year!W17/_xlfn.XLOOKUP($B17,'2024 Prices'!$A$2:$A$40,'2024 Prices'!G$2:G$40,,0),0)</f>
        <v>3.2267640336034673E-3</v>
      </c>
      <c r="I17" s="76">
        <f>+IFERROR(Country_year!X17/_xlfn.XLOOKUP($B17,'2024 Prices'!$A$2:$A$40,'2024 Prices'!H$2:H$40,,0),0)</f>
        <v>0</v>
      </c>
      <c r="J17" s="76">
        <f>+IFERROR(Country_year!Y17/_xlfn.XLOOKUP($B17,'2024 Prices'!$A$2:$A$40,'2024 Prices'!I$2:I$40,,0),0)</f>
        <v>0</v>
      </c>
      <c r="K17" s="76">
        <f>+IFERROR(Country_year!Z17/_xlfn.XLOOKUP($B17,'2024 Prices'!$A$2:$A$40,'2024 Prices'!J$2:J$40,,0),0)</f>
        <v>0</v>
      </c>
      <c r="L17" s="76">
        <f>+IFERROR(Country_year!AA17/_xlfn.XLOOKUP($B17,'2024 Prices'!$A$2:$A$40,'2024 Prices'!K$2:K$40,,0),0)</f>
        <v>0</v>
      </c>
      <c r="M17" s="76">
        <f>+IFERROR(Country_year!AB17/_xlfn.XLOOKUP($B17,'2024 Prices'!$A$2:$A$40,'2024 Prices'!L$2:L$40,,0),0)</f>
        <v>0</v>
      </c>
      <c r="N17" s="76">
        <f>+IFERROR(Country_year!AC17/_xlfn.XLOOKUP($B17,'2024 Prices'!$A$2:$A$40,'2024 Prices'!M$2:M$40,,0),0)</f>
        <v>1.2353404718861541E-4</v>
      </c>
      <c r="O17" s="76">
        <f>+IFERROR(Country_year!AD17/_xlfn.XLOOKUP($B17,'2024 Prices'!$A$2:$A$40,'2024 Prices'!N$2:N$40,,0),0)</f>
        <v>0</v>
      </c>
      <c r="P17" s="76">
        <f>+IFERROR(Country_year!AE17/_xlfn.XLOOKUP($B17,'2024 Prices'!$A$2:$A$40,'2024 Prices'!O$2:O$40,,0),0)</f>
        <v>5.1980236576936187E-3</v>
      </c>
      <c r="Q17" s="76">
        <f>+IFERROR(Country_year!AF17/_xlfn.XLOOKUP($B17,'2024 Prices'!$A$2:$A$40,'2024 Prices'!P$2:P$40,,0),0)</f>
        <v>0</v>
      </c>
      <c r="R17" s="76">
        <f>+IFERROR(Country_year!AG17/_xlfn.XLOOKUP($B17,'2024 Prices'!$A$2:$A$40,'2024 Prices'!Q$2:Q$40,,0),0)</f>
        <v>3.8504436920604947E-3</v>
      </c>
      <c r="S17" s="76">
        <f>+IFERROR(Country_year!AH17/_xlfn.XLOOKUP($B17,'2024 Prices'!$A$2:$A$40,'2024 Prices'!R$2:R$40,,0),0)</f>
        <v>3.198478762830588E-3</v>
      </c>
      <c r="T17" s="76">
        <f>+IFERROR(Country_year!AI17/_xlfn.XLOOKUP($B17,'2024 Prices'!$A$2:$A$40,'2024 Prices'!S$2:S$40,,0),0)</f>
        <v>1.5555999781925237E-4</v>
      </c>
      <c r="U17" s="76">
        <f>+IFERROR(Country_year!AJ17/_xlfn.XLOOKUP($B17,'2024 Prices'!$A$2:$A$40,'2024 Prices'!T$2:T$40,,0),0)</f>
        <v>0</v>
      </c>
      <c r="V17" s="76">
        <f>+IFERROR(Country_year!AK17/_xlfn.XLOOKUP($B17,'2024 Prices'!$A$2:$A$40,'2024 Prices'!U$2:U$40,,0),0)</f>
        <v>0</v>
      </c>
      <c r="W17" s="76">
        <f>+IFERROR(Country_year!AL17/_xlfn.XLOOKUP($B17,'2024 Prices'!$A$2:$A$40,'2024 Prices'!V$2:V$40,,0),0)</f>
        <v>0</v>
      </c>
      <c r="X17" s="76">
        <f>+IFERROR(Country_year!AM17/_xlfn.XLOOKUP($B17,'2024 Prices'!$A$2:$A$40,'2024 Prices'!W$2:W$40,,0),0)</f>
        <v>0</v>
      </c>
      <c r="Y17" s="76">
        <f>+IFERROR(Country_year!AN17/_xlfn.XLOOKUP($B17,'2024 Prices'!$A$2:$A$40,'2024 Prices'!X$2:X$40,,0),0)</f>
        <v>0</v>
      </c>
      <c r="Z17" s="76">
        <f>+IFERROR(Country_year!AO17/_xlfn.XLOOKUP($B17,'2024 Prices'!$A$2:$A$40,'2024 Prices'!Y$2:Y$40,,0),0)</f>
        <v>0</v>
      </c>
      <c r="AA17" s="76">
        <f>+IFERROR(Country_year!AP17/_xlfn.XLOOKUP($B17,'2024 Prices'!$A$2:$A$40,'2024 Prices'!Z$2:Z$40,,0),0)</f>
        <v>0</v>
      </c>
      <c r="AB17" s="76">
        <f>+IFERROR(Country_year!AQ17/_xlfn.XLOOKUP($B17,'2024 Prices'!$A$2:$A$40,'2024 Prices'!AA$2:AA$40,,0),0)</f>
        <v>0</v>
      </c>
      <c r="AC17" s="76">
        <f>+IFERROR(Country_year!AR17/_xlfn.XLOOKUP($B17,'2024 Prices'!$A$2:$A$40,'2024 Prices'!AB$2:AB$40,,0),0)</f>
        <v>0</v>
      </c>
      <c r="AD17" s="76">
        <f>+IFERROR(Country_year!AS17/_xlfn.XLOOKUP($B17,'2024 Prices'!$A$2:$A$40,'2024 Prices'!AC$2:AC$40,,0),0)</f>
        <v>0</v>
      </c>
      <c r="AE17" s="76">
        <f>+IFERROR(Country_year!AT17/_xlfn.XLOOKUP($B17,'2024 Prices'!$A$2:$A$40,'2024 Prices'!AD$2:AD$40,,0),0)</f>
        <v>1.3364128615007797E-3</v>
      </c>
      <c r="AF17" s="77">
        <f>+IFERROR(Country_year!AU17/_xlfn.XLOOKUP($B17,'2024 Prices'!$A$2:$A$40,'2024 Prices'!AE$2:AE$40,,0),0)</f>
        <v>0</v>
      </c>
      <c r="AG17" s="80">
        <f t="shared" si="0"/>
        <v>7.7350113862307646E-4</v>
      </c>
      <c r="AH17" s="80">
        <f t="shared" si="1"/>
        <v>1.4849031794453109E-4</v>
      </c>
      <c r="AI17" s="80">
        <f t="shared" si="2"/>
        <v>-6.2501082067854537E-4</v>
      </c>
    </row>
    <row r="18" spans="1:35" x14ac:dyDescent="0.25">
      <c r="A18" s="70" t="s">
        <v>78</v>
      </c>
      <c r="B18" s="71" t="s">
        <v>17</v>
      </c>
      <c r="C18" s="76">
        <f>+IFERROR(Country_year!R18/_xlfn.XLOOKUP($B18,'2024 Prices'!$A$2:$A$40,'2024 Prices'!B$2:B$40,,0),0)</f>
        <v>2.3472614526681143E-4</v>
      </c>
      <c r="D18" s="76">
        <f>+IFERROR(Country_year!S18/_xlfn.XLOOKUP($B18,'2024 Prices'!$A$2:$A$40,'2024 Prices'!C$2:C$40,,0),0)</f>
        <v>1.3199979692338937E-5</v>
      </c>
      <c r="E18" s="76">
        <f>+IFERROR(Country_year!T18/_xlfn.XLOOKUP($B18,'2024 Prices'!$A$2:$A$40,'2024 Prices'!D$2:D$40,,0),0)</f>
        <v>3.993665558161422E-4</v>
      </c>
      <c r="F18" s="76">
        <f>+IFERROR(Country_year!U18/_xlfn.XLOOKUP($B18,'2024 Prices'!$A$2:$A$40,'2024 Prices'!E$2:E$40,,0),0)</f>
        <v>4.6517625763934234E-7</v>
      </c>
      <c r="G18" s="76">
        <f>+IFERROR(Country_year!V18/_xlfn.XLOOKUP($B18,'2024 Prices'!$A$2:$A$40,'2024 Prices'!F$2:F$40,,0),0)</f>
        <v>9.1482985310530659E-4</v>
      </c>
      <c r="H18" s="76">
        <f>+IFERROR(Country_year!W18/_xlfn.XLOOKUP($B18,'2024 Prices'!$A$2:$A$40,'2024 Prices'!G$2:G$40,,0),0)</f>
        <v>8.4512911315578749E-4</v>
      </c>
      <c r="I18" s="76">
        <f>+IFERROR(Country_year!X18/_xlfn.XLOOKUP($B18,'2024 Prices'!$A$2:$A$40,'2024 Prices'!H$2:H$40,,0),0)</f>
        <v>0</v>
      </c>
      <c r="J18" s="76">
        <f>+IFERROR(Country_year!Y18/_xlfn.XLOOKUP($B18,'2024 Prices'!$A$2:$A$40,'2024 Prices'!I$2:I$40,,0),0)</f>
        <v>3.8532555274000568E-4</v>
      </c>
      <c r="K18" s="76">
        <f>+IFERROR(Country_year!Z18/_xlfn.XLOOKUP($B18,'2024 Prices'!$A$2:$A$40,'2024 Prices'!J$2:J$40,,0),0)</f>
        <v>0</v>
      </c>
      <c r="L18" s="76">
        <f>+IFERROR(Country_year!AA18/_xlfn.XLOOKUP($B18,'2024 Prices'!$A$2:$A$40,'2024 Prices'!K$2:K$40,,0),0)</f>
        <v>2.1757895910688542E-4</v>
      </c>
      <c r="M18" s="76">
        <f>+IFERROR(Country_year!AB18/_xlfn.XLOOKUP($B18,'2024 Prices'!$A$2:$A$40,'2024 Prices'!L$2:L$40,,0),0)</f>
        <v>0</v>
      </c>
      <c r="N18" s="76">
        <f>+IFERROR(Country_year!AC18/_xlfn.XLOOKUP($B18,'2024 Prices'!$A$2:$A$40,'2024 Prices'!M$2:M$40,,0),0)</f>
        <v>9.3196596680793252E-6</v>
      </c>
      <c r="O18" s="76">
        <f>+IFERROR(Country_year!AD18/_xlfn.XLOOKUP($B18,'2024 Prices'!$A$2:$A$40,'2024 Prices'!N$2:N$40,,0),0)</f>
        <v>1.3279569751476549E-6</v>
      </c>
      <c r="P18" s="76">
        <f>+IFERROR(Country_year!AE18/_xlfn.XLOOKUP($B18,'2024 Prices'!$A$2:$A$40,'2024 Prices'!O$2:O$40,,0),0)</f>
        <v>2.8744477484073734E-4</v>
      </c>
      <c r="Q18" s="76">
        <f>+IFERROR(Country_year!AF18/_xlfn.XLOOKUP($B18,'2024 Prices'!$A$2:$A$40,'2024 Prices'!P$2:P$40,,0),0)</f>
        <v>8.2980725851826854E-4</v>
      </c>
      <c r="R18" s="76">
        <f>+IFERROR(Country_year!AG18/_xlfn.XLOOKUP($B18,'2024 Prices'!$A$2:$A$40,'2024 Prices'!Q$2:Q$40,,0),0)</f>
        <v>0</v>
      </c>
      <c r="S18" s="76">
        <f>+IFERROR(Country_year!AH18/_xlfn.XLOOKUP($B18,'2024 Prices'!$A$2:$A$40,'2024 Prices'!R$2:R$40,,0),0)</f>
        <v>9.6734687142314957E-4</v>
      </c>
      <c r="T18" s="76">
        <f>+IFERROR(Country_year!AI18/_xlfn.XLOOKUP($B18,'2024 Prices'!$A$2:$A$40,'2024 Prices'!S$2:S$40,,0),0)</f>
        <v>0</v>
      </c>
      <c r="U18" s="76">
        <f>+IFERROR(Country_year!AJ18/_xlfn.XLOOKUP($B18,'2024 Prices'!$A$2:$A$40,'2024 Prices'!T$2:T$40,,0),0)</f>
        <v>3.0950271313725836E-4</v>
      </c>
      <c r="V18" s="76">
        <f>+IFERROR(Country_year!AK18/_xlfn.XLOOKUP($B18,'2024 Prices'!$A$2:$A$40,'2024 Prices'!U$2:U$40,,0),0)</f>
        <v>2.2127377779566693E-3</v>
      </c>
      <c r="W18" s="76">
        <f>+IFERROR(Country_year!AL18/_xlfn.XLOOKUP($B18,'2024 Prices'!$A$2:$A$40,'2024 Prices'!V$2:V$40,,0),0)</f>
        <v>8.7963146326002536E-4</v>
      </c>
      <c r="X18" s="76">
        <f>+IFERROR(Country_year!AM18/_xlfn.XLOOKUP($B18,'2024 Prices'!$A$2:$A$40,'2024 Prices'!W$2:W$40,,0),0)</f>
        <v>0</v>
      </c>
      <c r="Y18" s="76">
        <f>+IFERROR(Country_year!AN18/_xlfn.XLOOKUP($B18,'2024 Prices'!$A$2:$A$40,'2024 Prices'!X$2:X$40,,0),0)</f>
        <v>5.4017421844553578E-4</v>
      </c>
      <c r="Z18" s="76">
        <f>+IFERROR(Country_year!AO18/_xlfn.XLOOKUP($B18,'2024 Prices'!$A$2:$A$40,'2024 Prices'!Y$2:Y$40,,0),0)</f>
        <v>7.0591669693823172E-5</v>
      </c>
      <c r="AA18" s="76">
        <f>+IFERROR(Country_year!AP18/_xlfn.XLOOKUP($B18,'2024 Prices'!$A$2:$A$40,'2024 Prices'!Z$2:Z$40,,0),0)</f>
        <v>7.8105505763938852E-5</v>
      </c>
      <c r="AB18" s="76">
        <f>+IFERROR(Country_year!AQ18/_xlfn.XLOOKUP($B18,'2024 Prices'!$A$2:$A$40,'2024 Prices'!AA$2:AA$40,,0),0)</f>
        <v>3.1346595352630633E-4</v>
      </c>
      <c r="AC18" s="76">
        <f>+IFERROR(Country_year!AR18/_xlfn.XLOOKUP($B18,'2024 Prices'!$A$2:$A$40,'2024 Prices'!AB$2:AB$40,,0),0)</f>
        <v>0</v>
      </c>
      <c r="AD18" s="76">
        <f>+IFERROR(Country_year!AS18/_xlfn.XLOOKUP($B18,'2024 Prices'!$A$2:$A$40,'2024 Prices'!AC$2:AC$40,,0),0)</f>
        <v>0</v>
      </c>
      <c r="AE18" s="76">
        <f>+IFERROR(Country_year!AT18/_xlfn.XLOOKUP($B18,'2024 Prices'!$A$2:$A$40,'2024 Prices'!AD$2:AD$40,,0),0)</f>
        <v>2.6675435312289894E-4</v>
      </c>
      <c r="AF18" s="77">
        <f>+IFERROR(Country_year!AU18/_xlfn.XLOOKUP($B18,'2024 Prices'!$A$2:$A$40,'2024 Prices'!AE$2:AE$40,,0),0)</f>
        <v>1.8954646594398366E-4</v>
      </c>
      <c r="AG18" s="80">
        <f t="shared" si="0"/>
        <v>3.3221259924722462E-4</v>
      </c>
      <c r="AH18" s="80">
        <f t="shared" si="1"/>
        <v>1.6207090738849851E-4</v>
      </c>
      <c r="AI18" s="80">
        <f t="shared" si="2"/>
        <v>-1.7014169185872611E-4</v>
      </c>
    </row>
    <row r="19" spans="1:35" x14ac:dyDescent="0.25">
      <c r="A19" s="70" t="s">
        <v>80</v>
      </c>
      <c r="B19" s="71" t="s">
        <v>22</v>
      </c>
      <c r="C19" s="76">
        <f>+IFERROR(Country_year!R19/_xlfn.XLOOKUP($B19,'2024 Prices'!$A$2:$A$40,'2024 Prices'!B$2:B$40,,0),0)</f>
        <v>3.7656481946517375E-4</v>
      </c>
      <c r="D19" s="76">
        <f>+IFERROR(Country_year!S19/_xlfn.XLOOKUP($B19,'2024 Prices'!$A$2:$A$40,'2024 Prices'!C$2:C$40,,0),0)</f>
        <v>4.2078038505595771E-4</v>
      </c>
      <c r="E19" s="76">
        <f>+IFERROR(Country_year!T19/_xlfn.XLOOKUP($B19,'2024 Prices'!$A$2:$A$40,'2024 Prices'!D$2:D$40,,0),0)</f>
        <v>5.0324249883982068E-3</v>
      </c>
      <c r="F19" s="76">
        <f>+IFERROR(Country_year!U19/_xlfn.XLOOKUP($B19,'2024 Prices'!$A$2:$A$40,'2024 Prices'!E$2:E$40,,0),0)</f>
        <v>3.6509354299517891E-5</v>
      </c>
      <c r="G19" s="76">
        <f>+IFERROR(Country_year!V19/_xlfn.XLOOKUP($B19,'2024 Prices'!$A$2:$A$40,'2024 Prices'!F$2:F$40,,0),0)</f>
        <v>5.0328738915334003E-4</v>
      </c>
      <c r="H19" s="76">
        <f>+IFERROR(Country_year!W19/_xlfn.XLOOKUP($B19,'2024 Prices'!$A$2:$A$40,'2024 Prices'!G$2:G$40,,0),0)</f>
        <v>6.412383777912839E-3</v>
      </c>
      <c r="I19" s="76">
        <f>+IFERROR(Country_year!X19/_xlfn.XLOOKUP($B19,'2024 Prices'!$A$2:$A$40,'2024 Prices'!H$2:H$40,,0),0)</f>
        <v>2.2865689978304282E-4</v>
      </c>
      <c r="J19" s="76">
        <f>+IFERROR(Country_year!Y19/_xlfn.XLOOKUP($B19,'2024 Prices'!$A$2:$A$40,'2024 Prices'!I$2:I$40,,0),0)</f>
        <v>1.2798931857787895E-3</v>
      </c>
      <c r="K19" s="76">
        <f>+IFERROR(Country_year!Z19/_xlfn.XLOOKUP($B19,'2024 Prices'!$A$2:$A$40,'2024 Prices'!J$2:J$40,,0),0)</f>
        <v>3.2379084708627926E-3</v>
      </c>
      <c r="L19" s="76">
        <f>+IFERROR(Country_year!AA19/_xlfn.XLOOKUP($B19,'2024 Prices'!$A$2:$A$40,'2024 Prices'!K$2:K$40,,0),0)</f>
        <v>2.8257749095143082E-4</v>
      </c>
      <c r="M19" s="76">
        <f>+IFERROR(Country_year!AB19/_xlfn.XLOOKUP($B19,'2024 Prices'!$A$2:$A$40,'2024 Prices'!L$2:L$40,,0),0)</f>
        <v>2.8548206410899859E-4</v>
      </c>
      <c r="N19" s="76">
        <f>+IFERROR(Country_year!AC19/_xlfn.XLOOKUP($B19,'2024 Prices'!$A$2:$A$40,'2024 Prices'!M$2:M$40,,0),0)</f>
        <v>1.8984028466855892E-4</v>
      </c>
      <c r="O19" s="76">
        <f>+IFERROR(Country_year!AD19/_xlfn.XLOOKUP($B19,'2024 Prices'!$A$2:$A$40,'2024 Prices'!N$2:N$40,,0),0)</f>
        <v>6.3072109477004172E-5</v>
      </c>
      <c r="P19" s="76">
        <f>+IFERROR(Country_year!AE19/_xlfn.XLOOKUP($B19,'2024 Prices'!$A$2:$A$40,'2024 Prices'!O$2:O$40,,0),0)</f>
        <v>2.4863291046995083E-4</v>
      </c>
      <c r="Q19" s="76">
        <f>+IFERROR(Country_year!AF19/_xlfn.XLOOKUP($B19,'2024 Prices'!$A$2:$A$40,'2024 Prices'!P$2:P$40,,0),0)</f>
        <v>4.6003192316739E-3</v>
      </c>
      <c r="R19" s="76">
        <f>+IFERROR(Country_year!AG19/_xlfn.XLOOKUP($B19,'2024 Prices'!$A$2:$A$40,'2024 Prices'!Q$2:Q$40,,0),0)</f>
        <v>4.6184908247846347E-4</v>
      </c>
      <c r="S19" s="76">
        <f>+IFERROR(Country_year!AH19/_xlfn.XLOOKUP($B19,'2024 Prices'!$A$2:$A$40,'2024 Prices'!R$2:R$40,,0),0)</f>
        <v>7.9830427154262574E-4</v>
      </c>
      <c r="T19" s="76">
        <f>+IFERROR(Country_year!AI19/_xlfn.XLOOKUP($B19,'2024 Prices'!$A$2:$A$40,'2024 Prices'!S$2:S$40,,0),0)</f>
        <v>5.9158620004922677E-3</v>
      </c>
      <c r="U19" s="76">
        <f>+IFERROR(Country_year!AJ19/_xlfn.XLOOKUP($B19,'2024 Prices'!$A$2:$A$40,'2024 Prices'!T$2:T$40,,0),0)</f>
        <v>6.9631428199398878E-4</v>
      </c>
      <c r="V19" s="76">
        <f>+IFERROR(Country_year!AK19/_xlfn.XLOOKUP($B19,'2024 Prices'!$A$2:$A$40,'2024 Prices'!U$2:U$40,,0),0)</f>
        <v>7.6703087879898414E-4</v>
      </c>
      <c r="W19" s="76">
        <f>+IFERROR(Country_year!AL19/_xlfn.XLOOKUP($B19,'2024 Prices'!$A$2:$A$40,'2024 Prices'!V$2:V$40,,0),0)</f>
        <v>1.2490469914218133E-3</v>
      </c>
      <c r="X19" s="76">
        <f>+IFERROR(Country_year!AM19/_xlfn.XLOOKUP($B19,'2024 Prices'!$A$2:$A$40,'2024 Prices'!W$2:W$40,,0),0)</f>
        <v>3.005199980612959E-3</v>
      </c>
      <c r="Y19" s="76">
        <f>+IFERROR(Country_year!AN19/_xlfn.XLOOKUP($B19,'2024 Prices'!$A$2:$A$40,'2024 Prices'!X$2:X$40,,0),0)</f>
        <v>4.1384193149687516E-3</v>
      </c>
      <c r="Z19" s="76">
        <f>+IFERROR(Country_year!AO19/_xlfn.XLOOKUP($B19,'2024 Prices'!$A$2:$A$40,'2024 Prices'!Y$2:Y$40,,0),0)</f>
        <v>1.7730774347726173E-3</v>
      </c>
      <c r="AA19" s="76">
        <f>+IFERROR(Country_year!AP19/_xlfn.XLOOKUP($B19,'2024 Prices'!$A$2:$A$40,'2024 Prices'!Z$2:Z$40,,0),0)</f>
        <v>1.5865281504800469E-3</v>
      </c>
      <c r="AB19" s="76">
        <f>+IFERROR(Country_year!AQ19/_xlfn.XLOOKUP($B19,'2024 Prices'!$A$2:$A$40,'2024 Prices'!AA$2:AA$40,,0),0)</f>
        <v>8.8811452421679493E-4</v>
      </c>
      <c r="AC19" s="76">
        <f>+IFERROR(Country_year!AR19/_xlfn.XLOOKUP($B19,'2024 Prices'!$A$2:$A$40,'2024 Prices'!AB$2:AB$40,,0),0)</f>
        <v>1.9512339236239942E-4</v>
      </c>
      <c r="AD19" s="76">
        <f>+IFERROR(Country_year!AS19/_xlfn.XLOOKUP($B19,'2024 Prices'!$A$2:$A$40,'2024 Prices'!AC$2:AC$40,,0),0)</f>
        <v>4.3921433838390077E-3</v>
      </c>
      <c r="AE19" s="76">
        <f>+IFERROR(Country_year!AT19/_xlfn.XLOOKUP($B19,'2024 Prices'!$A$2:$A$40,'2024 Prices'!AD$2:AD$40,,0),0)</f>
        <v>3.7705692508199075E-3</v>
      </c>
      <c r="AF19" s="77">
        <f>+IFERROR(Country_year!AU19/_xlfn.XLOOKUP($B19,'2024 Prices'!$A$2:$A$40,'2024 Prices'!AE$2:AE$40,,0),0)</f>
        <v>1.3899205746770184E-3</v>
      </c>
      <c r="AG19" s="80">
        <f t="shared" si="0"/>
        <v>1.8075278958512386E-3</v>
      </c>
      <c r="AH19" s="80">
        <f t="shared" si="1"/>
        <v>2.3487884451943893E-3</v>
      </c>
      <c r="AI19" s="80">
        <f t="shared" si="2"/>
        <v>5.4126054934315062E-4</v>
      </c>
    </row>
    <row r="20" spans="1:35" x14ac:dyDescent="0.25">
      <c r="A20" s="70" t="s">
        <v>84</v>
      </c>
      <c r="B20" s="71" t="s">
        <v>24</v>
      </c>
      <c r="C20" s="76">
        <f>+IFERROR(Country_year!R20/_xlfn.XLOOKUP($B20,'2024 Prices'!$A$2:$A$40,'2024 Prices'!B$2:B$40,,0),0)</f>
        <v>0</v>
      </c>
      <c r="D20" s="76">
        <f>+IFERROR(Country_year!S20/_xlfn.XLOOKUP($B20,'2024 Prices'!$A$2:$A$40,'2024 Prices'!C$2:C$40,,0),0)</f>
        <v>0</v>
      </c>
      <c r="E20" s="76">
        <f>+IFERROR(Country_year!T20/_xlfn.XLOOKUP($B20,'2024 Prices'!$A$2:$A$40,'2024 Prices'!D$2:D$40,,0),0)</f>
        <v>0</v>
      </c>
      <c r="F20" s="76">
        <f>+IFERROR(Country_year!U20/_xlfn.XLOOKUP($B20,'2024 Prices'!$A$2:$A$40,'2024 Prices'!E$2:E$40,,0),0)</f>
        <v>0</v>
      </c>
      <c r="G20" s="76">
        <f>+IFERROR(Country_year!V20/_xlfn.XLOOKUP($B20,'2024 Prices'!$A$2:$A$40,'2024 Prices'!F$2:F$40,,0),0)</f>
        <v>7.6613430075114553E-5</v>
      </c>
      <c r="H20" s="76">
        <f>+IFERROR(Country_year!W20/_xlfn.XLOOKUP($B20,'2024 Prices'!$A$2:$A$40,'2024 Prices'!G$2:G$40,,0),0)</f>
        <v>0</v>
      </c>
      <c r="I20" s="76">
        <f>+IFERROR(Country_year!X20/_xlfn.XLOOKUP($B20,'2024 Prices'!$A$2:$A$40,'2024 Prices'!H$2:H$40,,0),0)</f>
        <v>0</v>
      </c>
      <c r="J20" s="76">
        <f>+IFERROR(Country_year!Y20/_xlfn.XLOOKUP($B20,'2024 Prices'!$A$2:$A$40,'2024 Prices'!I$2:I$40,,0),0)</f>
        <v>0</v>
      </c>
      <c r="K20" s="76">
        <f>+IFERROR(Country_year!Z20/_xlfn.XLOOKUP($B20,'2024 Prices'!$A$2:$A$40,'2024 Prices'!J$2:J$40,,0),0)</f>
        <v>0</v>
      </c>
      <c r="L20" s="76">
        <f>+IFERROR(Country_year!AA20/_xlfn.XLOOKUP($B20,'2024 Prices'!$A$2:$A$40,'2024 Prices'!K$2:K$40,,0),0)</f>
        <v>0</v>
      </c>
      <c r="M20" s="76">
        <f>+IFERROR(Country_year!AB20/_xlfn.XLOOKUP($B20,'2024 Prices'!$A$2:$A$40,'2024 Prices'!L$2:L$40,,0),0)</f>
        <v>1.5277127184721427E-2</v>
      </c>
      <c r="N20" s="76">
        <f>+IFERROR(Country_year!AC20/_xlfn.XLOOKUP($B20,'2024 Prices'!$A$2:$A$40,'2024 Prices'!M$2:M$40,,0),0)</f>
        <v>0</v>
      </c>
      <c r="O20" s="76">
        <f>+IFERROR(Country_year!AD20/_xlfn.XLOOKUP($B20,'2024 Prices'!$A$2:$A$40,'2024 Prices'!N$2:N$40,,0),0)</f>
        <v>0</v>
      </c>
      <c r="P20" s="76">
        <f>+IFERROR(Country_year!AE20/_xlfn.XLOOKUP($B20,'2024 Prices'!$A$2:$A$40,'2024 Prices'!O$2:O$40,,0),0)</f>
        <v>0</v>
      </c>
      <c r="Q20" s="76">
        <f>+IFERROR(Country_year!AF20/_xlfn.XLOOKUP($B20,'2024 Prices'!$A$2:$A$40,'2024 Prices'!P$2:P$40,,0),0)</f>
        <v>0</v>
      </c>
      <c r="R20" s="76">
        <f>+IFERROR(Country_year!AG20/_xlfn.XLOOKUP($B20,'2024 Prices'!$A$2:$A$40,'2024 Prices'!Q$2:Q$40,,0),0)</f>
        <v>0</v>
      </c>
      <c r="S20" s="76">
        <f>+IFERROR(Country_year!AH20/_xlfn.XLOOKUP($B20,'2024 Prices'!$A$2:$A$40,'2024 Prices'!R$2:R$40,,0),0)</f>
        <v>0</v>
      </c>
      <c r="T20" s="76">
        <f>+IFERROR(Country_year!AI20/_xlfn.XLOOKUP($B20,'2024 Prices'!$A$2:$A$40,'2024 Prices'!S$2:S$40,,0),0)</f>
        <v>0</v>
      </c>
      <c r="U20" s="76">
        <f>+IFERROR(Country_year!AJ20/_xlfn.XLOOKUP($B20,'2024 Prices'!$A$2:$A$40,'2024 Prices'!T$2:T$40,,0),0)</f>
        <v>1.1961400158723875E-4</v>
      </c>
      <c r="V20" s="76">
        <f>+IFERROR(Country_year!AK20/_xlfn.XLOOKUP($B20,'2024 Prices'!$A$2:$A$40,'2024 Prices'!U$2:U$40,,0),0)</f>
        <v>0</v>
      </c>
      <c r="W20" s="76">
        <f>+IFERROR(Country_year!AL20/_xlfn.XLOOKUP($B20,'2024 Prices'!$A$2:$A$40,'2024 Prices'!V$2:V$40,,0),0)</f>
        <v>0</v>
      </c>
      <c r="X20" s="76">
        <f>+IFERROR(Country_year!AM20/_xlfn.XLOOKUP($B20,'2024 Prices'!$A$2:$A$40,'2024 Prices'!W$2:W$40,,0),0)</f>
        <v>0</v>
      </c>
      <c r="Y20" s="76">
        <f>+IFERROR(Country_year!AN20/_xlfn.XLOOKUP($B20,'2024 Prices'!$A$2:$A$40,'2024 Prices'!X$2:X$40,,0),0)</f>
        <v>7.7049529716457206E-3</v>
      </c>
      <c r="Z20" s="76">
        <f>+IFERROR(Country_year!AO20/_xlfn.XLOOKUP($B20,'2024 Prices'!$A$2:$A$40,'2024 Prices'!Y$2:Y$40,,0),0)</f>
        <v>1.7405097342080354E-3</v>
      </c>
      <c r="AA20" s="76">
        <f>+IFERROR(Country_year!AP20/_xlfn.XLOOKUP($B20,'2024 Prices'!$A$2:$A$40,'2024 Prices'!Z$2:Z$40,,0),0)</f>
        <v>0</v>
      </c>
      <c r="AB20" s="76">
        <f>+IFERROR(Country_year!AQ20/_xlfn.XLOOKUP($B20,'2024 Prices'!$A$2:$A$40,'2024 Prices'!AA$2:AA$40,,0),0)</f>
        <v>1.6503297369723762E-6</v>
      </c>
      <c r="AC20" s="76">
        <f>+IFERROR(Country_year!AR20/_xlfn.XLOOKUP($B20,'2024 Prices'!$A$2:$A$40,'2024 Prices'!AB$2:AB$40,,0),0)</f>
        <v>0</v>
      </c>
      <c r="AD20" s="76">
        <f>+IFERROR(Country_year!AS20/_xlfn.XLOOKUP($B20,'2024 Prices'!$A$2:$A$40,'2024 Prices'!AC$2:AC$40,,0),0)</f>
        <v>3.7639283198424365E-7</v>
      </c>
      <c r="AE20" s="76">
        <f>+IFERROR(Country_year!AT20/_xlfn.XLOOKUP($B20,'2024 Prices'!$A$2:$A$40,'2024 Prices'!AD$2:AD$40,,0),0)</f>
        <v>1.824819710838289E-4</v>
      </c>
      <c r="AF20" s="77">
        <f>+IFERROR(Country_year!AU20/_xlfn.XLOOKUP($B20,'2024 Prices'!$A$2:$A$40,'2024 Prices'!AE$2:AE$40,,0),0)</f>
        <v>3.2763155267592368E-4</v>
      </c>
      <c r="AG20" s="80">
        <f t="shared" si="0"/>
        <v>8.4769858561887504E-4</v>
      </c>
      <c r="AH20" s="80">
        <f t="shared" si="1"/>
        <v>1.1064003280202739E-3</v>
      </c>
      <c r="AI20" s="80">
        <f t="shared" si="2"/>
        <v>2.5870174240139889E-4</v>
      </c>
    </row>
    <row r="21" spans="1:35" x14ac:dyDescent="0.25">
      <c r="A21" s="70" t="s">
        <v>81</v>
      </c>
      <c r="B21" s="71" t="s">
        <v>39</v>
      </c>
      <c r="C21" s="76">
        <f>+IFERROR(Country_year!R21/_xlfn.XLOOKUP($B21,'2024 Prices'!$A$2:$A$40,'2024 Prices'!B$2:B$40,,0),0)</f>
        <v>0</v>
      </c>
      <c r="D21" s="76">
        <f>+IFERROR(Country_year!S21/_xlfn.XLOOKUP($B21,'2024 Prices'!$A$2:$A$40,'2024 Prices'!C$2:C$40,,0),0)</f>
        <v>0</v>
      </c>
      <c r="E21" s="76">
        <f>+IFERROR(Country_year!T21/_xlfn.XLOOKUP($B21,'2024 Prices'!$A$2:$A$40,'2024 Prices'!D$2:D$40,,0),0)</f>
        <v>0</v>
      </c>
      <c r="F21" s="76">
        <f>+IFERROR(Country_year!U21/_xlfn.XLOOKUP($B21,'2024 Prices'!$A$2:$A$40,'2024 Prices'!E$2:E$40,,0),0)</f>
        <v>0</v>
      </c>
      <c r="G21" s="76">
        <f>+IFERROR(Country_year!V21/_xlfn.XLOOKUP($B21,'2024 Prices'!$A$2:$A$40,'2024 Prices'!F$2:F$40,,0),0)</f>
        <v>0</v>
      </c>
      <c r="H21" s="76">
        <f>+IFERROR(Country_year!W21/_xlfn.XLOOKUP($B21,'2024 Prices'!$A$2:$A$40,'2024 Prices'!G$2:G$40,,0),0)</f>
        <v>0</v>
      </c>
      <c r="I21" s="76">
        <f>+IFERROR(Country_year!X21/_xlfn.XLOOKUP($B21,'2024 Prices'!$A$2:$A$40,'2024 Prices'!H$2:H$40,,0),0)</f>
        <v>0</v>
      </c>
      <c r="J21" s="76">
        <f>+IFERROR(Country_year!Y21/_xlfn.XLOOKUP($B21,'2024 Prices'!$A$2:$A$40,'2024 Prices'!I$2:I$40,,0),0)</f>
        <v>0</v>
      </c>
      <c r="K21" s="76">
        <f>+IFERROR(Country_year!Z21/_xlfn.XLOOKUP($B21,'2024 Prices'!$A$2:$A$40,'2024 Prices'!J$2:J$40,,0),0)</f>
        <v>0</v>
      </c>
      <c r="L21" s="76">
        <f>+IFERROR(Country_year!AA21/_xlfn.XLOOKUP($B21,'2024 Prices'!$A$2:$A$40,'2024 Prices'!K$2:K$40,,0),0)</f>
        <v>0</v>
      </c>
      <c r="M21" s="76">
        <f>+IFERROR(Country_year!AB21/_xlfn.XLOOKUP($B21,'2024 Prices'!$A$2:$A$40,'2024 Prices'!L$2:L$40,,0),0)</f>
        <v>0</v>
      </c>
      <c r="N21" s="76">
        <f>+IFERROR(Country_year!AC21/_xlfn.XLOOKUP($B21,'2024 Prices'!$A$2:$A$40,'2024 Prices'!M$2:M$40,,0),0)</f>
        <v>0</v>
      </c>
      <c r="O21" s="76">
        <f>+IFERROR(Country_year!AD21/_xlfn.XLOOKUP($B21,'2024 Prices'!$A$2:$A$40,'2024 Prices'!N$2:N$40,,0),0)</f>
        <v>0</v>
      </c>
      <c r="P21" s="76">
        <f>+IFERROR(Country_year!AE21/_xlfn.XLOOKUP($B21,'2024 Prices'!$A$2:$A$40,'2024 Prices'!O$2:O$40,,0),0)</f>
        <v>0</v>
      </c>
      <c r="Q21" s="76">
        <f>+IFERROR(Country_year!AF21/_xlfn.XLOOKUP($B21,'2024 Prices'!$A$2:$A$40,'2024 Prices'!P$2:P$40,,0),0)</f>
        <v>0</v>
      </c>
      <c r="R21" s="76">
        <f>+IFERROR(Country_year!AG21/_xlfn.XLOOKUP($B21,'2024 Prices'!$A$2:$A$40,'2024 Prices'!Q$2:Q$40,,0),0)</f>
        <v>0</v>
      </c>
      <c r="S21" s="76">
        <f>+IFERROR(Country_year!AH21/_xlfn.XLOOKUP($B21,'2024 Prices'!$A$2:$A$40,'2024 Prices'!R$2:R$40,,0),0)</f>
        <v>0</v>
      </c>
      <c r="T21" s="76">
        <f>+IFERROR(Country_year!AI21/_xlfn.XLOOKUP($B21,'2024 Prices'!$A$2:$A$40,'2024 Prices'!S$2:S$40,,0),0)</f>
        <v>0</v>
      </c>
      <c r="U21" s="76">
        <f>+IFERROR(Country_year!AJ21/_xlfn.XLOOKUP($B21,'2024 Prices'!$A$2:$A$40,'2024 Prices'!T$2:T$40,,0),0)</f>
        <v>0</v>
      </c>
      <c r="V21" s="76">
        <f>+IFERROR(Country_year!AK21/_xlfn.XLOOKUP($B21,'2024 Prices'!$A$2:$A$40,'2024 Prices'!U$2:U$40,,0),0)</f>
        <v>0</v>
      </c>
      <c r="W21" s="76">
        <f>+IFERROR(Country_year!AL21/_xlfn.XLOOKUP($B21,'2024 Prices'!$A$2:$A$40,'2024 Prices'!V$2:V$40,,0),0)</f>
        <v>0</v>
      </c>
      <c r="X21" s="76">
        <f>+IFERROR(Country_year!AM21/_xlfn.XLOOKUP($B21,'2024 Prices'!$A$2:$A$40,'2024 Prices'!W$2:W$40,,0),0)</f>
        <v>0</v>
      </c>
      <c r="Y21" s="76">
        <f>+IFERROR(Country_year!AN21/_xlfn.XLOOKUP($B21,'2024 Prices'!$A$2:$A$40,'2024 Prices'!X$2:X$40,,0),0)</f>
        <v>0</v>
      </c>
      <c r="Z21" s="76">
        <f>+IFERROR(Country_year!AO21/_xlfn.XLOOKUP($B21,'2024 Prices'!$A$2:$A$40,'2024 Prices'!Y$2:Y$40,,0),0)</f>
        <v>0</v>
      </c>
      <c r="AA21" s="76">
        <f>+IFERROR(Country_year!AP21/_xlfn.XLOOKUP($B21,'2024 Prices'!$A$2:$A$40,'2024 Prices'!Z$2:Z$40,,0),0)</f>
        <v>0</v>
      </c>
      <c r="AB21" s="76">
        <f>+IFERROR(Country_year!AQ21/_xlfn.XLOOKUP($B21,'2024 Prices'!$A$2:$A$40,'2024 Prices'!AA$2:AA$40,,0),0)</f>
        <v>7.8217857015764562E-5</v>
      </c>
      <c r="AC21" s="76">
        <f>+IFERROR(Country_year!AR21/_xlfn.XLOOKUP($B21,'2024 Prices'!$A$2:$A$40,'2024 Prices'!AB$2:AB$40,,0),0)</f>
        <v>0</v>
      </c>
      <c r="AD21" s="76">
        <f>+IFERROR(Country_year!AS21/_xlfn.XLOOKUP($B21,'2024 Prices'!$A$2:$A$40,'2024 Prices'!AC$2:AC$40,,0),0)</f>
        <v>0</v>
      </c>
      <c r="AE21" s="76">
        <f>+IFERROR(Country_year!AT21/_xlfn.XLOOKUP($B21,'2024 Prices'!$A$2:$A$40,'2024 Prices'!AD$2:AD$40,,0),0)</f>
        <v>0</v>
      </c>
      <c r="AF21" s="77">
        <f>+IFERROR(Country_year!AU21/_xlfn.XLOOKUP($B21,'2024 Prices'!$A$2:$A$40,'2024 Prices'!AE$2:AE$40,,0),0)</f>
        <v>0</v>
      </c>
      <c r="AG21" s="80">
        <f t="shared" si="0"/>
        <v>2.6072619005254856E-6</v>
      </c>
      <c r="AH21" s="80">
        <f t="shared" si="1"/>
        <v>8.6908730017516179E-6</v>
      </c>
      <c r="AI21" s="80">
        <f t="shared" si="2"/>
        <v>6.0836111012261324E-6</v>
      </c>
    </row>
    <row r="22" spans="1:35" x14ac:dyDescent="0.25">
      <c r="A22" s="70" t="s">
        <v>82</v>
      </c>
      <c r="B22" s="71" t="s">
        <v>25</v>
      </c>
      <c r="C22" s="76">
        <f>+IFERROR(Country_year!R22/_xlfn.XLOOKUP($B22,'2024 Prices'!$A$2:$A$40,'2024 Prices'!B$2:B$40,,0),0)</f>
        <v>0</v>
      </c>
      <c r="D22" s="76">
        <f>+IFERROR(Country_year!S22/_xlfn.XLOOKUP($B22,'2024 Prices'!$A$2:$A$40,'2024 Prices'!C$2:C$40,,0),0)</f>
        <v>0</v>
      </c>
      <c r="E22" s="76">
        <f>+IFERROR(Country_year!T22/_xlfn.XLOOKUP($B22,'2024 Prices'!$A$2:$A$40,'2024 Prices'!D$2:D$40,,0),0)</f>
        <v>0</v>
      </c>
      <c r="F22" s="76">
        <f>+IFERROR(Country_year!U22/_xlfn.XLOOKUP($B22,'2024 Prices'!$A$2:$A$40,'2024 Prices'!E$2:E$40,,0),0)</f>
        <v>0</v>
      </c>
      <c r="G22" s="76">
        <f>+IFERROR(Country_year!V22/_xlfn.XLOOKUP($B22,'2024 Prices'!$A$2:$A$40,'2024 Prices'!F$2:F$40,,0),0)</f>
        <v>8.6048012465333697E-5</v>
      </c>
      <c r="H22" s="76">
        <f>+IFERROR(Country_year!W22/_xlfn.XLOOKUP($B22,'2024 Prices'!$A$2:$A$40,'2024 Prices'!G$2:G$40,,0),0)</f>
        <v>0</v>
      </c>
      <c r="I22" s="76">
        <f>+IFERROR(Country_year!X22/_xlfn.XLOOKUP($B22,'2024 Prices'!$A$2:$A$40,'2024 Prices'!H$2:H$40,,0),0)</f>
        <v>0</v>
      </c>
      <c r="J22" s="76">
        <f>+IFERROR(Country_year!Y22/_xlfn.XLOOKUP($B22,'2024 Prices'!$A$2:$A$40,'2024 Prices'!I$2:I$40,,0),0)</f>
        <v>3.6925407458861671E-4</v>
      </c>
      <c r="K22" s="76">
        <f>+IFERROR(Country_year!Z22/_xlfn.XLOOKUP($B22,'2024 Prices'!$A$2:$A$40,'2024 Prices'!J$2:J$40,,0),0)</f>
        <v>0</v>
      </c>
      <c r="L22" s="76">
        <f>+IFERROR(Country_year!AA22/_xlfn.XLOOKUP($B22,'2024 Prices'!$A$2:$A$40,'2024 Prices'!K$2:K$40,,0),0)</f>
        <v>0</v>
      </c>
      <c r="M22" s="76">
        <f>+IFERROR(Country_year!AB22/_xlfn.XLOOKUP($B22,'2024 Prices'!$A$2:$A$40,'2024 Prices'!L$2:L$40,,0),0)</f>
        <v>1.5770256410256409E-3</v>
      </c>
      <c r="N22" s="76">
        <f>+IFERROR(Country_year!AC22/_xlfn.XLOOKUP($B22,'2024 Prices'!$A$2:$A$40,'2024 Prices'!M$2:M$40,,0),0)</f>
        <v>8.4698460096505959E-3</v>
      </c>
      <c r="O22" s="76">
        <f>+IFERROR(Country_year!AD22/_xlfn.XLOOKUP($B22,'2024 Prices'!$A$2:$A$40,'2024 Prices'!N$2:N$40,,0),0)</f>
        <v>0</v>
      </c>
      <c r="P22" s="76">
        <f>+IFERROR(Country_year!AE22/_xlfn.XLOOKUP($B22,'2024 Prices'!$A$2:$A$40,'2024 Prices'!O$2:O$40,,0),0)</f>
        <v>0</v>
      </c>
      <c r="Q22" s="76">
        <f>+IFERROR(Country_year!AF22/_xlfn.XLOOKUP($B22,'2024 Prices'!$A$2:$A$40,'2024 Prices'!P$2:P$40,,0),0)</f>
        <v>0</v>
      </c>
      <c r="R22" s="76">
        <f>+IFERROR(Country_year!AG22/_xlfn.XLOOKUP($B22,'2024 Prices'!$A$2:$A$40,'2024 Prices'!Q$2:Q$40,,0),0)</f>
        <v>1.194482321494844E-4</v>
      </c>
      <c r="S22" s="76">
        <f>+IFERROR(Country_year!AH22/_xlfn.XLOOKUP($B22,'2024 Prices'!$A$2:$A$40,'2024 Prices'!R$2:R$40,,0),0)</f>
        <v>0</v>
      </c>
      <c r="T22" s="76">
        <f>+IFERROR(Country_year!AI22/_xlfn.XLOOKUP($B22,'2024 Prices'!$A$2:$A$40,'2024 Prices'!S$2:S$40,,0),0)</f>
        <v>0</v>
      </c>
      <c r="U22" s="76">
        <f>+IFERROR(Country_year!AJ22/_xlfn.XLOOKUP($B22,'2024 Prices'!$A$2:$A$40,'2024 Prices'!T$2:T$40,,0),0)</f>
        <v>0</v>
      </c>
      <c r="V22" s="76">
        <f>+IFERROR(Country_year!AK22/_xlfn.XLOOKUP($B22,'2024 Prices'!$A$2:$A$40,'2024 Prices'!U$2:U$40,,0),0)</f>
        <v>0</v>
      </c>
      <c r="W22" s="76">
        <f>+IFERROR(Country_year!AL22/_xlfn.XLOOKUP($B22,'2024 Prices'!$A$2:$A$40,'2024 Prices'!V$2:V$40,,0),0)</f>
        <v>0</v>
      </c>
      <c r="X22" s="76">
        <f>+IFERROR(Country_year!AM22/_xlfn.XLOOKUP($B22,'2024 Prices'!$A$2:$A$40,'2024 Prices'!W$2:W$40,,0),0)</f>
        <v>3.5438663734231319E-6</v>
      </c>
      <c r="Y22" s="76">
        <f>+IFERROR(Country_year!AN22/_xlfn.XLOOKUP($B22,'2024 Prices'!$A$2:$A$40,'2024 Prices'!X$2:X$40,,0),0)</f>
        <v>1.6296082837848672E-2</v>
      </c>
      <c r="Z22" s="76">
        <f>+IFERROR(Country_year!AO22/_xlfn.XLOOKUP($B22,'2024 Prices'!$A$2:$A$40,'2024 Prices'!Y$2:Y$40,,0),0)</f>
        <v>0</v>
      </c>
      <c r="AA22" s="76">
        <f>+IFERROR(Country_year!AP22/_xlfn.XLOOKUP($B22,'2024 Prices'!$A$2:$A$40,'2024 Prices'!Z$2:Z$40,,0),0)</f>
        <v>0</v>
      </c>
      <c r="AB22" s="76">
        <f>+IFERROR(Country_year!AQ22/_xlfn.XLOOKUP($B22,'2024 Prices'!$A$2:$A$40,'2024 Prices'!AA$2:AA$40,,0),0)</f>
        <v>0</v>
      </c>
      <c r="AC22" s="76">
        <f>+IFERROR(Country_year!AR22/_xlfn.XLOOKUP($B22,'2024 Prices'!$A$2:$A$40,'2024 Prices'!AB$2:AB$40,,0),0)</f>
        <v>0</v>
      </c>
      <c r="AD22" s="76">
        <f>+IFERROR(Country_year!AS22/_xlfn.XLOOKUP($B22,'2024 Prices'!$A$2:$A$40,'2024 Prices'!AC$2:AC$40,,0),0)</f>
        <v>4.9540945972930831E-6</v>
      </c>
      <c r="AE22" s="76">
        <f>+IFERROR(Country_year!AT22/_xlfn.XLOOKUP($B22,'2024 Prices'!$A$2:$A$40,'2024 Prices'!AD$2:AD$40,,0),0)</f>
        <v>3.5767426178887627E-3</v>
      </c>
      <c r="AF22" s="77">
        <f>+IFERROR(Country_year!AU22/_xlfn.XLOOKUP($B22,'2024 Prices'!$A$2:$A$40,'2024 Prices'!AE$2:AE$40,,0),0)</f>
        <v>7.0869726790217665E-5</v>
      </c>
      <c r="AG22" s="80">
        <f t="shared" si="0"/>
        <v>1.0191271704459346E-3</v>
      </c>
      <c r="AH22" s="80">
        <f t="shared" si="1"/>
        <v>2.2169103492775963E-3</v>
      </c>
      <c r="AI22" s="80">
        <f t="shared" si="2"/>
        <v>1.1977831788316617E-3</v>
      </c>
    </row>
    <row r="23" spans="1:35" x14ac:dyDescent="0.25">
      <c r="A23" s="70" t="s">
        <v>83</v>
      </c>
      <c r="B23" s="71" t="s">
        <v>26</v>
      </c>
      <c r="C23" s="76">
        <f>+IFERROR(Country_year!R23/_xlfn.XLOOKUP($B23,'2024 Prices'!$A$2:$A$40,'2024 Prices'!B$2:B$40,,0),0)</f>
        <v>5.0613481547515245E-4</v>
      </c>
      <c r="D23" s="76">
        <f>+IFERROR(Country_year!S23/_xlfn.XLOOKUP($B23,'2024 Prices'!$A$2:$A$40,'2024 Prices'!C$2:C$40,,0),0)</f>
        <v>0</v>
      </c>
      <c r="E23" s="76">
        <f>+IFERROR(Country_year!T23/_xlfn.XLOOKUP($B23,'2024 Prices'!$A$2:$A$40,'2024 Prices'!D$2:D$40,,0),0)</f>
        <v>0</v>
      </c>
      <c r="F23" s="76">
        <f>+IFERROR(Country_year!U23/_xlfn.XLOOKUP($B23,'2024 Prices'!$A$2:$A$40,'2024 Prices'!E$2:E$40,,0),0)</f>
        <v>0</v>
      </c>
      <c r="G23" s="76">
        <f>+IFERROR(Country_year!V23/_xlfn.XLOOKUP($B23,'2024 Prices'!$A$2:$A$40,'2024 Prices'!F$2:F$40,,0),0)</f>
        <v>0</v>
      </c>
      <c r="H23" s="76">
        <f>+IFERROR(Country_year!W23/_xlfn.XLOOKUP($B23,'2024 Prices'!$A$2:$A$40,'2024 Prices'!G$2:G$40,,0),0)</f>
        <v>0</v>
      </c>
      <c r="I23" s="76">
        <f>+IFERROR(Country_year!X23/_xlfn.XLOOKUP($B23,'2024 Prices'!$A$2:$A$40,'2024 Prices'!H$2:H$40,,0),0)</f>
        <v>0</v>
      </c>
      <c r="J23" s="76">
        <f>+IFERROR(Country_year!Y23/_xlfn.XLOOKUP($B23,'2024 Prices'!$A$2:$A$40,'2024 Prices'!I$2:I$40,,0),0)</f>
        <v>0</v>
      </c>
      <c r="K23" s="76">
        <f>+IFERROR(Country_year!Z23/_xlfn.XLOOKUP($B23,'2024 Prices'!$A$2:$A$40,'2024 Prices'!J$2:J$40,,0),0)</f>
        <v>0</v>
      </c>
      <c r="L23" s="76">
        <f>+IFERROR(Country_year!AA23/_xlfn.XLOOKUP($B23,'2024 Prices'!$A$2:$A$40,'2024 Prices'!K$2:K$40,,0),0)</f>
        <v>0</v>
      </c>
      <c r="M23" s="76">
        <f>+IFERROR(Country_year!AB23/_xlfn.XLOOKUP($B23,'2024 Prices'!$A$2:$A$40,'2024 Prices'!L$2:L$40,,0),0)</f>
        <v>0</v>
      </c>
      <c r="N23" s="76">
        <f>+IFERROR(Country_year!AC23/_xlfn.XLOOKUP($B23,'2024 Prices'!$A$2:$A$40,'2024 Prices'!M$2:M$40,,0),0)</f>
        <v>0</v>
      </c>
      <c r="O23" s="76">
        <f>+IFERROR(Country_year!AD23/_xlfn.XLOOKUP($B23,'2024 Prices'!$A$2:$A$40,'2024 Prices'!N$2:N$40,,0),0)</f>
        <v>0</v>
      </c>
      <c r="P23" s="76">
        <f>+IFERROR(Country_year!AE23/_xlfn.XLOOKUP($B23,'2024 Prices'!$A$2:$A$40,'2024 Prices'!O$2:O$40,,0),0)</f>
        <v>0</v>
      </c>
      <c r="Q23" s="76">
        <f>+IFERROR(Country_year!AF23/_xlfn.XLOOKUP($B23,'2024 Prices'!$A$2:$A$40,'2024 Prices'!P$2:P$40,,0),0)</f>
        <v>0</v>
      </c>
      <c r="R23" s="76">
        <f>+IFERROR(Country_year!AG23/_xlfn.XLOOKUP($B23,'2024 Prices'!$A$2:$A$40,'2024 Prices'!Q$2:Q$40,,0),0)</f>
        <v>2.451512323092822E-4</v>
      </c>
      <c r="S23" s="76">
        <f>+IFERROR(Country_year!AH23/_xlfn.XLOOKUP($B23,'2024 Prices'!$A$2:$A$40,'2024 Prices'!R$2:R$40,,0),0)</f>
        <v>0</v>
      </c>
      <c r="T23" s="76">
        <f>+IFERROR(Country_year!AI23/_xlfn.XLOOKUP($B23,'2024 Prices'!$A$2:$A$40,'2024 Prices'!S$2:S$40,,0),0)</f>
        <v>0</v>
      </c>
      <c r="U23" s="76">
        <f>+IFERROR(Country_year!AJ23/_xlfn.XLOOKUP($B23,'2024 Prices'!$A$2:$A$40,'2024 Prices'!T$2:T$40,,0),0)</f>
        <v>0</v>
      </c>
      <c r="V23" s="76">
        <f>+IFERROR(Country_year!AK23/_xlfn.XLOOKUP($B23,'2024 Prices'!$A$2:$A$40,'2024 Prices'!U$2:U$40,,0),0)</f>
        <v>0</v>
      </c>
      <c r="W23" s="76">
        <f>+IFERROR(Country_year!AL23/_xlfn.XLOOKUP($B23,'2024 Prices'!$A$2:$A$40,'2024 Prices'!V$2:V$40,,0),0)</f>
        <v>0</v>
      </c>
      <c r="X23" s="76">
        <f>+IFERROR(Country_year!AM23/_xlfn.XLOOKUP($B23,'2024 Prices'!$A$2:$A$40,'2024 Prices'!W$2:W$40,,0),0)</f>
        <v>2.7183581326540467E-4</v>
      </c>
      <c r="Y23" s="76">
        <f>+IFERROR(Country_year!AN23/_xlfn.XLOOKUP($B23,'2024 Prices'!$A$2:$A$40,'2024 Prices'!X$2:X$40,,0),0)</f>
        <v>0</v>
      </c>
      <c r="Z23" s="76">
        <f>+IFERROR(Country_year!AO23/_xlfn.XLOOKUP($B23,'2024 Prices'!$A$2:$A$40,'2024 Prices'!Y$2:Y$40,,0),0)</f>
        <v>2.6305434684368493E-5</v>
      </c>
      <c r="AA23" s="76">
        <f>+IFERROR(Country_year!AP23/_xlfn.XLOOKUP($B23,'2024 Prices'!$A$2:$A$40,'2024 Prices'!Z$2:Z$40,,0),0)</f>
        <v>6.2922892351403002E-4</v>
      </c>
      <c r="AB23" s="76">
        <f>+IFERROR(Country_year!AQ23/_xlfn.XLOOKUP($B23,'2024 Prices'!$A$2:$A$40,'2024 Prices'!AA$2:AA$40,,0),0)</f>
        <v>7.6660626053747744E-5</v>
      </c>
      <c r="AC23" s="76">
        <f>+IFERROR(Country_year!AR23/_xlfn.XLOOKUP($B23,'2024 Prices'!$A$2:$A$40,'2024 Prices'!AB$2:AB$40,,0),0)</f>
        <v>5.9782369023287155E-4</v>
      </c>
      <c r="AD23" s="76">
        <f>+IFERROR(Country_year!AS23/_xlfn.XLOOKUP($B23,'2024 Prices'!$A$2:$A$40,'2024 Prices'!AC$2:AC$40,,0),0)</f>
        <v>0</v>
      </c>
      <c r="AE23" s="76">
        <f>+IFERROR(Country_year!AT23/_xlfn.XLOOKUP($B23,'2024 Prices'!$A$2:$A$40,'2024 Prices'!AD$2:AD$40,,0),0)</f>
        <v>0</v>
      </c>
      <c r="AF23" s="77">
        <f>+IFERROR(Country_year!AU23/_xlfn.XLOOKUP($B23,'2024 Prices'!$A$2:$A$40,'2024 Prices'!AE$2:AE$40,,0),0)</f>
        <v>6.9793140331990807E-5</v>
      </c>
      <c r="AG23" s="80">
        <f t="shared" si="0"/>
        <v>8.0764455862228257E-5</v>
      </c>
      <c r="AH23" s="80">
        <f t="shared" si="1"/>
        <v>1.8573862534249034E-4</v>
      </c>
      <c r="AI23" s="80">
        <f t="shared" si="2"/>
        <v>1.0497416948026209E-4</v>
      </c>
    </row>
    <row r="24" spans="1:35" x14ac:dyDescent="0.25">
      <c r="A24" s="70" t="s">
        <v>87</v>
      </c>
      <c r="B24" s="71" t="s">
        <v>28</v>
      </c>
      <c r="C24" s="76">
        <f>+IFERROR(Country_year!R24/_xlfn.XLOOKUP($B24,'2024 Prices'!$A$2:$A$40,'2024 Prices'!B$2:B$40,,0),0)</f>
        <v>0</v>
      </c>
      <c r="D24" s="76">
        <f>+IFERROR(Country_year!S24/_xlfn.XLOOKUP($B24,'2024 Prices'!$A$2:$A$40,'2024 Prices'!C$2:C$40,,0),0)</f>
        <v>0</v>
      </c>
      <c r="E24" s="76">
        <f>+IFERROR(Country_year!T24/_xlfn.XLOOKUP($B24,'2024 Prices'!$A$2:$A$40,'2024 Prices'!D$2:D$40,,0),0)</f>
        <v>0</v>
      </c>
      <c r="F24" s="76">
        <f>+IFERROR(Country_year!U24/_xlfn.XLOOKUP($B24,'2024 Prices'!$A$2:$A$40,'2024 Prices'!E$2:E$40,,0),0)</f>
        <v>0</v>
      </c>
      <c r="G24" s="76">
        <f>+IFERROR(Country_year!V24/_xlfn.XLOOKUP($B24,'2024 Prices'!$A$2:$A$40,'2024 Prices'!F$2:F$40,,0),0)</f>
        <v>0</v>
      </c>
      <c r="H24" s="76">
        <f>+IFERROR(Country_year!W24/_xlfn.XLOOKUP($B24,'2024 Prices'!$A$2:$A$40,'2024 Prices'!G$2:G$40,,0),0)</f>
        <v>0</v>
      </c>
      <c r="I24" s="76">
        <f>+IFERROR(Country_year!X24/_xlfn.XLOOKUP($B24,'2024 Prices'!$A$2:$A$40,'2024 Prices'!H$2:H$40,,0),0)</f>
        <v>0</v>
      </c>
      <c r="J24" s="76">
        <f>+IFERROR(Country_year!Y24/_xlfn.XLOOKUP($B24,'2024 Prices'!$A$2:$A$40,'2024 Prices'!I$2:I$40,,0),0)</f>
        <v>0</v>
      </c>
      <c r="K24" s="76">
        <f>+IFERROR(Country_year!Z24/_xlfn.XLOOKUP($B24,'2024 Prices'!$A$2:$A$40,'2024 Prices'!J$2:J$40,,0),0)</f>
        <v>5.7593559371723023E-3</v>
      </c>
      <c r="L24" s="76">
        <f>+IFERROR(Country_year!AA24/_xlfn.XLOOKUP($B24,'2024 Prices'!$A$2:$A$40,'2024 Prices'!K$2:K$40,,0),0)</f>
        <v>0</v>
      </c>
      <c r="M24" s="76">
        <f>+IFERROR(Country_year!AB24/_xlfn.XLOOKUP($B24,'2024 Prices'!$A$2:$A$40,'2024 Prices'!L$2:L$40,,0),0)</f>
        <v>0</v>
      </c>
      <c r="N24" s="76">
        <f>+IFERROR(Country_year!AC24/_xlfn.XLOOKUP($B24,'2024 Prices'!$A$2:$A$40,'2024 Prices'!M$2:M$40,,0),0)</f>
        <v>0</v>
      </c>
      <c r="O24" s="76">
        <f>+IFERROR(Country_year!AD24/_xlfn.XLOOKUP($B24,'2024 Prices'!$A$2:$A$40,'2024 Prices'!N$2:N$40,,0),0)</f>
        <v>0</v>
      </c>
      <c r="P24" s="76">
        <f>+IFERROR(Country_year!AE24/_xlfn.XLOOKUP($B24,'2024 Prices'!$A$2:$A$40,'2024 Prices'!O$2:O$40,,0),0)</f>
        <v>0</v>
      </c>
      <c r="Q24" s="76">
        <f>+IFERROR(Country_year!AF24/_xlfn.XLOOKUP($B24,'2024 Prices'!$A$2:$A$40,'2024 Prices'!P$2:P$40,,0),0)</f>
        <v>0</v>
      </c>
      <c r="R24" s="76">
        <f>+IFERROR(Country_year!AG24/_xlfn.XLOOKUP($B24,'2024 Prices'!$A$2:$A$40,'2024 Prices'!Q$2:Q$40,,0),0)</f>
        <v>0</v>
      </c>
      <c r="S24" s="76">
        <f>+IFERROR(Country_year!AH24/_xlfn.XLOOKUP($B24,'2024 Prices'!$A$2:$A$40,'2024 Prices'!R$2:R$40,,0),0)</f>
        <v>9.4106125953302431E-5</v>
      </c>
      <c r="T24" s="76">
        <f>+IFERROR(Country_year!AI24/_xlfn.XLOOKUP($B24,'2024 Prices'!$A$2:$A$40,'2024 Prices'!S$2:S$40,,0),0)</f>
        <v>0</v>
      </c>
      <c r="U24" s="76">
        <f>+IFERROR(Country_year!AJ24/_xlfn.XLOOKUP($B24,'2024 Prices'!$A$2:$A$40,'2024 Prices'!T$2:T$40,,0),0)</f>
        <v>0</v>
      </c>
      <c r="V24" s="76">
        <f>+IFERROR(Country_year!AK24/_xlfn.XLOOKUP($B24,'2024 Prices'!$A$2:$A$40,'2024 Prices'!U$2:U$40,,0),0)</f>
        <v>0</v>
      </c>
      <c r="W24" s="76">
        <f>+IFERROR(Country_year!AL24/_xlfn.XLOOKUP($B24,'2024 Prices'!$A$2:$A$40,'2024 Prices'!V$2:V$40,,0),0)</f>
        <v>0</v>
      </c>
      <c r="X24" s="76">
        <f>+IFERROR(Country_year!AM24/_xlfn.XLOOKUP($B24,'2024 Prices'!$A$2:$A$40,'2024 Prices'!W$2:W$40,,0),0)</f>
        <v>0</v>
      </c>
      <c r="Y24" s="76">
        <f>+IFERROR(Country_year!AN24/_xlfn.XLOOKUP($B24,'2024 Prices'!$A$2:$A$40,'2024 Prices'!X$2:X$40,,0),0)</f>
        <v>0</v>
      </c>
      <c r="Z24" s="76">
        <f>+IFERROR(Country_year!AO24/_xlfn.XLOOKUP($B24,'2024 Prices'!$A$2:$A$40,'2024 Prices'!Y$2:Y$40,,0),0)</f>
        <v>0</v>
      </c>
      <c r="AA24" s="76">
        <f>+IFERROR(Country_year!AP24/_xlfn.XLOOKUP($B24,'2024 Prices'!$A$2:$A$40,'2024 Prices'!Z$2:Z$40,,0),0)</f>
        <v>8.2358577655211086E-4</v>
      </c>
      <c r="AB24" s="76">
        <f>+IFERROR(Country_year!AQ24/_xlfn.XLOOKUP($B24,'2024 Prices'!$A$2:$A$40,'2024 Prices'!AA$2:AA$40,,0),0)</f>
        <v>0</v>
      </c>
      <c r="AC24" s="76">
        <f>+IFERROR(Country_year!AR24/_xlfn.XLOOKUP($B24,'2024 Prices'!$A$2:$A$40,'2024 Prices'!AB$2:AB$40,,0),0)</f>
        <v>0</v>
      </c>
      <c r="AD24" s="76">
        <f>+IFERROR(Country_year!AS24/_xlfn.XLOOKUP($B24,'2024 Prices'!$A$2:$A$40,'2024 Prices'!AC$2:AC$40,,0),0)</f>
        <v>0</v>
      </c>
      <c r="AE24" s="76">
        <f>+IFERROR(Country_year!AT24/_xlfn.XLOOKUP($B24,'2024 Prices'!$A$2:$A$40,'2024 Prices'!AD$2:AD$40,,0),0)</f>
        <v>3.548339328458506E-5</v>
      </c>
      <c r="AF24" s="77">
        <f>+IFERROR(Country_year!AU24/_xlfn.XLOOKUP($B24,'2024 Prices'!$A$2:$A$40,'2024 Prices'!AE$2:AE$40,,0),0)</f>
        <v>0</v>
      </c>
      <c r="AG24" s="80">
        <f t="shared" si="0"/>
        <v>2.2375104109874334E-4</v>
      </c>
      <c r="AH24" s="80">
        <f t="shared" si="1"/>
        <v>9.5452129981855093E-5</v>
      </c>
      <c r="AI24" s="80">
        <f t="shared" si="2"/>
        <v>-1.2829891111688826E-4</v>
      </c>
    </row>
    <row r="25" spans="1:35" x14ac:dyDescent="0.25">
      <c r="A25" s="70" t="s">
        <v>88</v>
      </c>
      <c r="B25" s="71" t="s">
        <v>29</v>
      </c>
      <c r="C25" s="76">
        <f>+IFERROR(Country_year!R25/_xlfn.XLOOKUP($B25,'2024 Prices'!$A$2:$A$40,'2024 Prices'!B$2:B$40,,0),0)</f>
        <v>2.2507746397280185E-3</v>
      </c>
      <c r="D25" s="76">
        <f>+IFERROR(Country_year!S25/_xlfn.XLOOKUP($B25,'2024 Prices'!$A$2:$A$40,'2024 Prices'!C$2:C$40,,0),0)</f>
        <v>0</v>
      </c>
      <c r="E25" s="76">
        <f>+IFERROR(Country_year!T25/_xlfn.XLOOKUP($B25,'2024 Prices'!$A$2:$A$40,'2024 Prices'!D$2:D$40,,0),0)</f>
        <v>0</v>
      </c>
      <c r="F25" s="76">
        <f>+IFERROR(Country_year!U25/_xlfn.XLOOKUP($B25,'2024 Prices'!$A$2:$A$40,'2024 Prices'!E$2:E$40,,0),0)</f>
        <v>1.1296997714868051E-3</v>
      </c>
      <c r="G25" s="76">
        <f>+IFERROR(Country_year!V25/_xlfn.XLOOKUP($B25,'2024 Prices'!$A$2:$A$40,'2024 Prices'!F$2:F$40,,0),0)</f>
        <v>0</v>
      </c>
      <c r="H25" s="76">
        <f>+IFERROR(Country_year!W25/_xlfn.XLOOKUP($B25,'2024 Prices'!$A$2:$A$40,'2024 Prices'!G$2:G$40,,0),0)</f>
        <v>0</v>
      </c>
      <c r="I25" s="76">
        <f>+IFERROR(Country_year!X25/_xlfn.XLOOKUP($B25,'2024 Prices'!$A$2:$A$40,'2024 Prices'!H$2:H$40,,0),0)</f>
        <v>0</v>
      </c>
      <c r="J25" s="76">
        <f>+IFERROR(Country_year!Y25/_xlfn.XLOOKUP($B25,'2024 Prices'!$A$2:$A$40,'2024 Prices'!I$2:I$40,,0),0)</f>
        <v>4.3183409646504843E-4</v>
      </c>
      <c r="K25" s="76">
        <f>+IFERROR(Country_year!Z25/_xlfn.XLOOKUP($B25,'2024 Prices'!$A$2:$A$40,'2024 Prices'!J$2:J$40,,0),0)</f>
        <v>6.6964528049141299E-7</v>
      </c>
      <c r="L25" s="76">
        <f>+IFERROR(Country_year!AA25/_xlfn.XLOOKUP($B25,'2024 Prices'!$A$2:$A$40,'2024 Prices'!K$2:K$40,,0),0)</f>
        <v>5.3913107916605804E-5</v>
      </c>
      <c r="M25" s="76">
        <f>+IFERROR(Country_year!AB25/_xlfn.XLOOKUP($B25,'2024 Prices'!$A$2:$A$40,'2024 Prices'!L$2:L$40,,0),0)</f>
        <v>1.0323519287595538E-4</v>
      </c>
      <c r="N25" s="76">
        <f>+IFERROR(Country_year!AC25/_xlfn.XLOOKUP($B25,'2024 Prices'!$A$2:$A$40,'2024 Prices'!M$2:M$40,,0),0)</f>
        <v>0</v>
      </c>
      <c r="O25" s="76">
        <f>+IFERROR(Country_year!AD25/_xlfn.XLOOKUP($B25,'2024 Prices'!$A$2:$A$40,'2024 Prices'!N$2:N$40,,0),0)</f>
        <v>4.7645568403362768E-4</v>
      </c>
      <c r="P25" s="76">
        <f>+IFERROR(Country_year!AE25/_xlfn.XLOOKUP($B25,'2024 Prices'!$A$2:$A$40,'2024 Prices'!O$2:O$40,,0),0)</f>
        <v>7.7077666396567344E-5</v>
      </c>
      <c r="Q25" s="76">
        <f>+IFERROR(Country_year!AF25/_xlfn.XLOOKUP($B25,'2024 Prices'!$A$2:$A$40,'2024 Prices'!P$2:P$40,,0),0)</f>
        <v>1.0805034351403922E-4</v>
      </c>
      <c r="R25" s="76">
        <f>+IFERROR(Country_year!AG25/_xlfn.XLOOKUP($B25,'2024 Prices'!$A$2:$A$40,'2024 Prices'!Q$2:Q$40,,0),0)</f>
        <v>0</v>
      </c>
      <c r="S25" s="76">
        <f>+IFERROR(Country_year!AH25/_xlfn.XLOOKUP($B25,'2024 Prices'!$A$2:$A$40,'2024 Prices'!R$2:R$40,,0),0)</f>
        <v>6.4855244770680194E-5</v>
      </c>
      <c r="T25" s="76">
        <f>+IFERROR(Country_year!AI25/_xlfn.XLOOKUP($B25,'2024 Prices'!$A$2:$A$40,'2024 Prices'!S$2:S$40,,0),0)</f>
        <v>0</v>
      </c>
      <c r="U25" s="76">
        <f>+IFERROR(Country_year!AJ25/_xlfn.XLOOKUP($B25,'2024 Prices'!$A$2:$A$40,'2024 Prices'!T$2:T$40,,0),0)</f>
        <v>1.8394577009609597E-4</v>
      </c>
      <c r="V25" s="76">
        <f>+IFERROR(Country_year!AK25/_xlfn.XLOOKUP($B25,'2024 Prices'!$A$2:$A$40,'2024 Prices'!U$2:U$40,,0),0)</f>
        <v>7.2247195392115832E-5</v>
      </c>
      <c r="W25" s="76">
        <f>+IFERROR(Country_year!AL25/_xlfn.XLOOKUP($B25,'2024 Prices'!$A$2:$A$40,'2024 Prices'!V$2:V$40,,0),0)</f>
        <v>2.4670058592804293E-4</v>
      </c>
      <c r="X25" s="76">
        <f>+IFERROR(Country_year!AM25/_xlfn.XLOOKUP($B25,'2024 Prices'!$A$2:$A$40,'2024 Prices'!W$2:W$40,,0),0)</f>
        <v>6.3562210598762533E-4</v>
      </c>
      <c r="Y25" s="76">
        <f>+IFERROR(Country_year!AN25/_xlfn.XLOOKUP($B25,'2024 Prices'!$A$2:$A$40,'2024 Prices'!X$2:X$40,,0),0)</f>
        <v>0</v>
      </c>
      <c r="Z25" s="76">
        <f>+IFERROR(Country_year!AO25/_xlfn.XLOOKUP($B25,'2024 Prices'!$A$2:$A$40,'2024 Prices'!Y$2:Y$40,,0),0)</f>
        <v>4.4391617287581196E-4</v>
      </c>
      <c r="AA25" s="76">
        <f>+IFERROR(Country_year!AP25/_xlfn.XLOOKUP($B25,'2024 Prices'!$A$2:$A$40,'2024 Prices'!Z$2:Z$40,,0),0)</f>
        <v>2.4722933438697679E-5</v>
      </c>
      <c r="AB25" s="76">
        <f>+IFERROR(Country_year!AQ25/_xlfn.XLOOKUP($B25,'2024 Prices'!$A$2:$A$40,'2024 Prices'!AA$2:AA$40,,0),0)</f>
        <v>2.9115915369326019E-4</v>
      </c>
      <c r="AC25" s="76">
        <f>+IFERROR(Country_year!AR25/_xlfn.XLOOKUP($B25,'2024 Prices'!$A$2:$A$40,'2024 Prices'!AB$2:AB$40,,0),0)</f>
        <v>3.9321644405655292E-4</v>
      </c>
      <c r="AD25" s="76">
        <f>+IFERROR(Country_year!AS25/_xlfn.XLOOKUP($B25,'2024 Prices'!$A$2:$A$40,'2024 Prices'!AC$2:AC$40,,0),0)</f>
        <v>3.3051078333098493E-4</v>
      </c>
      <c r="AE25" s="76">
        <f>+IFERROR(Country_year!AT25/_xlfn.XLOOKUP($B25,'2024 Prices'!$A$2:$A$40,'2024 Prices'!AD$2:AD$40,,0),0)</f>
        <v>4.6523390116943437E-5</v>
      </c>
      <c r="AF25" s="77">
        <f>+IFERROR(Country_year!AU25/_xlfn.XLOOKUP($B25,'2024 Prices'!$A$2:$A$40,'2024 Prices'!AE$2:AE$40,,0),0)</f>
        <v>2.1098146797412998E-5</v>
      </c>
      <c r="AG25" s="80">
        <f t="shared" si="0"/>
        <v>2.462076024727128E-4</v>
      </c>
      <c r="AH25" s="80">
        <f t="shared" si="1"/>
        <v>2.4297434781080993E-4</v>
      </c>
      <c r="AI25" s="80">
        <f t="shared" si="2"/>
        <v>-3.2332546619028674E-6</v>
      </c>
    </row>
    <row r="26" spans="1:35" x14ac:dyDescent="0.25">
      <c r="A26" s="70" t="s">
        <v>85</v>
      </c>
      <c r="B26" s="71" t="s">
        <v>44</v>
      </c>
      <c r="C26" s="76">
        <f>+IFERROR(Country_year!R26/_xlfn.XLOOKUP($B26,'2024 Prices'!$A$2:$A$40,'2024 Prices'!B$2:B$40,,0),0)</f>
        <v>0</v>
      </c>
      <c r="D26" s="76">
        <f>+IFERROR(Country_year!S26/_xlfn.XLOOKUP($B26,'2024 Prices'!$A$2:$A$40,'2024 Prices'!C$2:C$40,,0),0)</f>
        <v>0</v>
      </c>
      <c r="E26" s="76">
        <f>+IFERROR(Country_year!T26/_xlfn.XLOOKUP($B26,'2024 Prices'!$A$2:$A$40,'2024 Prices'!D$2:D$40,,0),0)</f>
        <v>0</v>
      </c>
      <c r="F26" s="76">
        <f>+IFERROR(Country_year!U26/_xlfn.XLOOKUP($B26,'2024 Prices'!$A$2:$A$40,'2024 Prices'!E$2:E$40,,0),0)</f>
        <v>0</v>
      </c>
      <c r="G26" s="76">
        <f>+IFERROR(Country_year!V26/_xlfn.XLOOKUP($B26,'2024 Prices'!$A$2:$A$40,'2024 Prices'!F$2:F$40,,0),0)</f>
        <v>0</v>
      </c>
      <c r="H26" s="76">
        <f>+IFERROR(Country_year!W26/_xlfn.XLOOKUP($B26,'2024 Prices'!$A$2:$A$40,'2024 Prices'!G$2:G$40,,0),0)</f>
        <v>0</v>
      </c>
      <c r="I26" s="76">
        <f>+IFERROR(Country_year!X26/_xlfn.XLOOKUP($B26,'2024 Prices'!$A$2:$A$40,'2024 Prices'!H$2:H$40,,0),0)</f>
        <v>0</v>
      </c>
      <c r="J26" s="76">
        <f>+IFERROR(Country_year!Y26/_xlfn.XLOOKUP($B26,'2024 Prices'!$A$2:$A$40,'2024 Prices'!I$2:I$40,,0),0)</f>
        <v>0</v>
      </c>
      <c r="K26" s="76">
        <f>+IFERROR(Country_year!Z26/_xlfn.XLOOKUP($B26,'2024 Prices'!$A$2:$A$40,'2024 Prices'!J$2:J$40,,0),0)</f>
        <v>0</v>
      </c>
      <c r="L26" s="76">
        <f>+IFERROR(Country_year!AA26/_xlfn.XLOOKUP($B26,'2024 Prices'!$A$2:$A$40,'2024 Prices'!K$2:K$40,,0),0)</f>
        <v>0</v>
      </c>
      <c r="M26" s="76">
        <f>+IFERROR(Country_year!AB26/_xlfn.XLOOKUP($B26,'2024 Prices'!$A$2:$A$40,'2024 Prices'!L$2:L$40,,0),0)</f>
        <v>0</v>
      </c>
      <c r="N26" s="76">
        <f>+IFERROR(Country_year!AC26/_xlfn.XLOOKUP($B26,'2024 Prices'!$A$2:$A$40,'2024 Prices'!M$2:M$40,,0),0)</f>
        <v>0</v>
      </c>
      <c r="O26" s="76">
        <f>+IFERROR(Country_year!AD26/_xlfn.XLOOKUP($B26,'2024 Prices'!$A$2:$A$40,'2024 Prices'!N$2:N$40,,0),0)</f>
        <v>0</v>
      </c>
      <c r="P26" s="76">
        <f>+IFERROR(Country_year!AE26/_xlfn.XLOOKUP($B26,'2024 Prices'!$A$2:$A$40,'2024 Prices'!O$2:O$40,,0),0)</f>
        <v>0</v>
      </c>
      <c r="Q26" s="76">
        <f>+IFERROR(Country_year!AF26/_xlfn.XLOOKUP($B26,'2024 Prices'!$A$2:$A$40,'2024 Prices'!P$2:P$40,,0),0)</f>
        <v>0</v>
      </c>
      <c r="R26" s="76">
        <f>+IFERROR(Country_year!AG26/_xlfn.XLOOKUP($B26,'2024 Prices'!$A$2:$A$40,'2024 Prices'!Q$2:Q$40,,0),0)</f>
        <v>5.5945198109219477E-3</v>
      </c>
      <c r="S26" s="76">
        <f>+IFERROR(Country_year!AH26/_xlfn.XLOOKUP($B26,'2024 Prices'!$A$2:$A$40,'2024 Prices'!R$2:R$40,,0),0)</f>
        <v>0</v>
      </c>
      <c r="T26" s="76">
        <f>+IFERROR(Country_year!AI26/_xlfn.XLOOKUP($B26,'2024 Prices'!$A$2:$A$40,'2024 Prices'!S$2:S$40,,0),0)</f>
        <v>2.1788921590823337E-3</v>
      </c>
      <c r="U26" s="76">
        <f>+IFERROR(Country_year!AJ26/_xlfn.XLOOKUP($B26,'2024 Prices'!$A$2:$A$40,'2024 Prices'!T$2:T$40,,0),0)</f>
        <v>0</v>
      </c>
      <c r="V26" s="76">
        <f>+IFERROR(Country_year!AK26/_xlfn.XLOOKUP($B26,'2024 Prices'!$A$2:$A$40,'2024 Prices'!U$2:U$40,,0),0)</f>
        <v>0</v>
      </c>
      <c r="W26" s="76">
        <f>+IFERROR(Country_year!AL26/_xlfn.XLOOKUP($B26,'2024 Prices'!$A$2:$A$40,'2024 Prices'!V$2:V$40,,0),0)</f>
        <v>0</v>
      </c>
      <c r="X26" s="76">
        <f>+IFERROR(Country_year!AM26/_xlfn.XLOOKUP($B26,'2024 Prices'!$A$2:$A$40,'2024 Prices'!W$2:W$40,,0),0)</f>
        <v>2.307620149463744E-4</v>
      </c>
      <c r="Y26" s="76">
        <f>+IFERROR(Country_year!AN26/_xlfn.XLOOKUP($B26,'2024 Prices'!$A$2:$A$40,'2024 Prices'!X$2:X$40,,0),0)</f>
        <v>0</v>
      </c>
      <c r="Z26" s="76">
        <f>+IFERROR(Country_year!AO26/_xlfn.XLOOKUP($B26,'2024 Prices'!$A$2:$A$40,'2024 Prices'!Y$2:Y$40,,0),0)</f>
        <v>4.9492989242889637E-4</v>
      </c>
      <c r="AA26" s="76">
        <f>+IFERROR(Country_year!AP26/_xlfn.XLOOKUP($B26,'2024 Prices'!$A$2:$A$40,'2024 Prices'!Z$2:Z$40,,0),0)</f>
        <v>0</v>
      </c>
      <c r="AB26" s="76">
        <f>+IFERROR(Country_year!AQ26/_xlfn.XLOOKUP($B26,'2024 Prices'!$A$2:$A$40,'2024 Prices'!AA$2:AA$40,,0),0)</f>
        <v>0</v>
      </c>
      <c r="AC26" s="76">
        <f>+IFERROR(Country_year!AR26/_xlfn.XLOOKUP($B26,'2024 Prices'!$A$2:$A$40,'2024 Prices'!AB$2:AB$40,,0),0)</f>
        <v>0</v>
      </c>
      <c r="AD26" s="76">
        <f>+IFERROR(Country_year!AS26/_xlfn.XLOOKUP($B26,'2024 Prices'!$A$2:$A$40,'2024 Prices'!AC$2:AC$40,,0),0)</f>
        <v>5.087140838436175E-5</v>
      </c>
      <c r="AE26" s="76">
        <f>+IFERROR(Country_year!AT26/_xlfn.XLOOKUP($B26,'2024 Prices'!$A$2:$A$40,'2024 Prices'!AD$2:AD$40,,0),0)</f>
        <v>0</v>
      </c>
      <c r="AF26" s="77">
        <f>+IFERROR(Country_year!AU26/_xlfn.XLOOKUP($B26,'2024 Prices'!$A$2:$A$40,'2024 Prices'!AE$2:AE$40,,0),0)</f>
        <v>2.8489508666753554E-3</v>
      </c>
      <c r="AG26" s="80">
        <f t="shared" si="0"/>
        <v>3.7996420508130897E-4</v>
      </c>
      <c r="AH26" s="80">
        <f t="shared" si="1"/>
        <v>4.0283490915944312E-4</v>
      </c>
      <c r="AI26" s="80">
        <f t="shared" si="2"/>
        <v>2.287070407813415E-5</v>
      </c>
    </row>
    <row r="27" spans="1:35" x14ac:dyDescent="0.25">
      <c r="A27" s="70" t="s">
        <v>86</v>
      </c>
      <c r="B27" s="71" t="s">
        <v>45</v>
      </c>
      <c r="C27" s="76">
        <f>+IFERROR(Country_year!R27/_xlfn.XLOOKUP($B27,'2024 Prices'!$A$2:$A$40,'2024 Prices'!B$2:B$40,,0),0)</f>
        <v>0</v>
      </c>
      <c r="D27" s="76">
        <f>+IFERROR(Country_year!S27/_xlfn.XLOOKUP($B27,'2024 Prices'!$A$2:$A$40,'2024 Prices'!C$2:C$40,,0),0)</f>
        <v>0</v>
      </c>
      <c r="E27" s="76">
        <f>+IFERROR(Country_year!T27/_xlfn.XLOOKUP($B27,'2024 Prices'!$A$2:$A$40,'2024 Prices'!D$2:D$40,,0),0)</f>
        <v>0</v>
      </c>
      <c r="F27" s="76">
        <f>+IFERROR(Country_year!U27/_xlfn.XLOOKUP($B27,'2024 Prices'!$A$2:$A$40,'2024 Prices'!E$2:E$40,,0),0)</f>
        <v>0</v>
      </c>
      <c r="G27" s="76">
        <f>+IFERROR(Country_year!V27/_xlfn.XLOOKUP($B27,'2024 Prices'!$A$2:$A$40,'2024 Prices'!F$2:F$40,,0),0)</f>
        <v>0</v>
      </c>
      <c r="H27" s="76">
        <f>+IFERROR(Country_year!W27/_xlfn.XLOOKUP($B27,'2024 Prices'!$A$2:$A$40,'2024 Prices'!G$2:G$40,,0),0)</f>
        <v>4.2392995405043602E-3</v>
      </c>
      <c r="I27" s="76">
        <f>+IFERROR(Country_year!X27/_xlfn.XLOOKUP($B27,'2024 Prices'!$A$2:$A$40,'2024 Prices'!H$2:H$40,,0),0)</f>
        <v>0</v>
      </c>
      <c r="J27" s="76">
        <f>+IFERROR(Country_year!Y27/_xlfn.XLOOKUP($B27,'2024 Prices'!$A$2:$A$40,'2024 Prices'!I$2:I$40,,0),0)</f>
        <v>0</v>
      </c>
      <c r="K27" s="76">
        <f>+IFERROR(Country_year!Z27/_xlfn.XLOOKUP($B27,'2024 Prices'!$A$2:$A$40,'2024 Prices'!J$2:J$40,,0),0)</f>
        <v>0</v>
      </c>
      <c r="L27" s="76">
        <f>+IFERROR(Country_year!AA27/_xlfn.XLOOKUP($B27,'2024 Prices'!$A$2:$A$40,'2024 Prices'!K$2:K$40,,0),0)</f>
        <v>3.1106231247554034E-3</v>
      </c>
      <c r="M27" s="76">
        <f>+IFERROR(Country_year!AB27/_xlfn.XLOOKUP($B27,'2024 Prices'!$A$2:$A$40,'2024 Prices'!L$2:L$40,,0),0)</f>
        <v>0</v>
      </c>
      <c r="N27" s="76">
        <f>+IFERROR(Country_year!AC27/_xlfn.XLOOKUP($B27,'2024 Prices'!$A$2:$A$40,'2024 Prices'!M$2:M$40,,0),0)</f>
        <v>0</v>
      </c>
      <c r="O27" s="76">
        <f>+IFERROR(Country_year!AD27/_xlfn.XLOOKUP($B27,'2024 Prices'!$A$2:$A$40,'2024 Prices'!N$2:N$40,,0),0)</f>
        <v>0</v>
      </c>
      <c r="P27" s="76">
        <f>+IFERROR(Country_year!AE27/_xlfn.XLOOKUP($B27,'2024 Prices'!$A$2:$A$40,'2024 Prices'!O$2:O$40,,0),0)</f>
        <v>0</v>
      </c>
      <c r="Q27" s="76">
        <f>+IFERROR(Country_year!AF27/_xlfn.XLOOKUP($B27,'2024 Prices'!$A$2:$A$40,'2024 Prices'!P$2:P$40,,0),0)</f>
        <v>1.8407527718046086E-4</v>
      </c>
      <c r="R27" s="76">
        <f>+IFERROR(Country_year!AG27/_xlfn.XLOOKUP($B27,'2024 Prices'!$A$2:$A$40,'2024 Prices'!Q$2:Q$40,,0),0)</f>
        <v>3.6302605356181719E-3</v>
      </c>
      <c r="S27" s="76">
        <f>+IFERROR(Country_year!AH27/_xlfn.XLOOKUP($B27,'2024 Prices'!$A$2:$A$40,'2024 Prices'!R$2:R$40,,0),0)</f>
        <v>0</v>
      </c>
      <c r="T27" s="76">
        <f>+IFERROR(Country_year!AI27/_xlfn.XLOOKUP($B27,'2024 Prices'!$A$2:$A$40,'2024 Prices'!S$2:S$40,,0),0)</f>
        <v>0</v>
      </c>
      <c r="U27" s="76">
        <f>+IFERROR(Country_year!AJ27/_xlfn.XLOOKUP($B27,'2024 Prices'!$A$2:$A$40,'2024 Prices'!T$2:T$40,,0),0)</f>
        <v>1.1149807328151278E-3</v>
      </c>
      <c r="V27" s="76">
        <f>+IFERROR(Country_year!AK27/_xlfn.XLOOKUP($B27,'2024 Prices'!$A$2:$A$40,'2024 Prices'!U$2:U$40,,0),0)</f>
        <v>0</v>
      </c>
      <c r="W27" s="76">
        <f>+IFERROR(Country_year!AL27/_xlfn.XLOOKUP($B27,'2024 Prices'!$A$2:$A$40,'2024 Prices'!V$2:V$40,,0),0)</f>
        <v>1.8777228044664336E-3</v>
      </c>
      <c r="X27" s="76">
        <f>+IFERROR(Country_year!AM27/_xlfn.XLOOKUP($B27,'2024 Prices'!$A$2:$A$40,'2024 Prices'!W$2:W$40,,0),0)</f>
        <v>5.8946477040759107E-3</v>
      </c>
      <c r="Y27" s="76">
        <f>+IFERROR(Country_year!AN27/_xlfn.XLOOKUP($B27,'2024 Prices'!$A$2:$A$40,'2024 Prices'!X$2:X$40,,0),0)</f>
        <v>0</v>
      </c>
      <c r="Z27" s="76">
        <f>+IFERROR(Country_year!AO27/_xlfn.XLOOKUP($B27,'2024 Prices'!$A$2:$A$40,'2024 Prices'!Y$2:Y$40,,0),0)</f>
        <v>0</v>
      </c>
      <c r="AA27" s="76">
        <f>+IFERROR(Country_year!AP27/_xlfn.XLOOKUP($B27,'2024 Prices'!$A$2:$A$40,'2024 Prices'!Z$2:Z$40,,0),0)</f>
        <v>0</v>
      </c>
      <c r="AB27" s="76">
        <f>+IFERROR(Country_year!AQ27/_xlfn.XLOOKUP($B27,'2024 Prices'!$A$2:$A$40,'2024 Prices'!AA$2:AA$40,,0),0)</f>
        <v>0</v>
      </c>
      <c r="AC27" s="76">
        <f>+IFERROR(Country_year!AR27/_xlfn.XLOOKUP($B27,'2024 Prices'!$A$2:$A$40,'2024 Prices'!AB$2:AB$40,,0),0)</f>
        <v>0</v>
      </c>
      <c r="AD27" s="76">
        <f>+IFERROR(Country_year!AS27/_xlfn.XLOOKUP($B27,'2024 Prices'!$A$2:$A$40,'2024 Prices'!AC$2:AC$40,,0),0)</f>
        <v>0</v>
      </c>
      <c r="AE27" s="76">
        <f>+IFERROR(Country_year!AT27/_xlfn.XLOOKUP($B27,'2024 Prices'!$A$2:$A$40,'2024 Prices'!AD$2:AD$40,,0),0)</f>
        <v>0</v>
      </c>
      <c r="AF27" s="77">
        <f>+IFERROR(Country_year!AU27/_xlfn.XLOOKUP($B27,'2024 Prices'!$A$2:$A$40,'2024 Prices'!AE$2:AE$40,,0),0)</f>
        <v>0</v>
      </c>
      <c r="AG27" s="80">
        <f t="shared" si="0"/>
        <v>6.6838699064719566E-4</v>
      </c>
      <c r="AH27" s="80">
        <f t="shared" si="1"/>
        <v>6.549608560084345E-4</v>
      </c>
      <c r="AI27" s="80">
        <f t="shared" si="2"/>
        <v>-1.3426134638761162E-5</v>
      </c>
    </row>
    <row r="28" spans="1:35" x14ac:dyDescent="0.25">
      <c r="A28" s="70" t="s">
        <v>89</v>
      </c>
      <c r="B28" s="71" t="s">
        <v>40</v>
      </c>
      <c r="C28" s="76">
        <f>+IFERROR(Country_year!R28/_xlfn.XLOOKUP($B28,'2024 Prices'!$A$2:$A$40,'2024 Prices'!B$2:B$40,,0),0)</f>
        <v>2.6465359097881231E-3</v>
      </c>
      <c r="D28" s="76">
        <f>+IFERROR(Country_year!S28/_xlfn.XLOOKUP($B28,'2024 Prices'!$A$2:$A$40,'2024 Prices'!C$2:C$40,,0),0)</f>
        <v>2.0007241494332723E-4</v>
      </c>
      <c r="E28" s="76">
        <f>+IFERROR(Country_year!T28/_xlfn.XLOOKUP($B28,'2024 Prices'!$A$2:$A$40,'2024 Prices'!D$2:D$40,,0),0)</f>
        <v>0</v>
      </c>
      <c r="F28" s="76">
        <f>+IFERROR(Country_year!U28/_xlfn.XLOOKUP($B28,'2024 Prices'!$A$2:$A$40,'2024 Prices'!E$2:E$40,,0),0)</f>
        <v>0</v>
      </c>
      <c r="G28" s="76">
        <f>+IFERROR(Country_year!V28/_xlfn.XLOOKUP($B28,'2024 Prices'!$A$2:$A$40,'2024 Prices'!F$2:F$40,,0),0)</f>
        <v>0</v>
      </c>
      <c r="H28" s="76">
        <f>+IFERROR(Country_year!W28/_xlfn.XLOOKUP($B28,'2024 Prices'!$A$2:$A$40,'2024 Prices'!G$2:G$40,,0),0)</f>
        <v>2.4861130969163527E-4</v>
      </c>
      <c r="I28" s="76">
        <f>+IFERROR(Country_year!X28/_xlfn.XLOOKUP($B28,'2024 Prices'!$A$2:$A$40,'2024 Prices'!H$2:H$40,,0),0)</f>
        <v>8.4489394301102576E-5</v>
      </c>
      <c r="J28" s="76">
        <f>+IFERROR(Country_year!Y28/_xlfn.XLOOKUP($B28,'2024 Prices'!$A$2:$A$40,'2024 Prices'!I$2:I$40,,0),0)</f>
        <v>0</v>
      </c>
      <c r="K28" s="76">
        <f>+IFERROR(Country_year!Z28/_xlfn.XLOOKUP($B28,'2024 Prices'!$A$2:$A$40,'2024 Prices'!J$2:J$40,,0),0)</f>
        <v>4.5769862538936801E-5</v>
      </c>
      <c r="L28" s="76">
        <f>+IFERROR(Country_year!AA28/_xlfn.XLOOKUP($B28,'2024 Prices'!$A$2:$A$40,'2024 Prices'!K$2:K$40,,0),0)</f>
        <v>1.8739244130498198E-5</v>
      </c>
      <c r="M28" s="76">
        <f>+IFERROR(Country_year!AB28/_xlfn.XLOOKUP($B28,'2024 Prices'!$A$2:$A$40,'2024 Prices'!L$2:L$40,,0),0)</f>
        <v>4.3192258794252908E-4</v>
      </c>
      <c r="N28" s="76">
        <f>+IFERROR(Country_year!AC28/_xlfn.XLOOKUP($B28,'2024 Prices'!$A$2:$A$40,'2024 Prices'!M$2:M$40,,0),0)</f>
        <v>8.5250196112944893E-5</v>
      </c>
      <c r="O28" s="76">
        <f>+IFERROR(Country_year!AD28/_xlfn.XLOOKUP($B28,'2024 Prices'!$A$2:$A$40,'2024 Prices'!N$2:N$40,,0),0)</f>
        <v>4.5080358625850718E-5</v>
      </c>
      <c r="P28" s="76">
        <f>+IFERROR(Country_year!AE28/_xlfn.XLOOKUP($B28,'2024 Prices'!$A$2:$A$40,'2024 Prices'!O$2:O$40,,0),0)</f>
        <v>2.5506817316227531E-5</v>
      </c>
      <c r="Q28" s="76">
        <f>+IFERROR(Country_year!AF28/_xlfn.XLOOKUP($B28,'2024 Prices'!$A$2:$A$40,'2024 Prices'!P$2:P$40,,0),0)</f>
        <v>4.7201338660207825E-6</v>
      </c>
      <c r="R28" s="76">
        <f>+IFERROR(Country_year!AG28/_xlfn.XLOOKUP($B28,'2024 Prices'!$A$2:$A$40,'2024 Prices'!Q$2:Q$40,,0),0)</f>
        <v>1.0070016544681056E-5</v>
      </c>
      <c r="S28" s="76">
        <f>+IFERROR(Country_year!AH28/_xlfn.XLOOKUP($B28,'2024 Prices'!$A$2:$A$40,'2024 Prices'!R$2:R$40,,0),0)</f>
        <v>4.4892481423892028E-4</v>
      </c>
      <c r="T28" s="76">
        <f>+IFERROR(Country_year!AI28/_xlfn.XLOOKUP($B28,'2024 Prices'!$A$2:$A$40,'2024 Prices'!S$2:S$40,,0),0)</f>
        <v>1.312665380272712E-4</v>
      </c>
      <c r="U28" s="76">
        <f>+IFERROR(Country_year!AJ28/_xlfn.XLOOKUP($B28,'2024 Prices'!$A$2:$A$40,'2024 Prices'!T$2:T$40,,0),0)</f>
        <v>3.1387619742485418E-4</v>
      </c>
      <c r="V28" s="76">
        <f>+IFERROR(Country_year!AK28/_xlfn.XLOOKUP($B28,'2024 Prices'!$A$2:$A$40,'2024 Prices'!U$2:U$40,,0),0)</f>
        <v>8.4590631997651385E-5</v>
      </c>
      <c r="W28" s="76">
        <f>+IFERROR(Country_year!AL28/_xlfn.XLOOKUP($B28,'2024 Prices'!$A$2:$A$40,'2024 Prices'!V$2:V$40,,0),0)</f>
        <v>3.0540993514593235E-4</v>
      </c>
      <c r="X28" s="76">
        <f>+IFERROR(Country_year!AM28/_xlfn.XLOOKUP($B28,'2024 Prices'!$A$2:$A$40,'2024 Prices'!W$2:W$40,,0),0)</f>
        <v>2.6265222990828782E-4</v>
      </c>
      <c r="Y28" s="76">
        <f>+IFERROR(Country_year!AN28/_xlfn.XLOOKUP($B28,'2024 Prices'!$A$2:$A$40,'2024 Prices'!X$2:X$40,,0),0)</f>
        <v>2.2470846843111066E-4</v>
      </c>
      <c r="Z28" s="76">
        <f>+IFERROR(Country_year!AO28/_xlfn.XLOOKUP($B28,'2024 Prices'!$A$2:$A$40,'2024 Prices'!Y$2:Y$40,,0),0)</f>
        <v>1.2921238426246112E-4</v>
      </c>
      <c r="AA28" s="76">
        <f>+IFERROR(Country_year!AP28/_xlfn.XLOOKUP($B28,'2024 Prices'!$A$2:$A$40,'2024 Prices'!Z$2:Z$40,,0),0)</f>
        <v>1.3541179437477911E-4</v>
      </c>
      <c r="AB28" s="76">
        <f>+IFERROR(Country_year!AQ28/_xlfn.XLOOKUP($B28,'2024 Prices'!$A$2:$A$40,'2024 Prices'!AA$2:AA$40,,0),0)</f>
        <v>3.025184001942974E-4</v>
      </c>
      <c r="AC28" s="76">
        <f>+IFERROR(Country_year!AR28/_xlfn.XLOOKUP($B28,'2024 Prices'!$A$2:$A$40,'2024 Prices'!AB$2:AB$40,,0),0)</f>
        <v>1.5007047810143665E-4</v>
      </c>
      <c r="AD28" s="76">
        <f>+IFERROR(Country_year!AS28/_xlfn.XLOOKUP($B28,'2024 Prices'!$A$2:$A$40,'2024 Prices'!AC$2:AC$40,,0),0)</f>
        <v>6.570022958346999E-5</v>
      </c>
      <c r="AE28" s="76">
        <f>+IFERROR(Country_year!AT28/_xlfn.XLOOKUP($B28,'2024 Prices'!$A$2:$A$40,'2024 Prices'!AD$2:AD$40,,0),0)</f>
        <v>7.9474135917478297E-4</v>
      </c>
      <c r="AF28" s="77">
        <f>+IFERROR(Country_year!AU28/_xlfn.XLOOKUP($B28,'2024 Prices'!$A$2:$A$40,'2024 Prices'!AE$2:AE$40,,0),0)</f>
        <v>8.9085037116739876E-5</v>
      </c>
      <c r="AG28" s="80">
        <f t="shared" si="0"/>
        <v>2.4283122479279573E-4</v>
      </c>
      <c r="AH28" s="80">
        <f t="shared" si="1"/>
        <v>2.393444867941517E-4</v>
      </c>
      <c r="AI28" s="80">
        <f t="shared" si="2"/>
        <v>-3.4867379986440212E-6</v>
      </c>
    </row>
    <row r="29" spans="1:35" x14ac:dyDescent="0.25">
      <c r="A29" s="70" t="s">
        <v>90</v>
      </c>
      <c r="B29" s="71" t="s">
        <v>31</v>
      </c>
      <c r="C29" s="76">
        <f>+IFERROR(Country_year!R29/_xlfn.XLOOKUP($B29,'2024 Prices'!$A$2:$A$40,'2024 Prices'!B$2:B$40,,0),0)</f>
        <v>1.96956990067112E-5</v>
      </c>
      <c r="D29" s="76">
        <f>+IFERROR(Country_year!S29/_xlfn.XLOOKUP($B29,'2024 Prices'!$A$2:$A$40,'2024 Prices'!C$2:C$40,,0),0)</f>
        <v>0</v>
      </c>
      <c r="E29" s="76">
        <f>+IFERROR(Country_year!T29/_xlfn.XLOOKUP($B29,'2024 Prices'!$A$2:$A$40,'2024 Prices'!D$2:D$40,,0),0)</f>
        <v>2.8942336129130084E-2</v>
      </c>
      <c r="F29" s="76">
        <f>+IFERROR(Country_year!U29/_xlfn.XLOOKUP($B29,'2024 Prices'!$A$2:$A$40,'2024 Prices'!E$2:E$40,,0),0)</f>
        <v>3.4942070796027871E-6</v>
      </c>
      <c r="G29" s="76">
        <f>+IFERROR(Country_year!V29/_xlfn.XLOOKUP($B29,'2024 Prices'!$A$2:$A$40,'2024 Prices'!F$2:F$40,,0),0)</f>
        <v>7.148917267890719E-5</v>
      </c>
      <c r="H29" s="76">
        <f>+IFERROR(Country_year!W29/_xlfn.XLOOKUP($B29,'2024 Prices'!$A$2:$A$40,'2024 Prices'!G$2:G$40,,0),0)</f>
        <v>0</v>
      </c>
      <c r="I29" s="76">
        <f>+IFERROR(Country_year!X29/_xlfn.XLOOKUP($B29,'2024 Prices'!$A$2:$A$40,'2024 Prices'!H$2:H$40,,0),0)</f>
        <v>4.1874028504603582E-3</v>
      </c>
      <c r="J29" s="76">
        <f>+IFERROR(Country_year!Y29/_xlfn.XLOOKUP($B29,'2024 Prices'!$A$2:$A$40,'2024 Prices'!I$2:I$40,,0),0)</f>
        <v>1.4558000547852786E-5</v>
      </c>
      <c r="K29" s="76">
        <f>+IFERROR(Country_year!Z29/_xlfn.XLOOKUP($B29,'2024 Prices'!$A$2:$A$40,'2024 Prices'!J$2:J$40,,0),0)</f>
        <v>1.6586536546610454E-3</v>
      </c>
      <c r="L29" s="76">
        <f>+IFERROR(Country_year!AA29/_xlfn.XLOOKUP($B29,'2024 Prices'!$A$2:$A$40,'2024 Prices'!K$2:K$40,,0),0)</f>
        <v>8.3311475021449353E-4</v>
      </c>
      <c r="M29" s="76">
        <f>+IFERROR(Country_year!AB29/_xlfn.XLOOKUP($B29,'2024 Prices'!$A$2:$A$40,'2024 Prices'!L$2:L$40,,0),0)</f>
        <v>1.9291172950695796E-5</v>
      </c>
      <c r="N29" s="76">
        <f>+IFERROR(Country_year!AC29/_xlfn.XLOOKUP($B29,'2024 Prices'!$A$2:$A$40,'2024 Prices'!M$2:M$40,,0),0)</f>
        <v>1.1219687966692675E-4</v>
      </c>
      <c r="O29" s="76">
        <f>+IFERROR(Country_year!AD29/_xlfn.XLOOKUP($B29,'2024 Prices'!$A$2:$A$40,'2024 Prices'!N$2:N$40,,0),0)</f>
        <v>1.8193934021557801E-4</v>
      </c>
      <c r="P29" s="76">
        <f>+IFERROR(Country_year!AE29/_xlfn.XLOOKUP($B29,'2024 Prices'!$A$2:$A$40,'2024 Prices'!O$2:O$40,,0),0)</f>
        <v>1.4256166853262269E-4</v>
      </c>
      <c r="Q29" s="76">
        <f>+IFERROR(Country_year!AF29/_xlfn.XLOOKUP($B29,'2024 Prices'!$A$2:$A$40,'2024 Prices'!P$2:P$40,,0),0)</f>
        <v>1.8840950653769523E-4</v>
      </c>
      <c r="R29" s="76">
        <f>+IFERROR(Country_year!AG29/_xlfn.XLOOKUP($B29,'2024 Prices'!$A$2:$A$40,'2024 Prices'!Q$2:Q$40,,0),0)</f>
        <v>7.2479548002500182E-3</v>
      </c>
      <c r="S29" s="76">
        <f>+IFERROR(Country_year!AH29/_xlfn.XLOOKUP($B29,'2024 Prices'!$A$2:$A$40,'2024 Prices'!R$2:R$40,,0),0)</f>
        <v>0</v>
      </c>
      <c r="T29" s="76">
        <f>+IFERROR(Country_year!AI29/_xlfn.XLOOKUP($B29,'2024 Prices'!$A$2:$A$40,'2024 Prices'!S$2:S$40,,0),0)</f>
        <v>8.8962976005276554E-6</v>
      </c>
      <c r="U29" s="76">
        <f>+IFERROR(Country_year!AJ29/_xlfn.XLOOKUP($B29,'2024 Prices'!$A$2:$A$40,'2024 Prices'!T$2:T$40,,0),0)</f>
        <v>1.8532231611005834E-5</v>
      </c>
      <c r="V29" s="76">
        <f>+IFERROR(Country_year!AK29/_xlfn.XLOOKUP($B29,'2024 Prices'!$A$2:$A$40,'2024 Prices'!U$2:U$40,,0),0)</f>
        <v>1.1473200653626244E-5</v>
      </c>
      <c r="W29" s="76">
        <f>+IFERROR(Country_year!AL29/_xlfn.XLOOKUP($B29,'2024 Prices'!$A$2:$A$40,'2024 Prices'!V$2:V$40,,0),0)</f>
        <v>8.7963060398239542E-6</v>
      </c>
      <c r="X29" s="76">
        <f>+IFERROR(Country_year!AM29/_xlfn.XLOOKUP($B29,'2024 Prices'!$A$2:$A$40,'2024 Prices'!W$2:W$40,,0),0)</f>
        <v>0</v>
      </c>
      <c r="Y29" s="76">
        <f>+IFERROR(Country_year!AN29/_xlfn.XLOOKUP($B29,'2024 Prices'!$A$2:$A$40,'2024 Prices'!X$2:X$40,,0),0)</f>
        <v>9.1935625790894046E-5</v>
      </c>
      <c r="Z29" s="76">
        <f>+IFERROR(Country_year!AO29/_xlfn.XLOOKUP($B29,'2024 Prices'!$A$2:$A$40,'2024 Prices'!Y$2:Y$40,,0),0)</f>
        <v>9.5141941386080349E-4</v>
      </c>
      <c r="AA29" s="76">
        <f>+IFERROR(Country_year!AP29/_xlfn.XLOOKUP($B29,'2024 Prices'!$A$2:$A$40,'2024 Prices'!Z$2:Z$40,,0),0)</f>
        <v>0</v>
      </c>
      <c r="AB29" s="76">
        <f>+IFERROR(Country_year!AQ29/_xlfn.XLOOKUP($B29,'2024 Prices'!$A$2:$A$40,'2024 Prices'!AA$2:AA$40,,0),0)</f>
        <v>4.3086505631911409E-4</v>
      </c>
      <c r="AC29" s="76">
        <f>+IFERROR(Country_year!AR29/_xlfn.XLOOKUP($B29,'2024 Prices'!$A$2:$A$40,'2024 Prices'!AB$2:AB$40,,0),0)</f>
        <v>2.7580645934940979E-5</v>
      </c>
      <c r="AD29" s="76">
        <f>+IFERROR(Country_year!AS29/_xlfn.XLOOKUP($B29,'2024 Prices'!$A$2:$A$40,'2024 Prices'!AC$2:AC$40,,0),0)</f>
        <v>5.7004944953864092E-7</v>
      </c>
      <c r="AE29" s="76">
        <f>+IFERROR(Country_year!AT29/_xlfn.XLOOKUP($B29,'2024 Prices'!$A$2:$A$40,'2024 Prices'!AD$2:AD$40,,0),0)</f>
        <v>3.8510971693357246E-7</v>
      </c>
      <c r="AF29" s="77">
        <f>+IFERROR(Country_year!AU29/_xlfn.XLOOKUP($B29,'2024 Prices'!$A$2:$A$40,'2024 Prices'!AE$2:AE$40,,0),0)</f>
        <v>1.7427051955486584E-3</v>
      </c>
      <c r="AG29" s="80">
        <f t="shared" si="0"/>
        <v>1.5638752321486147E-3</v>
      </c>
      <c r="AH29" s="80">
        <f t="shared" si="1"/>
        <v>3.6060678851343144E-4</v>
      </c>
      <c r="AI29" s="80">
        <f t="shared" si="2"/>
        <v>-1.2032684436351832E-3</v>
      </c>
    </row>
    <row r="30" spans="1:35" x14ac:dyDescent="0.25">
      <c r="A30" s="70" t="s">
        <v>91</v>
      </c>
      <c r="B30" s="71" t="s">
        <v>32</v>
      </c>
      <c r="C30" s="76">
        <f>+IFERROR(Country_year!R30/_xlfn.XLOOKUP($B30,'2024 Prices'!$A$2:$A$40,'2024 Prices'!B$2:B$40,,0),0)</f>
        <v>0</v>
      </c>
      <c r="D30" s="76">
        <f>+IFERROR(Country_year!S30/_xlfn.XLOOKUP($B30,'2024 Prices'!$A$2:$A$40,'2024 Prices'!C$2:C$40,,0),0)</f>
        <v>6.7619411572562827E-4</v>
      </c>
      <c r="E30" s="76">
        <f>+IFERROR(Country_year!T30/_xlfn.XLOOKUP($B30,'2024 Prices'!$A$2:$A$40,'2024 Prices'!D$2:D$40,,0),0)</f>
        <v>3.0154461015874953E-4</v>
      </c>
      <c r="F30" s="76">
        <f>+IFERROR(Country_year!U30/_xlfn.XLOOKUP($B30,'2024 Prices'!$A$2:$A$40,'2024 Prices'!E$2:E$40,,0),0)</f>
        <v>5.9096150392710987E-4</v>
      </c>
      <c r="G30" s="76">
        <f>+IFERROR(Country_year!V30/_xlfn.XLOOKUP($B30,'2024 Prices'!$A$2:$A$40,'2024 Prices'!F$2:F$40,,0),0)</f>
        <v>0</v>
      </c>
      <c r="H30" s="76">
        <f>+IFERROR(Country_year!W30/_xlfn.XLOOKUP($B30,'2024 Prices'!$A$2:$A$40,'2024 Prices'!G$2:G$40,,0),0)</f>
        <v>0</v>
      </c>
      <c r="I30" s="76">
        <f>+IFERROR(Country_year!X30/_xlfn.XLOOKUP($B30,'2024 Prices'!$A$2:$A$40,'2024 Prices'!H$2:H$40,,0),0)</f>
        <v>0</v>
      </c>
      <c r="J30" s="76">
        <f>+IFERROR(Country_year!Y30/_xlfn.XLOOKUP($B30,'2024 Prices'!$A$2:$A$40,'2024 Prices'!I$2:I$40,,0),0)</f>
        <v>0</v>
      </c>
      <c r="K30" s="76">
        <f>+IFERROR(Country_year!Z30/_xlfn.XLOOKUP($B30,'2024 Prices'!$A$2:$A$40,'2024 Prices'!J$2:J$40,,0),0)</f>
        <v>1.8644046522056857E-2</v>
      </c>
      <c r="L30" s="76">
        <f>+IFERROR(Country_year!AA30/_xlfn.XLOOKUP($B30,'2024 Prices'!$A$2:$A$40,'2024 Prices'!K$2:K$40,,0),0)</f>
        <v>5.9708345867672099E-3</v>
      </c>
      <c r="M30" s="76">
        <f>+IFERROR(Country_year!AB30/_xlfn.XLOOKUP($B30,'2024 Prices'!$A$2:$A$40,'2024 Prices'!L$2:L$40,,0),0)</f>
        <v>6.8934365989007668E-3</v>
      </c>
      <c r="N30" s="76">
        <f>+IFERROR(Country_year!AC30/_xlfn.XLOOKUP($B30,'2024 Prices'!$A$2:$A$40,'2024 Prices'!M$2:M$40,,0),0)</f>
        <v>0</v>
      </c>
      <c r="O30" s="76">
        <f>+IFERROR(Country_year!AD30/_xlfn.XLOOKUP($B30,'2024 Prices'!$A$2:$A$40,'2024 Prices'!N$2:N$40,,0),0)</f>
        <v>0</v>
      </c>
      <c r="P30" s="76">
        <f>+IFERROR(Country_year!AE30/_xlfn.XLOOKUP($B30,'2024 Prices'!$A$2:$A$40,'2024 Prices'!O$2:O$40,,0),0)</f>
        <v>0</v>
      </c>
      <c r="Q30" s="76">
        <f>+IFERROR(Country_year!AF30/_xlfn.XLOOKUP($B30,'2024 Prices'!$A$2:$A$40,'2024 Prices'!P$2:P$40,,0),0)</f>
        <v>1.4069924538042718E-4</v>
      </c>
      <c r="R30" s="76">
        <f>+IFERROR(Country_year!AG30/_xlfn.XLOOKUP($B30,'2024 Prices'!$A$2:$A$40,'2024 Prices'!Q$2:Q$40,,0),0)</f>
        <v>4.9931382849581155E-3</v>
      </c>
      <c r="S30" s="76">
        <f>+IFERROR(Country_year!AH30/_xlfn.XLOOKUP($B30,'2024 Prices'!$A$2:$A$40,'2024 Prices'!R$2:R$40,,0),0)</f>
        <v>0</v>
      </c>
      <c r="T30" s="76">
        <f>+IFERROR(Country_year!AI30/_xlfn.XLOOKUP($B30,'2024 Prices'!$A$2:$A$40,'2024 Prices'!S$2:S$40,,0),0)</f>
        <v>0</v>
      </c>
      <c r="U30" s="76">
        <f>+IFERROR(Country_year!AJ30/_xlfn.XLOOKUP($B30,'2024 Prices'!$A$2:$A$40,'2024 Prices'!T$2:T$40,,0),0)</f>
        <v>2.4694375972277704E-3</v>
      </c>
      <c r="V30" s="76">
        <f>+IFERROR(Country_year!AK30/_xlfn.XLOOKUP($B30,'2024 Prices'!$A$2:$A$40,'2024 Prices'!U$2:U$40,,0),0)</f>
        <v>0</v>
      </c>
      <c r="W30" s="76">
        <f>+IFERROR(Country_year!AL30/_xlfn.XLOOKUP($B30,'2024 Prices'!$A$2:$A$40,'2024 Prices'!V$2:V$40,,0),0)</f>
        <v>2.1703535618591664E-5</v>
      </c>
      <c r="X30" s="76">
        <f>+IFERROR(Country_year!AM30/_xlfn.XLOOKUP($B30,'2024 Prices'!$A$2:$A$40,'2024 Prices'!W$2:W$40,,0),0)</f>
        <v>8.9256605429035413E-4</v>
      </c>
      <c r="Y30" s="76">
        <f>+IFERROR(Country_year!AN30/_xlfn.XLOOKUP($B30,'2024 Prices'!$A$2:$A$40,'2024 Prices'!X$2:X$40,,0),0)</f>
        <v>6.8538771603370496E-3</v>
      </c>
      <c r="Z30" s="76">
        <f>+IFERROR(Country_year!AO30/_xlfn.XLOOKUP($B30,'2024 Prices'!$A$2:$A$40,'2024 Prices'!Y$2:Y$40,,0),0)</f>
        <v>5.1533305464898193E-4</v>
      </c>
      <c r="AA30" s="76">
        <f>+IFERROR(Country_year!AP30/_xlfn.XLOOKUP($B30,'2024 Prices'!$A$2:$A$40,'2024 Prices'!Z$2:Z$40,,0),0)</f>
        <v>1.670860075001279E-3</v>
      </c>
      <c r="AB30" s="76">
        <f>+IFERROR(Country_year!AQ30/_xlfn.XLOOKUP($B30,'2024 Prices'!$A$2:$A$40,'2024 Prices'!AA$2:AA$40,,0),0)</f>
        <v>2.9978351880699847E-4</v>
      </c>
      <c r="AC30" s="76">
        <f>+IFERROR(Country_year!AR30/_xlfn.XLOOKUP($B30,'2024 Prices'!$A$2:$A$40,'2024 Prices'!AB$2:AB$40,,0),0)</f>
        <v>7.7964054706672563E-6</v>
      </c>
      <c r="AD30" s="76">
        <f>+IFERROR(Country_year!AS30/_xlfn.XLOOKUP($B30,'2024 Prices'!$A$2:$A$40,'2024 Prices'!AC$2:AC$40,,0),0)</f>
        <v>2.6246091571315087E-3</v>
      </c>
      <c r="AE30" s="76">
        <f>+IFERROR(Country_year!AT30/_xlfn.XLOOKUP($B30,'2024 Prices'!$A$2:$A$40,'2024 Prices'!AD$2:AD$40,,0),0)</f>
        <v>8.5962362639378258E-5</v>
      </c>
      <c r="AF30" s="77">
        <f>+IFERROR(Country_year!AU30/_xlfn.XLOOKUP($B30,'2024 Prices'!$A$2:$A$40,'2024 Prices'!AE$2:AE$40,,0),0)</f>
        <v>2.300872622028281E-4</v>
      </c>
      <c r="AG30" s="80">
        <f t="shared" si="0"/>
        <v>1.7960957217083421E-3</v>
      </c>
      <c r="AH30" s="80">
        <f t="shared" si="1"/>
        <v>1.4645416722810051E-3</v>
      </c>
      <c r="AI30" s="80">
        <f t="shared" si="2"/>
        <v>-3.3155404942733697E-4</v>
      </c>
    </row>
    <row r="31" spans="1:35" x14ac:dyDescent="0.25">
      <c r="A31" s="70" t="s">
        <v>92</v>
      </c>
      <c r="B31" s="71" t="s">
        <v>33</v>
      </c>
      <c r="C31" s="76">
        <f>+IFERROR(Country_year!R31/_xlfn.XLOOKUP($B31,'2024 Prices'!$A$2:$A$40,'2024 Prices'!B$2:B$40,,0),0)</f>
        <v>5.7689382797877081E-4</v>
      </c>
      <c r="D31" s="76">
        <f>+IFERROR(Country_year!S31/_xlfn.XLOOKUP($B31,'2024 Prices'!$A$2:$A$40,'2024 Prices'!C$2:C$40,,0),0)</f>
        <v>5.5724649390953324E-4</v>
      </c>
      <c r="E31" s="76">
        <f>+IFERROR(Country_year!T31/_xlfn.XLOOKUP($B31,'2024 Prices'!$A$2:$A$40,'2024 Prices'!D$2:D$40,,0),0)</f>
        <v>5.1824238133852344E-3</v>
      </c>
      <c r="F31" s="76">
        <f>+IFERROR(Country_year!U31/_xlfn.XLOOKUP($B31,'2024 Prices'!$A$2:$A$40,'2024 Prices'!E$2:E$40,,0),0)</f>
        <v>5.3496107943682477E-3</v>
      </c>
      <c r="G31" s="76">
        <f>+IFERROR(Country_year!V31/_xlfn.XLOOKUP($B31,'2024 Prices'!$A$2:$A$40,'2024 Prices'!F$2:F$40,,0),0)</f>
        <v>1.1236728900676202E-2</v>
      </c>
      <c r="H31" s="76">
        <f>+IFERROR(Country_year!W31/_xlfn.XLOOKUP($B31,'2024 Prices'!$A$2:$A$40,'2024 Prices'!G$2:G$40,,0),0)</f>
        <v>3.1217703486737629E-2</v>
      </c>
      <c r="I31" s="76">
        <f>+IFERROR(Country_year!X31/_xlfn.XLOOKUP($B31,'2024 Prices'!$A$2:$A$40,'2024 Prices'!H$2:H$40,,0),0)</f>
        <v>7.1298057406372524E-3</v>
      </c>
      <c r="J31" s="76">
        <f>+IFERROR(Country_year!Y31/_xlfn.XLOOKUP($B31,'2024 Prices'!$A$2:$A$40,'2024 Prices'!I$2:I$40,,0),0)</f>
        <v>9.1098098332322073E-6</v>
      </c>
      <c r="K31" s="76">
        <f>+IFERROR(Country_year!Z31/_xlfn.XLOOKUP($B31,'2024 Prices'!$A$2:$A$40,'2024 Prices'!J$2:J$40,,0),0)</f>
        <v>9.1723619695078182E-3</v>
      </c>
      <c r="L31" s="76">
        <f>+IFERROR(Country_year!AA31/_xlfn.XLOOKUP($B31,'2024 Prices'!$A$2:$A$40,'2024 Prices'!K$2:K$40,,0),0)</f>
        <v>6.3527127065299174E-4</v>
      </c>
      <c r="M31" s="76">
        <f>+IFERROR(Country_year!AB31/_xlfn.XLOOKUP($B31,'2024 Prices'!$A$2:$A$40,'2024 Prices'!L$2:L$40,,0),0)</f>
        <v>2.0102043998723867E-2</v>
      </c>
      <c r="N31" s="76">
        <f>+IFERROR(Country_year!AC31/_xlfn.XLOOKUP($B31,'2024 Prices'!$A$2:$A$40,'2024 Prices'!M$2:M$40,,0),0)</f>
        <v>3.2587418543329858E-3</v>
      </c>
      <c r="O31" s="76">
        <f>+IFERROR(Country_year!AD31/_xlfn.XLOOKUP($B31,'2024 Prices'!$A$2:$A$40,'2024 Prices'!N$2:N$40,,0),0)</f>
        <v>1.148983647983496E-3</v>
      </c>
      <c r="P31" s="76">
        <f>+IFERROR(Country_year!AE31/_xlfn.XLOOKUP($B31,'2024 Prices'!$A$2:$A$40,'2024 Prices'!O$2:O$40,,0),0)</f>
        <v>1.7632060666515151E-3</v>
      </c>
      <c r="Q31" s="76">
        <f>+IFERROR(Country_year!AF31/_xlfn.XLOOKUP($B31,'2024 Prices'!$A$2:$A$40,'2024 Prices'!P$2:P$40,,0),0)</f>
        <v>0</v>
      </c>
      <c r="R31" s="76">
        <f>+IFERROR(Country_year!AG31/_xlfn.XLOOKUP($B31,'2024 Prices'!$A$2:$A$40,'2024 Prices'!Q$2:Q$40,,0),0)</f>
        <v>4.5236083975460301E-3</v>
      </c>
      <c r="S31" s="76">
        <f>+IFERROR(Country_year!AH31/_xlfn.XLOOKUP($B31,'2024 Prices'!$A$2:$A$40,'2024 Prices'!R$2:R$40,,0),0)</f>
        <v>0</v>
      </c>
      <c r="T31" s="76">
        <f>+IFERROR(Country_year!AI31/_xlfn.XLOOKUP($B31,'2024 Prices'!$A$2:$A$40,'2024 Prices'!S$2:S$40,,0),0)</f>
        <v>8.4085385774589742E-5</v>
      </c>
      <c r="U31" s="76">
        <f>+IFERROR(Country_year!AJ31/_xlfn.XLOOKUP($B31,'2024 Prices'!$A$2:$A$40,'2024 Prices'!T$2:T$40,,0),0)</f>
        <v>5.8042991214340876E-5</v>
      </c>
      <c r="V31" s="76">
        <f>+IFERROR(Country_year!AK31/_xlfn.XLOOKUP($B31,'2024 Prices'!$A$2:$A$40,'2024 Prices'!U$2:U$40,,0),0)</f>
        <v>2.1660621608679733E-3</v>
      </c>
      <c r="W31" s="76">
        <f>+IFERROR(Country_year!AL31/_xlfn.XLOOKUP($B31,'2024 Prices'!$A$2:$A$40,'2024 Prices'!V$2:V$40,,0),0)</f>
        <v>8.9551493113121002E-3</v>
      </c>
      <c r="X31" s="76">
        <f>+IFERROR(Country_year!AM31/_xlfn.XLOOKUP($B31,'2024 Prices'!$A$2:$A$40,'2024 Prices'!W$2:W$40,,0),0)</f>
        <v>0</v>
      </c>
      <c r="Y31" s="76">
        <f>+IFERROR(Country_year!AN31/_xlfn.XLOOKUP($B31,'2024 Prices'!$A$2:$A$40,'2024 Prices'!X$2:X$40,,0),0)</f>
        <v>8.7938805943841989E-5</v>
      </c>
      <c r="Z31" s="76">
        <f>+IFERROR(Country_year!AO31/_xlfn.XLOOKUP($B31,'2024 Prices'!$A$2:$A$40,'2024 Prices'!Y$2:Y$40,,0),0)</f>
        <v>9.1621462207440202E-4</v>
      </c>
      <c r="AA31" s="76">
        <f>+IFERROR(Country_year!AP31/_xlfn.XLOOKUP($B31,'2024 Prices'!$A$2:$A$40,'2024 Prices'!Z$2:Z$40,,0),0)</f>
        <v>0</v>
      </c>
      <c r="AB31" s="76">
        <f>+IFERROR(Country_year!AQ31/_xlfn.XLOOKUP($B31,'2024 Prices'!$A$2:$A$40,'2024 Prices'!AA$2:AA$40,,0),0)</f>
        <v>9.1353045405847546E-4</v>
      </c>
      <c r="AC31" s="76">
        <f>+IFERROR(Country_year!AR31/_xlfn.XLOOKUP($B31,'2024 Prices'!$A$2:$A$40,'2024 Prices'!AB$2:AB$40,,0),0)</f>
        <v>5.4154480647503552E-5</v>
      </c>
      <c r="AD31" s="76">
        <f>+IFERROR(Country_year!AS31/_xlfn.XLOOKUP($B31,'2024 Prices'!$A$2:$A$40,'2024 Prices'!AC$2:AC$40,,0),0)</f>
        <v>1.5745615738372953E-3</v>
      </c>
      <c r="AE31" s="76">
        <f>+IFERROR(Country_year!AT31/_xlfn.XLOOKUP($B31,'2024 Prices'!$A$2:$A$40,'2024 Prices'!AD$2:AD$40,,0),0)</f>
        <v>1.9672570889477087E-5</v>
      </c>
      <c r="AF31" s="77">
        <f>+IFERROR(Country_year!AU31/_xlfn.XLOOKUP($B31,'2024 Prices'!$A$2:$A$40,'2024 Prices'!AE$2:AE$40,,0),0)</f>
        <v>4.3724150130015666E-4</v>
      </c>
      <c r="AG31" s="80">
        <f t="shared" si="0"/>
        <v>3.9043464643614989E-3</v>
      </c>
      <c r="AH31" s="80">
        <f t="shared" si="1"/>
        <v>4.4481266763901688E-4</v>
      </c>
      <c r="AI31" s="80">
        <f t="shared" si="2"/>
        <v>-3.4595337967224821E-3</v>
      </c>
    </row>
    <row r="32" spans="1:35" x14ac:dyDescent="0.25">
      <c r="A32" s="70" t="s">
        <v>96</v>
      </c>
      <c r="B32" s="71" t="s">
        <v>35</v>
      </c>
      <c r="C32" s="76">
        <f>+IFERROR(Country_year!R32/_xlfn.XLOOKUP($B32,'2024 Prices'!$A$2:$A$40,'2024 Prices'!B$2:B$40,,0),0)</f>
        <v>0</v>
      </c>
      <c r="D32" s="76">
        <f>+IFERROR(Country_year!S32/_xlfn.XLOOKUP($B32,'2024 Prices'!$A$2:$A$40,'2024 Prices'!C$2:C$40,,0),0)</f>
        <v>7.9653373465052107E-4</v>
      </c>
      <c r="E32" s="76">
        <f>+IFERROR(Country_year!T32/_xlfn.XLOOKUP($B32,'2024 Prices'!$A$2:$A$40,'2024 Prices'!D$2:D$40,,0),0)</f>
        <v>4.606375357346401E-3</v>
      </c>
      <c r="F32" s="76">
        <f>+IFERROR(Country_year!U32/_xlfn.XLOOKUP($B32,'2024 Prices'!$A$2:$A$40,'2024 Prices'!E$2:E$40,,0),0)</f>
        <v>2.5829201441286073E-3</v>
      </c>
      <c r="G32" s="76">
        <f>+IFERROR(Country_year!V32/_xlfn.XLOOKUP($B32,'2024 Prices'!$A$2:$A$40,'2024 Prices'!F$2:F$40,,0),0)</f>
        <v>1.2426935489959235E-2</v>
      </c>
      <c r="H32" s="76">
        <f>+IFERROR(Country_year!W32/_xlfn.XLOOKUP($B32,'2024 Prices'!$A$2:$A$40,'2024 Prices'!G$2:G$40,,0),0)</f>
        <v>0</v>
      </c>
      <c r="I32" s="76">
        <f>+IFERROR(Country_year!X32/_xlfn.XLOOKUP($B32,'2024 Prices'!$A$2:$A$40,'2024 Prices'!H$2:H$40,,0),0)</f>
        <v>5.4761824216386073E-4</v>
      </c>
      <c r="J32" s="76">
        <f>+IFERROR(Country_year!Y32/_xlfn.XLOOKUP($B32,'2024 Prices'!$A$2:$A$40,'2024 Prices'!I$2:I$40,,0),0)</f>
        <v>1.3891991406311374E-3</v>
      </c>
      <c r="K32" s="76">
        <f>+IFERROR(Country_year!Z32/_xlfn.XLOOKUP($B32,'2024 Prices'!$A$2:$A$40,'2024 Prices'!J$2:J$40,,0),0)</f>
        <v>4.4457777449889565E-3</v>
      </c>
      <c r="L32" s="76">
        <f>+IFERROR(Country_year!AA32/_xlfn.XLOOKUP($B32,'2024 Prices'!$A$2:$A$40,'2024 Prices'!K$2:K$40,,0),0)</f>
        <v>9.4214085652269408E-3</v>
      </c>
      <c r="M32" s="76">
        <f>+IFERROR(Country_year!AB32/_xlfn.XLOOKUP($B32,'2024 Prices'!$A$2:$A$40,'2024 Prices'!L$2:L$40,,0),0)</f>
        <v>1.2287760978860456E-5</v>
      </c>
      <c r="N32" s="76">
        <f>+IFERROR(Country_year!AC32/_xlfn.XLOOKUP($B32,'2024 Prices'!$A$2:$A$40,'2024 Prices'!M$2:M$40,,0),0)</f>
        <v>8.0048146530110236E-4</v>
      </c>
      <c r="O32" s="76">
        <f>+IFERROR(Country_year!AD32/_xlfn.XLOOKUP($B32,'2024 Prices'!$A$2:$A$40,'2024 Prices'!N$2:N$40,,0),0)</f>
        <v>5.5862737274126434E-6</v>
      </c>
      <c r="P32" s="76">
        <f>+IFERROR(Country_year!AE32/_xlfn.XLOOKUP($B32,'2024 Prices'!$A$2:$A$40,'2024 Prices'!O$2:O$40,,0),0)</f>
        <v>3.4371301256628389E-6</v>
      </c>
      <c r="Q32" s="76">
        <f>+IFERROR(Country_year!AF32/_xlfn.XLOOKUP($B32,'2024 Prices'!$A$2:$A$40,'2024 Prices'!P$2:P$40,,0),0)</f>
        <v>0</v>
      </c>
      <c r="R32" s="76">
        <f>+IFERROR(Country_year!AG32/_xlfn.XLOOKUP($B32,'2024 Prices'!$A$2:$A$40,'2024 Prices'!Q$2:Q$40,,0),0)</f>
        <v>3.3741305372322861E-4</v>
      </c>
      <c r="S32" s="76">
        <f>+IFERROR(Country_year!AH32/_xlfn.XLOOKUP($B32,'2024 Prices'!$A$2:$A$40,'2024 Prices'!R$2:R$40,,0),0)</f>
        <v>0</v>
      </c>
      <c r="T32" s="76">
        <f>+IFERROR(Country_year!AI32/_xlfn.XLOOKUP($B32,'2024 Prices'!$A$2:$A$40,'2024 Prices'!S$2:S$40,,0),0)</f>
        <v>0</v>
      </c>
      <c r="U32" s="76">
        <f>+IFERROR(Country_year!AJ32/_xlfn.XLOOKUP($B32,'2024 Prices'!$A$2:$A$40,'2024 Prices'!T$2:T$40,,0),0)</f>
        <v>9.6144351907454992E-5</v>
      </c>
      <c r="V32" s="76">
        <f>+IFERROR(Country_year!AK32/_xlfn.XLOOKUP($B32,'2024 Prices'!$A$2:$A$40,'2024 Prices'!U$2:U$40,,0),0)</f>
        <v>0</v>
      </c>
      <c r="W32" s="76">
        <f>+IFERROR(Country_year!AL32/_xlfn.XLOOKUP($B32,'2024 Prices'!$A$2:$A$40,'2024 Prices'!V$2:V$40,,0),0)</f>
        <v>0</v>
      </c>
      <c r="X32" s="76">
        <f>+IFERROR(Country_year!AM32/_xlfn.XLOOKUP($B32,'2024 Prices'!$A$2:$A$40,'2024 Prices'!W$2:W$40,,0),0)</f>
        <v>0</v>
      </c>
      <c r="Y32" s="76">
        <f>+IFERROR(Country_year!AN32/_xlfn.XLOOKUP($B32,'2024 Prices'!$A$2:$A$40,'2024 Prices'!X$2:X$40,,0),0)</f>
        <v>0</v>
      </c>
      <c r="Z32" s="76">
        <f>+IFERROR(Country_year!AO32/_xlfn.XLOOKUP($B32,'2024 Prices'!$A$2:$A$40,'2024 Prices'!Y$2:Y$40,,0),0)</f>
        <v>4.1794471083846167E-4</v>
      </c>
      <c r="AA32" s="76">
        <f>+IFERROR(Country_year!AP32/_xlfn.XLOOKUP($B32,'2024 Prices'!$A$2:$A$40,'2024 Prices'!Z$2:Z$40,,0),0)</f>
        <v>1.6046653958822036E-4</v>
      </c>
      <c r="AB32" s="76">
        <f>+IFERROR(Country_year!AQ32/_xlfn.XLOOKUP($B32,'2024 Prices'!$A$2:$A$40,'2024 Prices'!AA$2:AA$40,,0),0)</f>
        <v>1.074001648560196E-4</v>
      </c>
      <c r="AC32" s="76">
        <f>+IFERROR(Country_year!AR32/_xlfn.XLOOKUP($B32,'2024 Prices'!$A$2:$A$40,'2024 Prices'!AB$2:AB$40,,0),0)</f>
        <v>1.8566435194304273E-4</v>
      </c>
      <c r="AD32" s="76">
        <f>+IFERROR(Country_year!AS32/_xlfn.XLOOKUP($B32,'2024 Prices'!$A$2:$A$40,'2024 Prices'!AC$2:AC$40,,0),0)</f>
        <v>3.3243588184552999E-4</v>
      </c>
      <c r="AE32" s="76">
        <f>+IFERROR(Country_year!AT32/_xlfn.XLOOKUP($B32,'2024 Prices'!$A$2:$A$40,'2024 Prices'!AD$2:AD$40,,0),0)</f>
        <v>7.4849978415188835E-5</v>
      </c>
      <c r="AF32" s="77">
        <f>+IFERROR(Country_year!AU32/_xlfn.XLOOKUP($B32,'2024 Prices'!$A$2:$A$40,'2024 Prices'!AE$2:AE$40,,0),0)</f>
        <v>4.0989544740601162E-4</v>
      </c>
      <c r="AG32" s="80">
        <f t="shared" si="0"/>
        <v>1.3053591843250618E-3</v>
      </c>
      <c r="AH32" s="80">
        <f t="shared" si="1"/>
        <v>1.8762856387694163E-4</v>
      </c>
      <c r="AI32" s="80">
        <f t="shared" si="2"/>
        <v>-1.1177306204481201E-3</v>
      </c>
    </row>
    <row r="33" spans="1:35" x14ac:dyDescent="0.25">
      <c r="A33" s="70" t="s">
        <v>95</v>
      </c>
      <c r="B33" s="71" t="s">
        <v>34</v>
      </c>
      <c r="C33" s="76">
        <f>+IFERROR(Country_year!R33/_xlfn.XLOOKUP($B33,'2024 Prices'!$A$2:$A$40,'2024 Prices'!B$2:B$40,,0),0)</f>
        <v>2.8131924893107546E-3</v>
      </c>
      <c r="D33" s="76">
        <f>+IFERROR(Country_year!S33/_xlfn.XLOOKUP($B33,'2024 Prices'!$A$2:$A$40,'2024 Prices'!C$2:C$40,,0),0)</f>
        <v>0</v>
      </c>
      <c r="E33" s="76">
        <f>+IFERROR(Country_year!T33/_xlfn.XLOOKUP($B33,'2024 Prices'!$A$2:$A$40,'2024 Prices'!D$2:D$40,,0),0)</f>
        <v>2.9422285510857958E-3</v>
      </c>
      <c r="F33" s="76">
        <f>+IFERROR(Country_year!U33/_xlfn.XLOOKUP($B33,'2024 Prices'!$A$2:$A$40,'2024 Prices'!E$2:E$40,,0),0)</f>
        <v>1.0292136445624472E-2</v>
      </c>
      <c r="G33" s="76">
        <f>+IFERROR(Country_year!V33/_xlfn.XLOOKUP($B33,'2024 Prices'!$A$2:$A$40,'2024 Prices'!F$2:F$40,,0),0)</f>
        <v>6.9330972555963074E-4</v>
      </c>
      <c r="H33" s="76">
        <f>+IFERROR(Country_year!W33/_xlfn.XLOOKUP($B33,'2024 Prices'!$A$2:$A$40,'2024 Prices'!G$2:G$40,,0),0)</f>
        <v>3.9934923663209627E-3</v>
      </c>
      <c r="I33" s="76">
        <f>+IFERROR(Country_year!X33/_xlfn.XLOOKUP($B33,'2024 Prices'!$A$2:$A$40,'2024 Prices'!H$2:H$40,,0),0)</f>
        <v>2.3693112316372856E-3</v>
      </c>
      <c r="J33" s="76">
        <f>+IFERROR(Country_year!Y33/_xlfn.XLOOKUP($B33,'2024 Prices'!$A$2:$A$40,'2024 Prices'!I$2:I$40,,0),0)</f>
        <v>0</v>
      </c>
      <c r="K33" s="76">
        <f>+IFERROR(Country_year!Z33/_xlfn.XLOOKUP($B33,'2024 Prices'!$A$2:$A$40,'2024 Prices'!J$2:J$40,,0),0)</f>
        <v>4.6982763903471326E-3</v>
      </c>
      <c r="L33" s="76">
        <f>+IFERROR(Country_year!AA33/_xlfn.XLOOKUP($B33,'2024 Prices'!$A$2:$A$40,'2024 Prices'!K$2:K$40,,0),0)</f>
        <v>2.1619513646279885E-3</v>
      </c>
      <c r="M33" s="76">
        <f>+IFERROR(Country_year!AB33/_xlfn.XLOOKUP($B33,'2024 Prices'!$A$2:$A$40,'2024 Prices'!L$2:L$40,,0),0)</f>
        <v>1.5144361786344201E-3</v>
      </c>
      <c r="N33" s="76">
        <f>+IFERROR(Country_year!AC33/_xlfn.XLOOKUP($B33,'2024 Prices'!$A$2:$A$40,'2024 Prices'!M$2:M$40,,0),0)</f>
        <v>1.2407796150368168E-3</v>
      </c>
      <c r="O33" s="76">
        <f>+IFERROR(Country_year!AD33/_xlfn.XLOOKUP($B33,'2024 Prices'!$A$2:$A$40,'2024 Prices'!N$2:N$40,,0),0)</f>
        <v>6.429517354809438E-3</v>
      </c>
      <c r="P33" s="76">
        <f>+IFERROR(Country_year!AE33/_xlfn.XLOOKUP($B33,'2024 Prices'!$A$2:$A$40,'2024 Prices'!O$2:O$40,,0),0)</f>
        <v>1.9612783328470454E-3</v>
      </c>
      <c r="Q33" s="76">
        <f>+IFERROR(Country_year!AF33/_xlfn.XLOOKUP($B33,'2024 Prices'!$A$2:$A$40,'2024 Prices'!P$2:P$40,,0),0)</f>
        <v>5.0895526537994942E-4</v>
      </c>
      <c r="R33" s="76">
        <f>+IFERROR(Country_year!AG33/_xlfn.XLOOKUP($B33,'2024 Prices'!$A$2:$A$40,'2024 Prices'!Q$2:Q$40,,0),0)</f>
        <v>4.9205009505784462E-3</v>
      </c>
      <c r="S33" s="76">
        <f>+IFERROR(Country_year!AH33/_xlfn.XLOOKUP($B33,'2024 Prices'!$A$2:$A$40,'2024 Prices'!R$2:R$40,,0),0)</f>
        <v>0</v>
      </c>
      <c r="T33" s="76">
        <f>+IFERROR(Country_year!AI33/_xlfn.XLOOKUP($B33,'2024 Prices'!$A$2:$A$40,'2024 Prices'!S$2:S$40,,0),0)</f>
        <v>9.6586173398708966E-3</v>
      </c>
      <c r="U33" s="76">
        <f>+IFERROR(Country_year!AJ33/_xlfn.XLOOKUP($B33,'2024 Prices'!$A$2:$A$40,'2024 Prices'!T$2:T$40,,0),0)</f>
        <v>0</v>
      </c>
      <c r="V33" s="76">
        <f>+IFERROR(Country_year!AK33/_xlfn.XLOOKUP($B33,'2024 Prices'!$A$2:$A$40,'2024 Prices'!U$2:U$40,,0),0)</f>
        <v>2.0950401297441579E-2</v>
      </c>
      <c r="W33" s="76">
        <f>+IFERROR(Country_year!AL33/_xlfn.XLOOKUP($B33,'2024 Prices'!$A$2:$A$40,'2024 Prices'!V$2:V$40,,0),0)</f>
        <v>0</v>
      </c>
      <c r="X33" s="76">
        <f>+IFERROR(Country_year!AM33/_xlfn.XLOOKUP($B33,'2024 Prices'!$A$2:$A$40,'2024 Prices'!W$2:W$40,,0),0)</f>
        <v>0</v>
      </c>
      <c r="Y33" s="76">
        <f>+IFERROR(Country_year!AN33/_xlfn.XLOOKUP($B33,'2024 Prices'!$A$2:$A$40,'2024 Prices'!X$2:X$40,,0),0)</f>
        <v>2.7596230374735986E-3</v>
      </c>
      <c r="Z33" s="76">
        <f>+IFERROR(Country_year!AO33/_xlfn.XLOOKUP($B33,'2024 Prices'!$A$2:$A$40,'2024 Prices'!Y$2:Y$40,,0),0)</f>
        <v>0</v>
      </c>
      <c r="AA33" s="76">
        <f>+IFERROR(Country_year!AP33/_xlfn.XLOOKUP($B33,'2024 Prices'!$A$2:$A$40,'2024 Prices'!Z$2:Z$40,,0),0)</f>
        <v>2.278075183477472E-3</v>
      </c>
      <c r="AB33" s="76">
        <f>+IFERROR(Country_year!AQ33/_xlfn.XLOOKUP($B33,'2024 Prices'!$A$2:$A$40,'2024 Prices'!AA$2:AA$40,,0),0)</f>
        <v>1.0987704894386717E-4</v>
      </c>
      <c r="AC33" s="76">
        <f>+IFERROR(Country_year!AR33/_xlfn.XLOOKUP($B33,'2024 Prices'!$A$2:$A$40,'2024 Prices'!AB$2:AB$40,,0),0)</f>
        <v>1.1490497358684369E-6</v>
      </c>
      <c r="AD33" s="76">
        <f>+IFERROR(Country_year!AS33/_xlfn.XLOOKUP($B33,'2024 Prices'!$A$2:$A$40,'2024 Prices'!AC$2:AC$40,,0),0)</f>
        <v>1.4998067158636327E-3</v>
      </c>
      <c r="AE33" s="76">
        <f>+IFERROR(Country_year!AT33/_xlfn.XLOOKUP($B33,'2024 Prices'!$A$2:$A$40,'2024 Prices'!AD$2:AD$40,,0),0)</f>
        <v>8.2761599956045165E-2</v>
      </c>
      <c r="AF33" s="77">
        <f>+IFERROR(Country_year!AU33/_xlfn.XLOOKUP($B33,'2024 Prices'!$A$2:$A$40,'2024 Prices'!AE$2:AE$40,,0),0)</f>
        <v>2.6202672291221365E-4</v>
      </c>
      <c r="AG33" s="80">
        <f t="shared" si="0"/>
        <v>5.5606847537854808E-3</v>
      </c>
      <c r="AH33" s="80">
        <f t="shared" si="1"/>
        <v>9.9635730793835361E-3</v>
      </c>
      <c r="AI33" s="80">
        <f t="shared" si="2"/>
        <v>4.4028883255980552E-3</v>
      </c>
    </row>
    <row r="34" spans="1:35" x14ac:dyDescent="0.25">
      <c r="A34" s="70" t="s">
        <v>93</v>
      </c>
      <c r="B34" s="71" t="s">
        <v>47</v>
      </c>
      <c r="C34" s="76">
        <f>+IFERROR(Country_year!R34/_xlfn.XLOOKUP($B34,'2024 Prices'!$A$2:$A$40,'2024 Prices'!B$2:B$40,,0),0)</f>
        <v>0</v>
      </c>
      <c r="D34" s="76">
        <f>+IFERROR(Country_year!S34/_xlfn.XLOOKUP($B34,'2024 Prices'!$A$2:$A$40,'2024 Prices'!C$2:C$40,,0),0)</f>
        <v>0</v>
      </c>
      <c r="E34" s="76">
        <f>+IFERROR(Country_year!T34/_xlfn.XLOOKUP($B34,'2024 Prices'!$A$2:$A$40,'2024 Prices'!D$2:D$40,,0),0)</f>
        <v>0</v>
      </c>
      <c r="F34" s="76">
        <f>+IFERROR(Country_year!U34/_xlfn.XLOOKUP($B34,'2024 Prices'!$A$2:$A$40,'2024 Prices'!E$2:E$40,,0),0)</f>
        <v>1.0363530334690902E-5</v>
      </c>
      <c r="G34" s="76">
        <f>+IFERROR(Country_year!V34/_xlfn.XLOOKUP($B34,'2024 Prices'!$A$2:$A$40,'2024 Prices'!F$2:F$40,,0),0)</f>
        <v>3.7367242274402796E-3</v>
      </c>
      <c r="H34" s="76">
        <f>+IFERROR(Country_year!W34/_xlfn.XLOOKUP($B34,'2024 Prices'!$A$2:$A$40,'2024 Prices'!G$2:G$40,,0),0)</f>
        <v>6.9324939798513551E-3</v>
      </c>
      <c r="I34" s="76">
        <f>+IFERROR(Country_year!X34/_xlfn.XLOOKUP($B34,'2024 Prices'!$A$2:$A$40,'2024 Prices'!H$2:H$40,,0),0)</f>
        <v>0</v>
      </c>
      <c r="J34" s="76">
        <f>+IFERROR(Country_year!Y34/_xlfn.XLOOKUP($B34,'2024 Prices'!$A$2:$A$40,'2024 Prices'!I$2:I$40,,0),0)</f>
        <v>0</v>
      </c>
      <c r="K34" s="76">
        <f>+IFERROR(Country_year!Z34/_xlfn.XLOOKUP($B34,'2024 Prices'!$A$2:$A$40,'2024 Prices'!J$2:J$40,,0),0)</f>
        <v>0</v>
      </c>
      <c r="L34" s="76">
        <f>+IFERROR(Country_year!AA34/_xlfn.XLOOKUP($B34,'2024 Prices'!$A$2:$A$40,'2024 Prices'!K$2:K$40,,0),0)</f>
        <v>0</v>
      </c>
      <c r="M34" s="76">
        <f>+IFERROR(Country_year!AB34/_xlfn.XLOOKUP($B34,'2024 Prices'!$A$2:$A$40,'2024 Prices'!L$2:L$40,,0),0)</f>
        <v>1.5317319001618207E-3</v>
      </c>
      <c r="N34" s="76">
        <f>+IFERROR(Country_year!AC34/_xlfn.XLOOKUP($B34,'2024 Prices'!$A$2:$A$40,'2024 Prices'!M$2:M$40,,0),0)</f>
        <v>6.9360853286817609E-4</v>
      </c>
      <c r="O34" s="76">
        <f>+IFERROR(Country_year!AD34/_xlfn.XLOOKUP($B34,'2024 Prices'!$A$2:$A$40,'2024 Prices'!N$2:N$40,,0),0)</f>
        <v>1.2224291183565722E-2</v>
      </c>
      <c r="P34" s="76">
        <f>+IFERROR(Country_year!AE34/_xlfn.XLOOKUP($B34,'2024 Prices'!$A$2:$A$40,'2024 Prices'!O$2:O$40,,0),0)</f>
        <v>0</v>
      </c>
      <c r="Q34" s="76">
        <f>+IFERROR(Country_year!AF34/_xlfn.XLOOKUP($B34,'2024 Prices'!$A$2:$A$40,'2024 Prices'!P$2:P$40,,0),0)</f>
        <v>3.5376947503126588E-4</v>
      </c>
      <c r="R34" s="76">
        <f>+IFERROR(Country_year!AG34/_xlfn.XLOOKUP($B34,'2024 Prices'!$A$2:$A$40,'2024 Prices'!Q$2:Q$40,,0),0)</f>
        <v>7.3874457605219695E-3</v>
      </c>
      <c r="S34" s="76">
        <f>+IFERROR(Country_year!AH34/_xlfn.XLOOKUP($B34,'2024 Prices'!$A$2:$A$40,'2024 Prices'!R$2:R$40,,0),0)</f>
        <v>6.7230859458427498E-3</v>
      </c>
      <c r="T34" s="76">
        <f>+IFERROR(Country_year!AI34/_xlfn.XLOOKUP($B34,'2024 Prices'!$A$2:$A$40,'2024 Prices'!S$2:S$40,,0),0)</f>
        <v>4.2384269633197122E-2</v>
      </c>
      <c r="U34" s="76">
        <f>+IFERROR(Country_year!AJ34/_xlfn.XLOOKUP($B34,'2024 Prices'!$A$2:$A$40,'2024 Prices'!T$2:T$40,,0),0)</f>
        <v>0</v>
      </c>
      <c r="V34" s="76">
        <f>+IFERROR(Country_year!AK34/_xlfn.XLOOKUP($B34,'2024 Prices'!$A$2:$A$40,'2024 Prices'!U$2:U$40,,0),0)</f>
        <v>1.6768161884502253E-2</v>
      </c>
      <c r="W34" s="76">
        <f>+IFERROR(Country_year!AL34/_xlfn.XLOOKUP($B34,'2024 Prices'!$A$2:$A$40,'2024 Prices'!V$2:V$40,,0),0)</f>
        <v>1.6940642469964319E-4</v>
      </c>
      <c r="X34" s="76">
        <f>+IFERROR(Country_year!AM34/_xlfn.XLOOKUP($B34,'2024 Prices'!$A$2:$A$40,'2024 Prices'!W$2:W$40,,0),0)</f>
        <v>1.9077301457208478E-3</v>
      </c>
      <c r="Y34" s="76">
        <f>+IFERROR(Country_year!AN34/_xlfn.XLOOKUP($B34,'2024 Prices'!$A$2:$A$40,'2024 Prices'!X$2:X$40,,0),0)</f>
        <v>1.6543993095895597E-2</v>
      </c>
      <c r="Z34" s="76">
        <f>+IFERROR(Country_year!AO34/_xlfn.XLOOKUP($B34,'2024 Prices'!$A$2:$A$40,'2024 Prices'!Y$2:Y$40,,0),0)</f>
        <v>4.5514919445081281E-5</v>
      </c>
      <c r="AA34" s="76">
        <f>+IFERROR(Country_year!AP34/_xlfn.XLOOKUP($B34,'2024 Prices'!$A$2:$A$40,'2024 Prices'!Z$2:Z$40,,0),0)</f>
        <v>2.7185969643873801E-4</v>
      </c>
      <c r="AB34" s="76">
        <f>+IFERROR(Country_year!AQ34/_xlfn.XLOOKUP($B34,'2024 Prices'!$A$2:$A$40,'2024 Prices'!AA$2:AA$40,,0),0)</f>
        <v>4.8198678876472747E-4</v>
      </c>
      <c r="AC34" s="76">
        <f>+IFERROR(Country_year!AR34/_xlfn.XLOOKUP($B34,'2024 Prices'!$A$2:$A$40,'2024 Prices'!AB$2:AB$40,,0),0)</f>
        <v>6.8662864178330811E-5</v>
      </c>
      <c r="AD34" s="76">
        <f>+IFERROR(Country_year!AS34/_xlfn.XLOOKUP($B34,'2024 Prices'!$A$2:$A$40,'2024 Prices'!AC$2:AC$40,,0),0)</f>
        <v>5.8356089167364072E-3</v>
      </c>
      <c r="AE34" s="76">
        <f>+IFERROR(Country_year!AT34/_xlfn.XLOOKUP($B34,'2024 Prices'!$A$2:$A$40,'2024 Prices'!AD$2:AD$40,,0),0)</f>
        <v>1.6185950291460207E-3</v>
      </c>
      <c r="AF34" s="77">
        <f>+IFERROR(Country_year!AU34/_xlfn.XLOOKUP($B34,'2024 Prices'!$A$2:$A$40,'2024 Prices'!AE$2:AE$40,,0),0)</f>
        <v>4.5879401247762774E-3</v>
      </c>
      <c r="AG34" s="80">
        <f t="shared" si="0"/>
        <v>4.3425748019706367E-3</v>
      </c>
      <c r="AH34" s="80">
        <f t="shared" si="1"/>
        <v>3.484654620122448E-3</v>
      </c>
      <c r="AI34" s="80">
        <f t="shared" si="2"/>
        <v>-8.5792018184818871E-4</v>
      </c>
    </row>
    <row r="35" spans="1:35" x14ac:dyDescent="0.25">
      <c r="A35" s="70" t="s">
        <v>73</v>
      </c>
      <c r="B35" s="71" t="s">
        <v>19</v>
      </c>
      <c r="C35" s="76">
        <f>+IFERROR(Country_year!R35/_xlfn.XLOOKUP($B35,'2024 Prices'!$A$2:$A$40,'2024 Prices'!B$2:B$40,,0),0)</f>
        <v>2.8875071149194092E-3</v>
      </c>
      <c r="D35" s="76">
        <f>+IFERROR(Country_year!S35/_xlfn.XLOOKUP($B35,'2024 Prices'!$A$2:$A$40,'2024 Prices'!C$2:C$40,,0),0)</f>
        <v>1.8512508493681989E-3</v>
      </c>
      <c r="E35" s="76">
        <f>+IFERROR(Country_year!T35/_xlfn.XLOOKUP($B35,'2024 Prices'!$A$2:$A$40,'2024 Prices'!D$2:D$40,,0),0)</f>
        <v>5.0811832402134177E-4</v>
      </c>
      <c r="F35" s="76">
        <f>+IFERROR(Country_year!U35/_xlfn.XLOOKUP($B35,'2024 Prices'!$A$2:$A$40,'2024 Prices'!E$2:E$40,,0),0)</f>
        <v>2.2233723160909326E-4</v>
      </c>
      <c r="G35" s="76">
        <f>+IFERROR(Country_year!V35/_xlfn.XLOOKUP($B35,'2024 Prices'!$A$2:$A$40,'2024 Prices'!F$2:F$40,,0),0)</f>
        <v>5.6669271536483072E-3</v>
      </c>
      <c r="H35" s="76">
        <f>+IFERROR(Country_year!W35/_xlfn.XLOOKUP($B35,'2024 Prices'!$A$2:$A$40,'2024 Prices'!G$2:G$40,,0),0)</f>
        <v>1.0006230483259088E-3</v>
      </c>
      <c r="I35" s="76">
        <f>+IFERROR(Country_year!X35/_xlfn.XLOOKUP($B35,'2024 Prices'!$A$2:$A$40,'2024 Prices'!H$2:H$40,,0),0)</f>
        <v>2.7601637974743204E-4</v>
      </c>
      <c r="J35" s="76">
        <f>+IFERROR(Country_year!Y35/_xlfn.XLOOKUP($B35,'2024 Prices'!$A$2:$A$40,'2024 Prices'!I$2:I$40,,0),0)</f>
        <v>1.7089189590162329E-4</v>
      </c>
      <c r="K35" s="76">
        <f>+IFERROR(Country_year!Z35/_xlfn.XLOOKUP($B35,'2024 Prices'!$A$2:$A$40,'2024 Prices'!J$2:J$40,,0),0)</f>
        <v>7.9007955291068334E-4</v>
      </c>
      <c r="L35" s="76">
        <f>+IFERROR(Country_year!AA35/_xlfn.XLOOKUP($B35,'2024 Prices'!$A$2:$A$40,'2024 Prices'!K$2:K$40,,0),0)</f>
        <v>6.1125966838153207E-5</v>
      </c>
      <c r="M35" s="76">
        <f>+IFERROR(Country_year!AB35/_xlfn.XLOOKUP($B35,'2024 Prices'!$A$2:$A$40,'2024 Prices'!L$2:L$40,,0),0)</f>
        <v>1.5930955334612529E-3</v>
      </c>
      <c r="N35" s="76">
        <f>+IFERROR(Country_year!AC35/_xlfn.XLOOKUP($B35,'2024 Prices'!$A$2:$A$40,'2024 Prices'!M$2:M$40,,0),0)</f>
        <v>4.7977638212155386E-4</v>
      </c>
      <c r="O35" s="76">
        <f>+IFERROR(Country_year!AD35/_xlfn.XLOOKUP($B35,'2024 Prices'!$A$2:$A$40,'2024 Prices'!N$2:N$40,,0),0)</f>
        <v>2.7134724328534891E-4</v>
      </c>
      <c r="P35" s="76">
        <f>+IFERROR(Country_year!AE35/_xlfn.XLOOKUP($B35,'2024 Prices'!$A$2:$A$40,'2024 Prices'!O$2:O$40,,0),0)</f>
        <v>3.6883742045606031E-5</v>
      </c>
      <c r="Q35" s="76">
        <f>+IFERROR(Country_year!AF35/_xlfn.XLOOKUP($B35,'2024 Prices'!$A$2:$A$40,'2024 Prices'!P$2:P$40,,0),0)</f>
        <v>9.9227640258192119E-4</v>
      </c>
      <c r="R35" s="76">
        <f>+IFERROR(Country_year!AG35/_xlfn.XLOOKUP($B35,'2024 Prices'!$A$2:$A$40,'2024 Prices'!Q$2:Q$40,,0),0)</f>
        <v>7.0594225285110907E-4</v>
      </c>
      <c r="S35" s="76">
        <f>+IFERROR(Country_year!AH35/_xlfn.XLOOKUP($B35,'2024 Prices'!$A$2:$A$40,'2024 Prices'!R$2:R$40,,0),0)</f>
        <v>8.6624136762987079E-4</v>
      </c>
      <c r="T35" s="76">
        <f>+IFERROR(Country_year!AI35/_xlfn.XLOOKUP($B35,'2024 Prices'!$A$2:$A$40,'2024 Prices'!S$2:S$40,,0),0)</f>
        <v>2.0148930451692462E-4</v>
      </c>
      <c r="U35" s="76">
        <f>+IFERROR(Country_year!AJ35/_xlfn.XLOOKUP($B35,'2024 Prices'!$A$2:$A$40,'2024 Prices'!T$2:T$40,,0),0)</f>
        <v>2.7771540109168797E-5</v>
      </c>
      <c r="V35" s="76">
        <f>+IFERROR(Country_year!AK35/_xlfn.XLOOKUP($B35,'2024 Prices'!$A$2:$A$40,'2024 Prices'!U$2:U$40,,0),0)</f>
        <v>1.8177321889787681E-5</v>
      </c>
      <c r="W35" s="76">
        <f>+IFERROR(Country_year!AL35/_xlfn.XLOOKUP($B35,'2024 Prices'!$A$2:$A$40,'2024 Prices'!V$2:V$40,,0),0)</f>
        <v>1.3333206150558969E-4</v>
      </c>
      <c r="X35" s="76">
        <f>+IFERROR(Country_year!AM35/_xlfn.XLOOKUP($B35,'2024 Prices'!$A$2:$A$40,'2024 Prices'!W$2:W$40,,0),0)</f>
        <v>2.6627165467450601E-4</v>
      </c>
      <c r="Y35" s="76">
        <f>+IFERROR(Country_year!AN35/_xlfn.XLOOKUP($B35,'2024 Prices'!$A$2:$A$40,'2024 Prices'!X$2:X$40,,0),0)</f>
        <v>2.2141688628185785E-4</v>
      </c>
      <c r="Z35" s="76">
        <f>+IFERROR(Country_year!AO35/_xlfn.XLOOKUP($B35,'2024 Prices'!$A$2:$A$40,'2024 Prices'!Y$2:Y$40,,0),0)</f>
        <v>1.0421302525208092E-3</v>
      </c>
      <c r="AA35" s="76">
        <f>+IFERROR(Country_year!AP35/_xlfn.XLOOKUP($B35,'2024 Prices'!$A$2:$A$40,'2024 Prices'!Z$2:Z$40,,0),0)</f>
        <v>2.3401529084929513E-3</v>
      </c>
      <c r="AB35" s="76">
        <f>+IFERROR(Country_year!AQ35/_xlfn.XLOOKUP($B35,'2024 Prices'!$A$2:$A$40,'2024 Prices'!AA$2:AA$40,,0),0)</f>
        <v>1.2376168717982312E-3</v>
      </c>
      <c r="AC35" s="76">
        <f>+IFERROR(Country_year!AR35/_xlfn.XLOOKUP($B35,'2024 Prices'!$A$2:$A$40,'2024 Prices'!AB$2:AB$40,,0),0)</f>
        <v>1.7898950117423386E-3</v>
      </c>
      <c r="AD35" s="76">
        <f>+IFERROR(Country_year!AS35/_xlfn.XLOOKUP($B35,'2024 Prices'!$A$2:$A$40,'2024 Prices'!AC$2:AC$40,,0),0)</f>
        <v>4.343673897680954E-3</v>
      </c>
      <c r="AE35" s="76">
        <f>+IFERROR(Country_year!AT35/_xlfn.XLOOKUP($B35,'2024 Prices'!$A$2:$A$40,'2024 Prices'!AD$2:AD$40,,0),0)</f>
        <v>2.6354411325239741E-3</v>
      </c>
      <c r="AF35" s="77">
        <f>+IFERROR(Country_year!AU35/_xlfn.XLOOKUP($B35,'2024 Prices'!$A$2:$A$40,'2024 Prices'!AE$2:AE$40,,0),0)</f>
        <v>6.1832746119194404E-3</v>
      </c>
      <c r="AG35" s="80">
        <f t="shared" si="0"/>
        <v>1.2940361298974452E-3</v>
      </c>
      <c r="AH35" s="80">
        <f t="shared" si="1"/>
        <v>2.2288748030705624E-3</v>
      </c>
      <c r="AI35" s="80">
        <f t="shared" si="2"/>
        <v>9.3483867317311719E-4</v>
      </c>
    </row>
    <row r="36" spans="1:35" x14ac:dyDescent="0.25">
      <c r="A36" s="70" t="s">
        <v>94</v>
      </c>
      <c r="B36" s="71" t="s">
        <v>37</v>
      </c>
      <c r="C36" s="76">
        <f>+IFERROR(Country_year!R36/_xlfn.XLOOKUP($B36,'2024 Prices'!$A$2:$A$40,'2024 Prices'!B$2:B$40,,0),0)</f>
        <v>0</v>
      </c>
      <c r="D36" s="76">
        <f>+IFERROR(Country_year!S36/_xlfn.XLOOKUP($B36,'2024 Prices'!$A$2:$A$40,'2024 Prices'!C$2:C$40,,0),0)</f>
        <v>0</v>
      </c>
      <c r="E36" s="76">
        <f>+IFERROR(Country_year!T36/_xlfn.XLOOKUP($B36,'2024 Prices'!$A$2:$A$40,'2024 Prices'!D$2:D$40,,0),0)</f>
        <v>1.129804140132947E-5</v>
      </c>
      <c r="F36" s="76">
        <f>+IFERROR(Country_year!U36/_xlfn.XLOOKUP($B36,'2024 Prices'!$A$2:$A$40,'2024 Prices'!E$2:E$40,,0),0)</f>
        <v>0</v>
      </c>
      <c r="G36" s="76">
        <f>+IFERROR(Country_year!V36/_xlfn.XLOOKUP($B36,'2024 Prices'!$A$2:$A$40,'2024 Prices'!F$2:F$40,,0),0)</f>
        <v>4.5574249225689077E-4</v>
      </c>
      <c r="H36" s="76">
        <f>+IFERROR(Country_year!W36/_xlfn.XLOOKUP($B36,'2024 Prices'!$A$2:$A$40,'2024 Prices'!G$2:G$40,,0),0)</f>
        <v>2.0729451458043076E-5</v>
      </c>
      <c r="I36" s="76">
        <f>+IFERROR(Country_year!X36/_xlfn.XLOOKUP($B36,'2024 Prices'!$A$2:$A$40,'2024 Prices'!H$2:H$40,,0),0)</f>
        <v>0</v>
      </c>
      <c r="J36" s="76">
        <f>+IFERROR(Country_year!Y36/_xlfn.XLOOKUP($B36,'2024 Prices'!$A$2:$A$40,'2024 Prices'!I$2:I$40,,0),0)</f>
        <v>1.6327227105523915E-6</v>
      </c>
      <c r="K36" s="76">
        <f>+IFERROR(Country_year!Z36/_xlfn.XLOOKUP($B36,'2024 Prices'!$A$2:$A$40,'2024 Prices'!J$2:J$40,,0),0)</f>
        <v>0</v>
      </c>
      <c r="L36" s="76">
        <f>+IFERROR(Country_year!AA36/_xlfn.XLOOKUP($B36,'2024 Prices'!$A$2:$A$40,'2024 Prices'!K$2:K$40,,0),0)</f>
        <v>2.6677036610241449E-5</v>
      </c>
      <c r="M36" s="76">
        <f>+IFERROR(Country_year!AB36/_xlfn.XLOOKUP($B36,'2024 Prices'!$A$2:$A$40,'2024 Prices'!L$2:L$40,,0),0)</f>
        <v>4.7748445557188055E-3</v>
      </c>
      <c r="N36" s="76">
        <f>+IFERROR(Country_year!AC36/_xlfn.XLOOKUP($B36,'2024 Prices'!$A$2:$A$40,'2024 Prices'!M$2:M$40,,0),0)</f>
        <v>8.818649827900289E-7</v>
      </c>
      <c r="O36" s="76">
        <f>+IFERROR(Country_year!AD36/_xlfn.XLOOKUP($B36,'2024 Prices'!$A$2:$A$40,'2024 Prices'!N$2:N$40,,0),0)</f>
        <v>0</v>
      </c>
      <c r="P36" s="76">
        <f>+IFERROR(Country_year!AE36/_xlfn.XLOOKUP($B36,'2024 Prices'!$A$2:$A$40,'2024 Prices'!O$2:O$40,,0),0)</f>
        <v>6.8585101288266766E-7</v>
      </c>
      <c r="Q36" s="76">
        <f>+IFERROR(Country_year!AF36/_xlfn.XLOOKUP($B36,'2024 Prices'!$A$2:$A$40,'2024 Prices'!P$2:P$40,,0),0)</f>
        <v>0</v>
      </c>
      <c r="R36" s="76">
        <f>+IFERROR(Country_year!AG36/_xlfn.XLOOKUP($B36,'2024 Prices'!$A$2:$A$40,'2024 Prices'!Q$2:Q$40,,0),0)</f>
        <v>0</v>
      </c>
      <c r="S36" s="76">
        <f>+IFERROR(Country_year!AH36/_xlfn.XLOOKUP($B36,'2024 Prices'!$A$2:$A$40,'2024 Prices'!R$2:R$40,,0),0)</f>
        <v>0</v>
      </c>
      <c r="T36" s="76">
        <f>+IFERROR(Country_year!AI36/_xlfn.XLOOKUP($B36,'2024 Prices'!$A$2:$A$40,'2024 Prices'!S$2:S$40,,0),0)</f>
        <v>0</v>
      </c>
      <c r="U36" s="76">
        <f>+IFERROR(Country_year!AJ36/_xlfn.XLOOKUP($B36,'2024 Prices'!$A$2:$A$40,'2024 Prices'!T$2:T$40,,0),0)</f>
        <v>1.4221907132219643E-4</v>
      </c>
      <c r="V36" s="76">
        <f>+IFERROR(Country_year!AK36/_xlfn.XLOOKUP($B36,'2024 Prices'!$A$2:$A$40,'2024 Prices'!U$2:U$40,,0),0)</f>
        <v>2.5772514266273887E-4</v>
      </c>
      <c r="W36" s="76">
        <f>+IFERROR(Country_year!AL36/_xlfn.XLOOKUP($B36,'2024 Prices'!$A$2:$A$40,'2024 Prices'!V$2:V$40,,0),0)</f>
        <v>2.1147398851423412E-5</v>
      </c>
      <c r="X36" s="76">
        <f>+IFERROR(Country_year!AM36/_xlfn.XLOOKUP($B36,'2024 Prices'!$A$2:$A$40,'2024 Prices'!W$2:W$40,,0),0)</f>
        <v>0</v>
      </c>
      <c r="Y36" s="76">
        <f>+IFERROR(Country_year!AN36/_xlfn.XLOOKUP($B36,'2024 Prices'!$A$2:$A$40,'2024 Prices'!X$2:X$40,,0),0)</f>
        <v>0</v>
      </c>
      <c r="Z36" s="76">
        <f>+IFERROR(Country_year!AO36/_xlfn.XLOOKUP($B36,'2024 Prices'!$A$2:$A$40,'2024 Prices'!Y$2:Y$40,,0),0)</f>
        <v>1.128278245457745E-4</v>
      </c>
      <c r="AA36" s="76">
        <f>+IFERROR(Country_year!AP36/_xlfn.XLOOKUP($B36,'2024 Prices'!$A$2:$A$40,'2024 Prices'!Z$2:Z$40,,0),0)</f>
        <v>1.7733963853819497E-4</v>
      </c>
      <c r="AB36" s="76">
        <f>+IFERROR(Country_year!AQ36/_xlfn.XLOOKUP($B36,'2024 Prices'!$A$2:$A$40,'2024 Prices'!AA$2:AA$40,,0),0)</f>
        <v>8.0668220664605167E-5</v>
      </c>
      <c r="AC36" s="76">
        <f>+IFERROR(Country_year!AR36/_xlfn.XLOOKUP($B36,'2024 Prices'!$A$2:$A$40,'2024 Prices'!AB$2:AB$40,,0),0)</f>
        <v>4.9063170632805216E-5</v>
      </c>
      <c r="AD36" s="76">
        <f>+IFERROR(Country_year!AS36/_xlfn.XLOOKUP($B36,'2024 Prices'!$A$2:$A$40,'2024 Prices'!AC$2:AC$40,,0),0)</f>
        <v>0</v>
      </c>
      <c r="AE36" s="76">
        <f>+IFERROR(Country_year!AT36/_xlfn.XLOOKUP($B36,'2024 Prices'!$A$2:$A$40,'2024 Prices'!AD$2:AD$40,,0),0)</f>
        <v>9.2081095483063474E-5</v>
      </c>
      <c r="AF36" s="77">
        <f>+IFERROR(Country_year!AU36/_xlfn.XLOOKUP($B36,'2024 Prices'!$A$2:$A$40,'2024 Prices'!AE$2:AE$40,,0),0)</f>
        <v>0</v>
      </c>
      <c r="AG36" s="80">
        <f t="shared" si="0"/>
        <v>2.0751878596174457E-4</v>
      </c>
      <c r="AH36" s="80">
        <f t="shared" si="1"/>
        <v>5.6886661096049266E-5</v>
      </c>
      <c r="AI36" s="80">
        <f t="shared" si="2"/>
        <v>-1.506321248656953E-4</v>
      </c>
    </row>
    <row r="37" spans="1:35" x14ac:dyDescent="0.25">
      <c r="A37" s="70" t="s">
        <v>65</v>
      </c>
      <c r="B37" s="71" t="s">
        <v>41</v>
      </c>
      <c r="C37" s="76">
        <f>+IFERROR(Country_year!R37/_xlfn.XLOOKUP($B37,'2024 Prices'!$A$2:$A$40,'2024 Prices'!B$2:B$40,,0),0)</f>
        <v>4.3909607565175561E-6</v>
      </c>
      <c r="D37" s="76">
        <f>+IFERROR(Country_year!S37/_xlfn.XLOOKUP($B37,'2024 Prices'!$A$2:$A$40,'2024 Prices'!C$2:C$40,,0),0)</f>
        <v>0</v>
      </c>
      <c r="E37" s="76">
        <f>+IFERROR(Country_year!T37/_xlfn.XLOOKUP($B37,'2024 Prices'!$A$2:$A$40,'2024 Prices'!D$2:D$40,,0),0)</f>
        <v>3.5747002571271573E-4</v>
      </c>
      <c r="F37" s="76">
        <f>+IFERROR(Country_year!U37/_xlfn.XLOOKUP($B37,'2024 Prices'!$A$2:$A$40,'2024 Prices'!E$2:E$40,,0),0)</f>
        <v>1.6366703239103537E-4</v>
      </c>
      <c r="G37" s="76">
        <f>+IFERROR(Country_year!V37/_xlfn.XLOOKUP($B37,'2024 Prices'!$A$2:$A$40,'2024 Prices'!F$2:F$40,,0),0)</f>
        <v>9.1794474762947696E-3</v>
      </c>
      <c r="H37" s="76">
        <f>+IFERROR(Country_year!W37/_xlfn.XLOOKUP($B37,'2024 Prices'!$A$2:$A$40,'2024 Prices'!G$2:G$40,,0),0)</f>
        <v>1.5633627145620395E-3</v>
      </c>
      <c r="I37" s="76">
        <f>+IFERROR(Country_year!X37/_xlfn.XLOOKUP($B37,'2024 Prices'!$A$2:$A$40,'2024 Prices'!H$2:H$40,,0),0)</f>
        <v>5.8705117939971409E-5</v>
      </c>
      <c r="J37" s="76">
        <f>+IFERROR(Country_year!Y37/_xlfn.XLOOKUP($B37,'2024 Prices'!$A$2:$A$40,'2024 Prices'!I$2:I$40,,0),0)</f>
        <v>7.7022558576402022E-4</v>
      </c>
      <c r="K37" s="76">
        <f>+IFERROR(Country_year!Z37/_xlfn.XLOOKUP($B37,'2024 Prices'!$A$2:$A$40,'2024 Prices'!J$2:J$40,,0),0)</f>
        <v>7.2079196385564051E-4</v>
      </c>
      <c r="L37" s="76">
        <f>+IFERROR(Country_year!AA37/_xlfn.XLOOKUP($B37,'2024 Prices'!$A$2:$A$40,'2024 Prices'!K$2:K$40,,0),0)</f>
        <v>2.8221757807114826E-5</v>
      </c>
      <c r="M37" s="76">
        <f>+IFERROR(Country_year!AB37/_xlfn.XLOOKUP($B37,'2024 Prices'!$A$2:$A$40,'2024 Prices'!L$2:L$40,,0),0)</f>
        <v>7.3473623918457829E-3</v>
      </c>
      <c r="N37" s="76">
        <f>+IFERROR(Country_year!AC37/_xlfn.XLOOKUP($B37,'2024 Prices'!$A$2:$A$40,'2024 Prices'!M$2:M$40,,0),0)</f>
        <v>6.5819613266866937E-5</v>
      </c>
      <c r="O37" s="76">
        <f>+IFERROR(Country_year!AD37/_xlfn.XLOOKUP($B37,'2024 Prices'!$A$2:$A$40,'2024 Prices'!N$2:N$40,,0),0)</f>
        <v>1.2825941437109569E-3</v>
      </c>
      <c r="P37" s="76">
        <f>+IFERROR(Country_year!AE37/_xlfn.XLOOKUP($B37,'2024 Prices'!$A$2:$A$40,'2024 Prices'!O$2:O$40,,0),0)</f>
        <v>8.9353202949406557E-7</v>
      </c>
      <c r="Q37" s="76">
        <f>+IFERROR(Country_year!AF37/_xlfn.XLOOKUP($B37,'2024 Prices'!$A$2:$A$40,'2024 Prices'!P$2:P$40,,0),0)</f>
        <v>1.4358803070143263E-3</v>
      </c>
      <c r="R37" s="76">
        <f>+IFERROR(Country_year!AG37/_xlfn.XLOOKUP($B37,'2024 Prices'!$A$2:$A$40,'2024 Prices'!Q$2:Q$40,,0),0)</f>
        <v>5.2365650964716705E-5</v>
      </c>
      <c r="S37" s="76">
        <f>+IFERROR(Country_year!AH37/_xlfn.XLOOKUP($B37,'2024 Prices'!$A$2:$A$40,'2024 Prices'!R$2:R$40,,0),0)</f>
        <v>9.9881895955196645E-5</v>
      </c>
      <c r="T37" s="76">
        <f>+IFERROR(Country_year!AI37/_xlfn.XLOOKUP($B37,'2024 Prices'!$A$2:$A$40,'2024 Prices'!S$2:S$40,,0),0)</f>
        <v>2.08278561248239E-7</v>
      </c>
      <c r="U37" s="76">
        <f>+IFERROR(Country_year!AJ37/_xlfn.XLOOKUP($B37,'2024 Prices'!$A$2:$A$40,'2024 Prices'!T$2:T$40,,0),0)</f>
        <v>3.4405768382432745E-4</v>
      </c>
      <c r="V37" s="76">
        <f>+IFERROR(Country_year!AK37/_xlfn.XLOOKUP($B37,'2024 Prices'!$A$2:$A$40,'2024 Prices'!U$2:U$40,,0),0)</f>
        <v>9.7140908935694283E-5</v>
      </c>
      <c r="W37" s="76">
        <f>+IFERROR(Country_year!AL37/_xlfn.XLOOKUP($B37,'2024 Prices'!$A$2:$A$40,'2024 Prices'!V$2:V$40,,0),0)</f>
        <v>7.21686293363975E-6</v>
      </c>
      <c r="X37" s="76">
        <f>+IFERROR(Country_year!AM37/_xlfn.XLOOKUP($B37,'2024 Prices'!$A$2:$A$40,'2024 Prices'!W$2:W$40,,0),0)</f>
        <v>5.3189191188533384E-5</v>
      </c>
      <c r="Y37" s="76">
        <f>+IFERROR(Country_year!AN37/_xlfn.XLOOKUP($B37,'2024 Prices'!$A$2:$A$40,'2024 Prices'!X$2:X$40,,0),0)</f>
        <v>3.3009295700782806E-4</v>
      </c>
      <c r="Z37" s="76">
        <f>+IFERROR(Country_year!AO37/_xlfn.XLOOKUP($B37,'2024 Prices'!$A$2:$A$40,'2024 Prices'!Y$2:Y$40,,0),0)</f>
        <v>1.2629048081767234E-4</v>
      </c>
      <c r="AA37" s="76">
        <f>+IFERROR(Country_year!AP37/_xlfn.XLOOKUP($B37,'2024 Prices'!$A$2:$A$40,'2024 Prices'!Z$2:Z$40,,0),0)</f>
        <v>1.4398141934055791E-4</v>
      </c>
      <c r="AB37" s="76">
        <f>+IFERROR(Country_year!AQ37/_xlfn.XLOOKUP($B37,'2024 Prices'!$A$2:$A$40,'2024 Prices'!AA$2:AA$40,,0),0)</f>
        <v>1.0742302889670943E-4</v>
      </c>
      <c r="AC37" s="76">
        <f>+IFERROR(Country_year!AR37/_xlfn.XLOOKUP($B37,'2024 Prices'!$A$2:$A$40,'2024 Prices'!AB$2:AB$40,,0),0)</f>
        <v>2.5694990913078034E-4</v>
      </c>
      <c r="AD37" s="76">
        <f>+IFERROR(Country_year!AS37/_xlfn.XLOOKUP($B37,'2024 Prices'!$A$2:$A$40,'2024 Prices'!AC$2:AC$40,,0),0)</f>
        <v>1.0675415836299301E-5</v>
      </c>
      <c r="AE37" s="76">
        <f>+IFERROR(Country_year!AT37/_xlfn.XLOOKUP($B37,'2024 Prices'!$A$2:$A$40,'2024 Prices'!AD$2:AD$40,,0),0)</f>
        <v>2.4892710798312138E-4</v>
      </c>
      <c r="AF37" s="77">
        <f>+IFERROR(Country_year!AU37/_xlfn.XLOOKUP($B37,'2024 Prices'!$A$2:$A$40,'2024 Prices'!AE$2:AE$40,,0),0)</f>
        <v>0</v>
      </c>
      <c r="AG37" s="80">
        <f t="shared" si="0"/>
        <v>8.285744471442525E-4</v>
      </c>
      <c r="AH37" s="80">
        <f t="shared" si="1"/>
        <v>1.4194772335572245E-4</v>
      </c>
      <c r="AI37" s="80">
        <f t="shared" si="2"/>
        <v>-6.8662672378853006E-4</v>
      </c>
    </row>
    <row r="38" spans="1:35" x14ac:dyDescent="0.25">
      <c r="A38" s="70" t="s">
        <v>97</v>
      </c>
      <c r="B38" s="71" t="s">
        <v>48</v>
      </c>
      <c r="C38" s="76">
        <f>+IFERROR(Country_year!R38/_xlfn.XLOOKUP($B38,'2024 Prices'!$A$2:$A$40,'2024 Prices'!B$2:B$40,,0),0)</f>
        <v>0</v>
      </c>
      <c r="D38" s="76">
        <f>+IFERROR(Country_year!S38/_xlfn.XLOOKUP($B38,'2024 Prices'!$A$2:$A$40,'2024 Prices'!C$2:C$40,,0),0)</f>
        <v>0</v>
      </c>
      <c r="E38" s="76">
        <f>+IFERROR(Country_year!T38/_xlfn.XLOOKUP($B38,'2024 Prices'!$A$2:$A$40,'2024 Prices'!D$2:D$40,,0),0)</f>
        <v>0</v>
      </c>
      <c r="F38" s="76">
        <f>+IFERROR(Country_year!U38/_xlfn.XLOOKUP($B38,'2024 Prices'!$A$2:$A$40,'2024 Prices'!E$2:E$40,,0),0)</f>
        <v>0</v>
      </c>
      <c r="G38" s="76">
        <f>+IFERROR(Country_year!V38/_xlfn.XLOOKUP($B38,'2024 Prices'!$A$2:$A$40,'2024 Prices'!F$2:F$40,,0),0)</f>
        <v>0</v>
      </c>
      <c r="H38" s="76">
        <f>+IFERROR(Country_year!W38/_xlfn.XLOOKUP($B38,'2024 Prices'!$A$2:$A$40,'2024 Prices'!G$2:G$40,,0),0)</f>
        <v>0</v>
      </c>
      <c r="I38" s="76">
        <f>+IFERROR(Country_year!X38/_xlfn.XLOOKUP($B38,'2024 Prices'!$A$2:$A$40,'2024 Prices'!H$2:H$40,,0),0)</f>
        <v>0</v>
      </c>
      <c r="J38" s="76">
        <f>+IFERROR(Country_year!Y38/_xlfn.XLOOKUP($B38,'2024 Prices'!$A$2:$A$40,'2024 Prices'!I$2:I$40,,0),0)</f>
        <v>0</v>
      </c>
      <c r="K38" s="76">
        <f>+IFERROR(Country_year!Z38/_xlfn.XLOOKUP($B38,'2024 Prices'!$A$2:$A$40,'2024 Prices'!J$2:J$40,,0),0)</f>
        <v>0</v>
      </c>
      <c r="L38" s="76">
        <f>+IFERROR(Country_year!AA38/_xlfn.XLOOKUP($B38,'2024 Prices'!$A$2:$A$40,'2024 Prices'!K$2:K$40,,0),0)</f>
        <v>0</v>
      </c>
      <c r="M38" s="76">
        <f>+IFERROR(Country_year!AB38/_xlfn.XLOOKUP($B38,'2024 Prices'!$A$2:$A$40,'2024 Prices'!L$2:L$40,,0),0)</f>
        <v>0</v>
      </c>
      <c r="N38" s="76">
        <f>+IFERROR(Country_year!AC38/_xlfn.XLOOKUP($B38,'2024 Prices'!$A$2:$A$40,'2024 Prices'!M$2:M$40,,0),0)</f>
        <v>0</v>
      </c>
      <c r="O38" s="76">
        <f>+IFERROR(Country_year!AD38/_xlfn.XLOOKUP($B38,'2024 Prices'!$A$2:$A$40,'2024 Prices'!N$2:N$40,,0),0)</f>
        <v>0</v>
      </c>
      <c r="P38" s="76">
        <f>+IFERROR(Country_year!AE38/_xlfn.XLOOKUP($B38,'2024 Prices'!$A$2:$A$40,'2024 Prices'!O$2:O$40,,0),0)</f>
        <v>0</v>
      </c>
      <c r="Q38" s="76">
        <f>+IFERROR(Country_year!AF38/_xlfn.XLOOKUP($B38,'2024 Prices'!$A$2:$A$40,'2024 Prices'!P$2:P$40,,0),0)</f>
        <v>0</v>
      </c>
      <c r="R38" s="76">
        <f>+IFERROR(Country_year!AG38/_xlfn.XLOOKUP($B38,'2024 Prices'!$A$2:$A$40,'2024 Prices'!Q$2:Q$40,,0),0)</f>
        <v>0</v>
      </c>
      <c r="S38" s="76">
        <f>+IFERROR(Country_year!AH38/_xlfn.XLOOKUP($B38,'2024 Prices'!$A$2:$A$40,'2024 Prices'!R$2:R$40,,0),0)</f>
        <v>0</v>
      </c>
      <c r="T38" s="76">
        <f>+IFERROR(Country_year!AI38/_xlfn.XLOOKUP($B38,'2024 Prices'!$A$2:$A$40,'2024 Prices'!S$2:S$40,,0),0)</f>
        <v>0</v>
      </c>
      <c r="U38" s="76">
        <f>+IFERROR(Country_year!AJ38/_xlfn.XLOOKUP($B38,'2024 Prices'!$A$2:$A$40,'2024 Prices'!T$2:T$40,,0),0)</f>
        <v>0</v>
      </c>
      <c r="V38" s="76">
        <f>+IFERROR(Country_year!AK38/_xlfn.XLOOKUP($B38,'2024 Prices'!$A$2:$A$40,'2024 Prices'!U$2:U$40,,0),0)</f>
        <v>0</v>
      </c>
      <c r="W38" s="76">
        <f>+IFERROR(Country_year!AL38/_xlfn.XLOOKUP($B38,'2024 Prices'!$A$2:$A$40,'2024 Prices'!V$2:V$40,,0),0)</f>
        <v>0</v>
      </c>
      <c r="X38" s="76">
        <f>+IFERROR(Country_year!AM38/_xlfn.XLOOKUP($B38,'2024 Prices'!$A$2:$A$40,'2024 Prices'!W$2:W$40,,0),0)</f>
        <v>0</v>
      </c>
      <c r="Y38" s="76">
        <f>+IFERROR(Country_year!AN38/_xlfn.XLOOKUP($B38,'2024 Prices'!$A$2:$A$40,'2024 Prices'!X$2:X$40,,0),0)</f>
        <v>0</v>
      </c>
      <c r="Z38" s="76">
        <f>+IFERROR(Country_year!AO38/_xlfn.XLOOKUP($B38,'2024 Prices'!$A$2:$A$40,'2024 Prices'!Y$2:Y$40,,0),0)</f>
        <v>0</v>
      </c>
      <c r="AA38" s="76">
        <f>+IFERROR(Country_year!AP38/_xlfn.XLOOKUP($B38,'2024 Prices'!$A$2:$A$40,'2024 Prices'!Z$2:Z$40,,0),0)</f>
        <v>0</v>
      </c>
      <c r="AB38" s="76">
        <f>+IFERROR(Country_year!AQ38/_xlfn.XLOOKUP($B38,'2024 Prices'!$A$2:$A$40,'2024 Prices'!AA$2:AA$40,,0),0)</f>
        <v>0</v>
      </c>
      <c r="AC38" s="76">
        <f>+IFERROR(Country_year!AR38/_xlfn.XLOOKUP($B38,'2024 Prices'!$A$2:$A$40,'2024 Prices'!AB$2:AB$40,,0),0)</f>
        <v>0</v>
      </c>
      <c r="AD38" s="76">
        <f>+IFERROR(Country_year!AS38/_xlfn.XLOOKUP($B38,'2024 Prices'!$A$2:$A$40,'2024 Prices'!AC$2:AC$40,,0),0)</f>
        <v>0</v>
      </c>
      <c r="AE38" s="76">
        <f>+IFERROR(Country_year!AT38/_xlfn.XLOOKUP($B38,'2024 Prices'!$A$2:$A$40,'2024 Prices'!AD$2:AD$40,,0),0)</f>
        <v>4.3408762541766524E-2</v>
      </c>
      <c r="AF38" s="77">
        <f>+IFERROR(Country_year!AU38/_xlfn.XLOOKUP($B38,'2024 Prices'!$A$2:$A$40,'2024 Prices'!AE$2:AE$40,,0),0)</f>
        <v>0</v>
      </c>
      <c r="AG38" s="80">
        <f t="shared" si="0"/>
        <v>1.4469587513922175E-3</v>
      </c>
      <c r="AH38" s="80">
        <f t="shared" si="1"/>
        <v>4.8231958379740579E-3</v>
      </c>
      <c r="AI38" s="80">
        <f t="shared" si="2"/>
        <v>3.3762370865818405E-3</v>
      </c>
    </row>
    <row r="39" spans="1:35" x14ac:dyDescent="0.25">
      <c r="A39" s="72" t="s">
        <v>98</v>
      </c>
      <c r="B39" s="73" t="s">
        <v>49</v>
      </c>
      <c r="C39" s="78">
        <f>+IFERROR(Country_year!R39/_xlfn.XLOOKUP($B39,'2024 Prices'!$A$2:$A$40,'2024 Prices'!B$2:B$40,,0),0)</f>
        <v>0</v>
      </c>
      <c r="D39" s="78">
        <f>+IFERROR(Country_year!S39/_xlfn.XLOOKUP($B39,'2024 Prices'!$A$2:$A$40,'2024 Prices'!C$2:C$40,,0),0)</f>
        <v>0</v>
      </c>
      <c r="E39" s="78">
        <f>+IFERROR(Country_year!T39/_xlfn.XLOOKUP($B39,'2024 Prices'!$A$2:$A$40,'2024 Prices'!D$2:D$40,,0),0)</f>
        <v>0</v>
      </c>
      <c r="F39" s="78">
        <f>+IFERROR(Country_year!U39/_xlfn.XLOOKUP($B39,'2024 Prices'!$A$2:$A$40,'2024 Prices'!E$2:E$40,,0),0)</f>
        <v>0</v>
      </c>
      <c r="G39" s="78">
        <f>+IFERROR(Country_year!V39/_xlfn.XLOOKUP($B39,'2024 Prices'!$A$2:$A$40,'2024 Prices'!F$2:F$40,,0),0)</f>
        <v>0</v>
      </c>
      <c r="H39" s="78">
        <f>+IFERROR(Country_year!W39/_xlfn.XLOOKUP($B39,'2024 Prices'!$A$2:$A$40,'2024 Prices'!G$2:G$40,,0),0)</f>
        <v>0</v>
      </c>
      <c r="I39" s="78">
        <f>+IFERROR(Country_year!X39/_xlfn.XLOOKUP($B39,'2024 Prices'!$A$2:$A$40,'2024 Prices'!H$2:H$40,,0),0)</f>
        <v>0</v>
      </c>
      <c r="J39" s="78">
        <f>+IFERROR(Country_year!Y39/_xlfn.XLOOKUP($B39,'2024 Prices'!$A$2:$A$40,'2024 Prices'!I$2:I$40,,0),0)</f>
        <v>0</v>
      </c>
      <c r="K39" s="78">
        <f>+IFERROR(Country_year!Z39/_xlfn.XLOOKUP($B39,'2024 Prices'!$A$2:$A$40,'2024 Prices'!J$2:J$40,,0),0)</f>
        <v>0</v>
      </c>
      <c r="L39" s="78">
        <f>+IFERROR(Country_year!AA39/_xlfn.XLOOKUP($B39,'2024 Prices'!$A$2:$A$40,'2024 Prices'!K$2:K$40,,0),0)</f>
        <v>0</v>
      </c>
      <c r="M39" s="78">
        <f>+IFERROR(Country_year!AB39/_xlfn.XLOOKUP($B39,'2024 Prices'!$A$2:$A$40,'2024 Prices'!L$2:L$40,,0),0)</f>
        <v>0</v>
      </c>
      <c r="N39" s="78">
        <f>+IFERROR(Country_year!AC39/_xlfn.XLOOKUP($B39,'2024 Prices'!$A$2:$A$40,'2024 Prices'!M$2:M$40,,0),0)</f>
        <v>0</v>
      </c>
      <c r="O39" s="78">
        <f>+IFERROR(Country_year!AD39/_xlfn.XLOOKUP($B39,'2024 Prices'!$A$2:$A$40,'2024 Prices'!N$2:N$40,,0),0)</f>
        <v>0</v>
      </c>
      <c r="P39" s="78">
        <f>+IFERROR(Country_year!AE39/_xlfn.XLOOKUP($B39,'2024 Prices'!$A$2:$A$40,'2024 Prices'!O$2:O$40,,0),0)</f>
        <v>0</v>
      </c>
      <c r="Q39" s="78">
        <f>+IFERROR(Country_year!AF39/_xlfn.XLOOKUP($B39,'2024 Prices'!$A$2:$A$40,'2024 Prices'!P$2:P$40,,0),0)</f>
        <v>0</v>
      </c>
      <c r="R39" s="78">
        <f>+IFERROR(Country_year!AG39/_xlfn.XLOOKUP($B39,'2024 Prices'!$A$2:$A$40,'2024 Prices'!Q$2:Q$40,,0),0)</f>
        <v>0</v>
      </c>
      <c r="S39" s="78">
        <f>+IFERROR(Country_year!AH39/_xlfn.XLOOKUP($B39,'2024 Prices'!$A$2:$A$40,'2024 Prices'!R$2:R$40,,0),0)</f>
        <v>0</v>
      </c>
      <c r="T39" s="78">
        <f>+IFERROR(Country_year!AI39/_xlfn.XLOOKUP($B39,'2024 Prices'!$A$2:$A$40,'2024 Prices'!S$2:S$40,,0),0)</f>
        <v>0</v>
      </c>
      <c r="U39" s="78">
        <f>+IFERROR(Country_year!AJ39/_xlfn.XLOOKUP($B39,'2024 Prices'!$A$2:$A$40,'2024 Prices'!T$2:T$40,,0),0)</f>
        <v>0</v>
      </c>
      <c r="V39" s="78">
        <f>+IFERROR(Country_year!AK39/_xlfn.XLOOKUP($B39,'2024 Prices'!$A$2:$A$40,'2024 Prices'!U$2:U$40,,0),0)</f>
        <v>0</v>
      </c>
      <c r="W39" s="78">
        <f>+IFERROR(Country_year!AL39/_xlfn.XLOOKUP($B39,'2024 Prices'!$A$2:$A$40,'2024 Prices'!V$2:V$40,,0),0)</f>
        <v>0</v>
      </c>
      <c r="X39" s="78">
        <f>+IFERROR(Country_year!AM39/_xlfn.XLOOKUP($B39,'2024 Prices'!$A$2:$A$40,'2024 Prices'!W$2:W$40,,0),0)</f>
        <v>0</v>
      </c>
      <c r="Y39" s="78">
        <f>+IFERROR(Country_year!AN39/_xlfn.XLOOKUP($B39,'2024 Prices'!$A$2:$A$40,'2024 Prices'!X$2:X$40,,0),0)</f>
        <v>0</v>
      </c>
      <c r="Z39" s="78">
        <f>+IFERROR(Country_year!AO39/_xlfn.XLOOKUP($B39,'2024 Prices'!$A$2:$A$40,'2024 Prices'!Y$2:Y$40,,0),0)</f>
        <v>0</v>
      </c>
      <c r="AA39" s="78">
        <f>+IFERROR(Country_year!AP39/_xlfn.XLOOKUP($B39,'2024 Prices'!$A$2:$A$40,'2024 Prices'!Z$2:Z$40,,0),0)</f>
        <v>0</v>
      </c>
      <c r="AB39" s="78">
        <f>+IFERROR(Country_year!AQ39/_xlfn.XLOOKUP($B39,'2024 Prices'!$A$2:$A$40,'2024 Prices'!AA$2:AA$40,,0),0)</f>
        <v>0</v>
      </c>
      <c r="AC39" s="78">
        <f>+IFERROR(Country_year!AR39/_xlfn.XLOOKUP($B39,'2024 Prices'!$A$2:$A$40,'2024 Prices'!AB$2:AB$40,,0),0)</f>
        <v>0</v>
      </c>
      <c r="AD39" s="78">
        <f>+IFERROR(Country_year!AS39/_xlfn.XLOOKUP($B39,'2024 Prices'!$A$2:$A$40,'2024 Prices'!AC$2:AC$40,,0),0)</f>
        <v>0</v>
      </c>
      <c r="AE39" s="78">
        <f>+IFERROR(Country_year!AT39/_xlfn.XLOOKUP($B39,'2024 Prices'!$A$2:$A$40,'2024 Prices'!AD$2:AD$40,,0),0)</f>
        <v>0</v>
      </c>
      <c r="AF39" s="79">
        <f>+IFERROR(Country_year!AU39/_xlfn.XLOOKUP($B39,'2024 Prices'!$A$2:$A$40,'2024 Prices'!AE$2:AE$40,,0),0)</f>
        <v>0</v>
      </c>
      <c r="AG39" s="80">
        <f t="shared" si="0"/>
        <v>0</v>
      </c>
      <c r="AH39" s="80">
        <f t="shared" si="1"/>
        <v>0</v>
      </c>
      <c r="AI39" s="80">
        <f t="shared" si="2"/>
        <v>0</v>
      </c>
    </row>
  </sheetData>
  <conditionalFormatting sqref="AI2:AI3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{B312FA1E-9492-4697-8FE1-86D53E78DF94}</x14:id>
        </ext>
      </extLst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12FA1E-9492-4697-8FE1-86D53E78DF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AI2:AI39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DB6F5-A2CA-4D30-84CF-25165FD3A8BF}">
  <dimension ref="A1:M39"/>
  <sheetViews>
    <sheetView showGridLines="0" zoomScaleNormal="100" workbookViewId="0">
      <selection activeCell="I40" sqref="I40"/>
    </sheetView>
  </sheetViews>
  <sheetFormatPr defaultColWidth="9.140625" defaultRowHeight="15" x14ac:dyDescent="0.25"/>
  <cols>
    <col min="1" max="1" width="5.7109375" style="47" bestFit="1" customWidth="1"/>
    <col min="2" max="2" width="22.42578125" style="47" bestFit="1" customWidth="1"/>
    <col min="3" max="3" width="12.42578125" style="47" bestFit="1" customWidth="1"/>
    <col min="4" max="4" width="14.5703125" style="47" bestFit="1" customWidth="1"/>
    <col min="5" max="5" width="11.85546875" style="47" bestFit="1" customWidth="1"/>
    <col min="6" max="6" width="20.5703125" style="47" bestFit="1" customWidth="1"/>
    <col min="7" max="7" width="25.140625" style="47" bestFit="1" customWidth="1"/>
    <col min="8" max="9" width="11.5703125" style="47" bestFit="1" customWidth="1"/>
    <col min="10" max="11" width="9.140625" style="47"/>
    <col min="12" max="12" width="9.5703125" style="47" bestFit="1" customWidth="1"/>
    <col min="13" max="16384" width="9.140625" style="47"/>
  </cols>
  <sheetData>
    <row r="1" spans="1:13" x14ac:dyDescent="0.25">
      <c r="A1" s="43" t="s">
        <v>54</v>
      </c>
      <c r="B1" s="44" t="s">
        <v>55</v>
      </c>
      <c r="C1" s="45" t="s">
        <v>56</v>
      </c>
      <c r="D1" s="46" t="s">
        <v>57</v>
      </c>
      <c r="E1" s="46" t="s">
        <v>58</v>
      </c>
      <c r="F1" s="46" t="s">
        <v>59</v>
      </c>
      <c r="G1" s="44" t="s">
        <v>60</v>
      </c>
    </row>
    <row r="2" spans="1:13" x14ac:dyDescent="0.25">
      <c r="A2" s="48" t="str">
        <f>+Country_year!A2</f>
        <v>AL</v>
      </c>
      <c r="B2" s="49" t="s">
        <v>46</v>
      </c>
      <c r="C2" s="50">
        <v>1603.799</v>
      </c>
      <c r="D2" s="51">
        <v>11.625</v>
      </c>
      <c r="E2" s="51">
        <v>482.03500000000003</v>
      </c>
      <c r="F2" s="51">
        <v>83.882000000000005</v>
      </c>
      <c r="G2" s="52">
        <v>0</v>
      </c>
      <c r="H2" s="53"/>
      <c r="I2" s="53"/>
      <c r="J2" s="54"/>
      <c r="L2" s="55"/>
      <c r="M2" s="55"/>
    </row>
    <row r="3" spans="1:13" x14ac:dyDescent="0.25">
      <c r="A3" s="56" t="s">
        <v>61</v>
      </c>
      <c r="B3" s="57" t="s">
        <v>30</v>
      </c>
      <c r="C3" s="58">
        <v>76.17</v>
      </c>
      <c r="D3" s="59">
        <v>4197.4809999999998</v>
      </c>
      <c r="E3" s="59">
        <v>12159.281999999999</v>
      </c>
      <c r="F3" s="59">
        <v>1704.8</v>
      </c>
      <c r="G3" s="60">
        <v>1695.84</v>
      </c>
      <c r="H3" s="53"/>
      <c r="I3" s="53"/>
      <c r="J3" s="54"/>
      <c r="L3" s="55"/>
      <c r="M3" s="55"/>
    </row>
    <row r="4" spans="1:13" x14ac:dyDescent="0.25">
      <c r="A4" s="56" t="s">
        <v>62</v>
      </c>
      <c r="B4" s="57" t="s">
        <v>43</v>
      </c>
      <c r="C4" s="58">
        <v>64.242999999999995</v>
      </c>
      <c r="D4" s="59">
        <v>0.79500000000000004</v>
      </c>
      <c r="E4" s="59">
        <v>2742.1280000000002</v>
      </c>
      <c r="F4" s="59">
        <v>20.603999999999999</v>
      </c>
      <c r="G4" s="60">
        <v>2577.011</v>
      </c>
      <c r="H4" s="53"/>
      <c r="I4" s="53"/>
      <c r="J4" s="54"/>
      <c r="L4" s="55"/>
      <c r="M4" s="55"/>
    </row>
    <row r="5" spans="1:13" x14ac:dyDescent="0.25">
      <c r="A5" s="56" t="s">
        <v>63</v>
      </c>
      <c r="B5" s="57" t="s">
        <v>9</v>
      </c>
      <c r="C5" s="58">
        <v>146.82599999999999</v>
      </c>
      <c r="D5" s="59">
        <v>5885.7550000000001</v>
      </c>
      <c r="E5" s="59">
        <v>12231.528</v>
      </c>
      <c r="F5" s="59">
        <v>0</v>
      </c>
      <c r="G5" s="60">
        <v>286.90199999999999</v>
      </c>
      <c r="H5" s="53"/>
      <c r="I5" s="53"/>
      <c r="J5" s="54"/>
      <c r="L5" s="55"/>
      <c r="M5" s="55"/>
    </row>
    <row r="6" spans="1:13" x14ac:dyDescent="0.25">
      <c r="A6" s="56" t="s">
        <v>64</v>
      </c>
      <c r="B6" s="57" t="s">
        <v>12</v>
      </c>
      <c r="C6" s="58">
        <v>94.36</v>
      </c>
      <c r="D6" s="59">
        <v>743.76599999999996</v>
      </c>
      <c r="E6" s="59">
        <v>5458.3789999999999</v>
      </c>
      <c r="F6" s="59">
        <v>89.38</v>
      </c>
      <c r="G6" s="60">
        <v>0.17499999999999999</v>
      </c>
      <c r="H6" s="53"/>
      <c r="I6" s="53"/>
      <c r="J6" s="54"/>
      <c r="L6" s="55"/>
      <c r="M6" s="55"/>
    </row>
    <row r="7" spans="1:13" x14ac:dyDescent="0.25">
      <c r="A7" s="56" t="s">
        <v>65</v>
      </c>
      <c r="B7" s="57" t="s">
        <v>66</v>
      </c>
      <c r="C7" s="58">
        <v>1679.248</v>
      </c>
      <c r="D7" s="59">
        <v>9675.4140000000007</v>
      </c>
      <c r="E7" s="59">
        <v>12621.037</v>
      </c>
      <c r="F7" s="59">
        <v>9.8040000000000003</v>
      </c>
      <c r="G7" s="60">
        <v>442.83499999999998</v>
      </c>
      <c r="H7" s="53"/>
      <c r="I7" s="53"/>
      <c r="J7" s="54"/>
      <c r="L7" s="55"/>
      <c r="M7" s="55"/>
    </row>
    <row r="8" spans="1:13" x14ac:dyDescent="0.25">
      <c r="A8" s="56" t="s">
        <v>67</v>
      </c>
      <c r="B8" s="57" t="s">
        <v>23</v>
      </c>
      <c r="C8" s="58">
        <v>23.306000000000001</v>
      </c>
      <c r="D8" s="59">
        <v>43.737000000000002</v>
      </c>
      <c r="E8" s="59">
        <v>0</v>
      </c>
      <c r="F8" s="59">
        <v>6.2770000000000001</v>
      </c>
      <c r="G8" s="60">
        <v>409</v>
      </c>
      <c r="H8" s="53"/>
      <c r="I8" s="53"/>
      <c r="J8" s="54"/>
      <c r="L8" s="55"/>
      <c r="M8" s="55"/>
    </row>
    <row r="9" spans="1:13" x14ac:dyDescent="0.25">
      <c r="A9" s="56" t="s">
        <v>68</v>
      </c>
      <c r="B9" s="57" t="s">
        <v>13</v>
      </c>
      <c r="C9" s="58">
        <v>41.128</v>
      </c>
      <c r="D9" s="59">
        <v>2881.442</v>
      </c>
      <c r="E9" s="59">
        <v>17633.829000000002</v>
      </c>
      <c r="F9" s="59">
        <v>391.22899999999998</v>
      </c>
      <c r="G9" s="60">
        <v>804.31200000000001</v>
      </c>
      <c r="H9" s="53"/>
      <c r="I9" s="53"/>
      <c r="J9" s="54"/>
      <c r="L9" s="55"/>
      <c r="M9" s="55"/>
    </row>
    <row r="10" spans="1:13" x14ac:dyDescent="0.25">
      <c r="A10" s="56" t="s">
        <v>69</v>
      </c>
      <c r="B10" s="57" t="s">
        <v>15</v>
      </c>
      <c r="C10" s="58">
        <v>47.783999999999999</v>
      </c>
      <c r="D10" s="59">
        <v>79709.786999999997</v>
      </c>
      <c r="E10" s="59">
        <v>80029.495999999999</v>
      </c>
      <c r="F10" s="59">
        <v>5295.1080000000002</v>
      </c>
      <c r="G10" s="60">
        <v>21873.316999999999</v>
      </c>
      <c r="H10" s="53"/>
      <c r="I10" s="53"/>
      <c r="J10" s="54"/>
      <c r="L10" s="55"/>
      <c r="M10" s="55"/>
    </row>
    <row r="11" spans="1:13" x14ac:dyDescent="0.25">
      <c r="A11" s="56" t="s">
        <v>70</v>
      </c>
      <c r="B11" s="57" t="s">
        <v>14</v>
      </c>
      <c r="C11" s="58">
        <v>0</v>
      </c>
      <c r="D11" s="59">
        <v>6161.7709999999997</v>
      </c>
      <c r="E11" s="59">
        <v>2059.4349999999999</v>
      </c>
      <c r="F11" s="59">
        <v>0</v>
      </c>
      <c r="G11" s="60">
        <v>1125.694</v>
      </c>
      <c r="H11" s="53"/>
      <c r="I11" s="53"/>
      <c r="J11" s="54"/>
      <c r="L11" s="55"/>
      <c r="M11" s="55"/>
    </row>
    <row r="12" spans="1:13" x14ac:dyDescent="0.25">
      <c r="A12" s="56" t="s">
        <v>71</v>
      </c>
      <c r="B12" s="57" t="s">
        <v>16</v>
      </c>
      <c r="C12" s="58">
        <v>0</v>
      </c>
      <c r="D12" s="59">
        <v>331.33800000000002</v>
      </c>
      <c r="E12" s="59">
        <v>0.98199999999999998</v>
      </c>
      <c r="F12" s="59">
        <v>0</v>
      </c>
      <c r="G12" s="60">
        <v>19.768999999999998</v>
      </c>
      <c r="H12" s="53"/>
      <c r="I12" s="53"/>
      <c r="J12" s="54"/>
      <c r="L12" s="55"/>
      <c r="M12" s="55"/>
    </row>
    <row r="13" spans="1:13" x14ac:dyDescent="0.25">
      <c r="A13" s="56" t="s">
        <v>72</v>
      </c>
      <c r="B13" s="57" t="s">
        <v>18</v>
      </c>
      <c r="C13" s="58">
        <v>10884.081</v>
      </c>
      <c r="D13" s="59">
        <v>3712.9050000000002</v>
      </c>
      <c r="E13" s="59">
        <v>6592.0349999999999</v>
      </c>
      <c r="F13" s="59">
        <v>5248.2579999999998</v>
      </c>
      <c r="G13" s="60">
        <v>2758.299</v>
      </c>
      <c r="H13" s="53"/>
      <c r="I13" s="53"/>
      <c r="J13" s="54"/>
      <c r="L13" s="55"/>
      <c r="M13" s="55"/>
    </row>
    <row r="14" spans="1:13" x14ac:dyDescent="0.25">
      <c r="A14" s="56" t="s">
        <v>73</v>
      </c>
      <c r="B14" s="57" t="s">
        <v>19</v>
      </c>
      <c r="C14" s="58">
        <v>2724.9609999999998</v>
      </c>
      <c r="D14" s="59">
        <v>18730.092000000001</v>
      </c>
      <c r="E14" s="59">
        <v>55196.142999999996</v>
      </c>
      <c r="F14" s="59">
        <v>15182.121999999999</v>
      </c>
      <c r="G14" s="60">
        <v>30468.79</v>
      </c>
      <c r="H14" s="53"/>
      <c r="I14" s="53"/>
      <c r="J14" s="54"/>
      <c r="L14" s="55"/>
      <c r="M14" s="55"/>
    </row>
    <row r="15" spans="1:13" x14ac:dyDescent="0.25">
      <c r="A15" s="56" t="s">
        <v>74</v>
      </c>
      <c r="B15" s="57" t="s">
        <v>36</v>
      </c>
      <c r="C15" s="58">
        <v>0</v>
      </c>
      <c r="D15" s="59">
        <v>490.19600000000003</v>
      </c>
      <c r="E15" s="59">
        <v>569.76</v>
      </c>
      <c r="F15" s="59">
        <v>1362.4860000000001</v>
      </c>
      <c r="G15" s="60">
        <v>0</v>
      </c>
      <c r="H15" s="53"/>
      <c r="I15" s="53"/>
      <c r="J15" s="54"/>
      <c r="L15" s="55"/>
      <c r="M15" s="55"/>
    </row>
    <row r="16" spans="1:13" x14ac:dyDescent="0.25">
      <c r="A16" s="56" t="s">
        <v>75</v>
      </c>
      <c r="B16" s="57" t="s">
        <v>20</v>
      </c>
      <c r="C16" s="58">
        <v>728.97900000000004</v>
      </c>
      <c r="D16" s="59">
        <v>54709.35</v>
      </c>
      <c r="E16" s="59">
        <v>44080.972999999998</v>
      </c>
      <c r="F16" s="59">
        <v>15681.022999999999</v>
      </c>
      <c r="G16" s="60">
        <v>23632.231</v>
      </c>
      <c r="H16" s="53"/>
      <c r="I16" s="53"/>
      <c r="J16" s="54"/>
      <c r="L16" s="55"/>
      <c r="M16" s="55"/>
    </row>
    <row r="17" spans="1:13" x14ac:dyDescent="0.25">
      <c r="A17" s="56" t="s">
        <v>76</v>
      </c>
      <c r="B17" s="57" t="s">
        <v>21</v>
      </c>
      <c r="C17" s="58">
        <v>1297.29</v>
      </c>
      <c r="D17" s="59">
        <v>506.02800000000002</v>
      </c>
      <c r="E17" s="59">
        <v>2185.3000000000002</v>
      </c>
      <c r="F17" s="59">
        <v>91.299000000000007</v>
      </c>
      <c r="G17" s="60">
        <v>1959.6969999999999</v>
      </c>
      <c r="H17" s="53"/>
      <c r="I17" s="53"/>
      <c r="J17" s="54"/>
      <c r="L17" s="55"/>
      <c r="M17" s="55"/>
    </row>
    <row r="18" spans="1:13" x14ac:dyDescent="0.25">
      <c r="A18" s="56" t="s">
        <v>77</v>
      </c>
      <c r="B18" s="57" t="s">
        <v>27</v>
      </c>
      <c r="C18" s="58">
        <v>35.713000000000001</v>
      </c>
      <c r="D18" s="59">
        <v>468.786</v>
      </c>
      <c r="E18" s="59">
        <v>4188.8760000000002</v>
      </c>
      <c r="F18" s="59">
        <v>1.232</v>
      </c>
      <c r="G18" s="60">
        <v>8153.95</v>
      </c>
      <c r="H18" s="53"/>
      <c r="I18" s="53"/>
      <c r="J18" s="54"/>
      <c r="L18" s="55"/>
      <c r="M18" s="55"/>
    </row>
    <row r="19" spans="1:13" x14ac:dyDescent="0.25">
      <c r="A19" s="56" t="s">
        <v>78</v>
      </c>
      <c r="B19" s="57" t="s">
        <v>17</v>
      </c>
      <c r="C19" s="58">
        <v>0</v>
      </c>
      <c r="D19" s="59">
        <v>3035.1329999999998</v>
      </c>
      <c r="E19" s="59">
        <v>1797.88</v>
      </c>
      <c r="F19" s="59">
        <v>0</v>
      </c>
      <c r="G19" s="60">
        <v>0</v>
      </c>
      <c r="H19" s="53"/>
      <c r="I19" s="53"/>
      <c r="J19" s="54"/>
      <c r="L19" s="55"/>
      <c r="M19" s="55"/>
    </row>
    <row r="20" spans="1:13" x14ac:dyDescent="0.25">
      <c r="A20" s="56" t="s">
        <v>79</v>
      </c>
      <c r="B20" s="57" t="s">
        <v>38</v>
      </c>
      <c r="C20" s="58">
        <v>417.21100000000001</v>
      </c>
      <c r="D20" s="59">
        <v>3.4239999999999999</v>
      </c>
      <c r="E20" s="59">
        <v>24.021000000000001</v>
      </c>
      <c r="F20" s="59">
        <v>0</v>
      </c>
      <c r="G20" s="60">
        <v>0</v>
      </c>
      <c r="H20" s="53"/>
      <c r="I20" s="53"/>
      <c r="J20" s="54"/>
      <c r="L20" s="55"/>
      <c r="M20" s="55"/>
    </row>
    <row r="21" spans="1:13" x14ac:dyDescent="0.25">
      <c r="A21" s="56" t="s">
        <v>80</v>
      </c>
      <c r="B21" s="57" t="s">
        <v>22</v>
      </c>
      <c r="C21" s="58">
        <v>108894.757</v>
      </c>
      <c r="D21" s="59">
        <v>20658.93</v>
      </c>
      <c r="E21" s="59">
        <v>78161.525999999998</v>
      </c>
      <c r="F21" s="59">
        <v>13024.97</v>
      </c>
      <c r="G21" s="60">
        <v>33381.057000000001</v>
      </c>
      <c r="H21" s="53"/>
      <c r="I21" s="53"/>
      <c r="J21" s="54"/>
      <c r="L21" s="55"/>
      <c r="M21" s="55"/>
    </row>
    <row r="22" spans="1:13" x14ac:dyDescent="0.25">
      <c r="A22" s="56" t="s">
        <v>81</v>
      </c>
      <c r="B22" s="57" t="s">
        <v>39</v>
      </c>
      <c r="C22" s="58">
        <v>0</v>
      </c>
      <c r="D22" s="59">
        <v>1.099</v>
      </c>
      <c r="E22" s="59">
        <v>9.91</v>
      </c>
      <c r="F22" s="59">
        <v>11.285</v>
      </c>
      <c r="G22" s="60">
        <v>0</v>
      </c>
      <c r="H22" s="53"/>
      <c r="I22" s="53"/>
      <c r="J22" s="54"/>
      <c r="L22" s="55"/>
      <c r="M22" s="55"/>
    </row>
    <row r="23" spans="1:13" x14ac:dyDescent="0.25">
      <c r="A23" s="56" t="s">
        <v>82</v>
      </c>
      <c r="B23" s="57" t="s">
        <v>25</v>
      </c>
      <c r="C23" s="58">
        <v>0</v>
      </c>
      <c r="D23" s="59">
        <v>192.749</v>
      </c>
      <c r="E23" s="59">
        <v>1211.6569999999999</v>
      </c>
      <c r="F23" s="59">
        <v>438.31400000000002</v>
      </c>
      <c r="G23" s="60">
        <v>1125.5550000000001</v>
      </c>
      <c r="H23" s="53"/>
      <c r="I23" s="53"/>
      <c r="J23" s="54"/>
      <c r="L23" s="55"/>
      <c r="M23" s="55"/>
    </row>
    <row r="24" spans="1:13" x14ac:dyDescent="0.25">
      <c r="A24" s="56" t="s">
        <v>83</v>
      </c>
      <c r="B24" s="57" t="s">
        <v>26</v>
      </c>
      <c r="C24" s="58">
        <v>0</v>
      </c>
      <c r="D24" s="59">
        <v>1119.912</v>
      </c>
      <c r="E24" s="59">
        <v>289.404</v>
      </c>
      <c r="F24" s="59">
        <v>0</v>
      </c>
      <c r="G24" s="60">
        <v>0</v>
      </c>
      <c r="H24" s="53"/>
      <c r="I24" s="53"/>
      <c r="J24" s="54"/>
      <c r="L24" s="55"/>
      <c r="M24" s="55"/>
    </row>
    <row r="25" spans="1:13" x14ac:dyDescent="0.25">
      <c r="A25" s="56" t="s">
        <v>84</v>
      </c>
      <c r="B25" s="57" t="s">
        <v>24</v>
      </c>
      <c r="C25" s="58">
        <v>0</v>
      </c>
      <c r="D25" s="59">
        <v>593.14200000000005</v>
      </c>
      <c r="E25" s="59">
        <v>587.33199999999999</v>
      </c>
      <c r="F25" s="59">
        <v>121.289</v>
      </c>
      <c r="G25" s="60">
        <v>0</v>
      </c>
      <c r="H25" s="53"/>
      <c r="I25" s="53"/>
      <c r="J25" s="54"/>
      <c r="L25" s="55"/>
      <c r="M25" s="55"/>
    </row>
    <row r="26" spans="1:13" x14ac:dyDescent="0.25">
      <c r="A26" s="56" t="s">
        <v>85</v>
      </c>
      <c r="B26" s="57" t="s">
        <v>44</v>
      </c>
      <c r="C26" s="58">
        <v>3.851</v>
      </c>
      <c r="D26" s="59">
        <v>34.975999999999999</v>
      </c>
      <c r="E26" s="59">
        <v>34.128999999999998</v>
      </c>
      <c r="F26" s="59">
        <v>13.608000000000001</v>
      </c>
      <c r="G26" s="60">
        <v>0</v>
      </c>
      <c r="H26" s="53"/>
      <c r="I26" s="53"/>
      <c r="J26" s="54"/>
      <c r="L26" s="55"/>
      <c r="M26" s="55"/>
    </row>
    <row r="27" spans="1:13" x14ac:dyDescent="0.25">
      <c r="A27" s="56" t="s">
        <v>86</v>
      </c>
      <c r="B27" s="57" t="s">
        <v>45</v>
      </c>
      <c r="C27" s="58">
        <v>111.18899999999999</v>
      </c>
      <c r="D27" s="59">
        <v>1.579</v>
      </c>
      <c r="E27" s="59">
        <v>683.68700000000001</v>
      </c>
      <c r="F27" s="59">
        <v>140.26400000000001</v>
      </c>
      <c r="G27" s="60">
        <v>0</v>
      </c>
      <c r="H27" s="53"/>
      <c r="I27" s="53"/>
      <c r="J27" s="54"/>
      <c r="L27" s="55"/>
      <c r="M27" s="55"/>
    </row>
    <row r="28" spans="1:13" x14ac:dyDescent="0.25">
      <c r="A28" s="56" t="s">
        <v>87</v>
      </c>
      <c r="B28" s="57" t="s">
        <v>28</v>
      </c>
      <c r="C28" s="58">
        <v>0</v>
      </c>
      <c r="D28" s="59">
        <v>30.085000000000001</v>
      </c>
      <c r="E28" s="59">
        <v>52.481000000000002</v>
      </c>
      <c r="F28" s="59">
        <v>0</v>
      </c>
      <c r="G28" s="60">
        <v>0</v>
      </c>
      <c r="H28" s="53"/>
      <c r="I28" s="53"/>
      <c r="J28" s="54"/>
      <c r="L28" s="55"/>
      <c r="M28" s="55"/>
    </row>
    <row r="29" spans="1:13" x14ac:dyDescent="0.25">
      <c r="A29" s="56" t="s">
        <v>88</v>
      </c>
      <c r="B29" s="57" t="s">
        <v>29</v>
      </c>
      <c r="C29" s="58">
        <v>374.298</v>
      </c>
      <c r="D29" s="59">
        <v>11302.97</v>
      </c>
      <c r="E29" s="59">
        <v>1936.874</v>
      </c>
      <c r="F29" s="59">
        <v>0</v>
      </c>
      <c r="G29" s="60">
        <v>0.77100000000000002</v>
      </c>
      <c r="H29" s="53"/>
      <c r="I29" s="53"/>
      <c r="J29" s="54"/>
      <c r="L29" s="55"/>
      <c r="M29" s="55"/>
    </row>
    <row r="30" spans="1:13" x14ac:dyDescent="0.25">
      <c r="A30" s="56" t="s">
        <v>89</v>
      </c>
      <c r="B30" s="57" t="s">
        <v>40</v>
      </c>
      <c r="C30" s="58">
        <v>376.38600000000002</v>
      </c>
      <c r="D30" s="59">
        <v>3158.0639999999999</v>
      </c>
      <c r="E30" s="59">
        <v>1298.925</v>
      </c>
      <c r="F30" s="59">
        <v>3.7509999999999999</v>
      </c>
      <c r="G30" s="60">
        <v>0.77400000000000002</v>
      </c>
      <c r="H30" s="53"/>
      <c r="I30" s="53"/>
      <c r="J30" s="54"/>
      <c r="L30" s="55"/>
      <c r="M30" s="55"/>
    </row>
    <row r="31" spans="1:13" x14ac:dyDescent="0.25">
      <c r="A31" s="56" t="s">
        <v>90</v>
      </c>
      <c r="B31" s="57" t="s">
        <v>31</v>
      </c>
      <c r="C31" s="58">
        <v>47.215000000000003</v>
      </c>
      <c r="D31" s="59">
        <v>837.54399999999998</v>
      </c>
      <c r="E31" s="59">
        <v>25494.704000000002</v>
      </c>
      <c r="F31" s="59">
        <v>114.348</v>
      </c>
      <c r="G31" s="60">
        <v>1438.171</v>
      </c>
      <c r="H31" s="53"/>
      <c r="I31" s="53"/>
      <c r="J31" s="54"/>
      <c r="L31" s="55"/>
      <c r="M31" s="55"/>
    </row>
    <row r="32" spans="1:13" x14ac:dyDescent="0.25">
      <c r="A32" s="56" t="s">
        <v>91</v>
      </c>
      <c r="B32" s="57" t="s">
        <v>32</v>
      </c>
      <c r="C32" s="58">
        <v>154.631</v>
      </c>
      <c r="D32" s="59">
        <v>2166.6709999999998</v>
      </c>
      <c r="E32" s="59">
        <v>2329.7069999999999</v>
      </c>
      <c r="F32" s="59">
        <v>8131.9539999999997</v>
      </c>
      <c r="G32" s="60">
        <v>5024.8710000000001</v>
      </c>
      <c r="H32" s="53"/>
      <c r="I32" s="53"/>
      <c r="J32" s="54"/>
      <c r="L32" s="55"/>
      <c r="M32" s="55"/>
    </row>
    <row r="33" spans="1:13" x14ac:dyDescent="0.25">
      <c r="A33" s="56" t="s">
        <v>92</v>
      </c>
      <c r="B33" s="57" t="s">
        <v>33</v>
      </c>
      <c r="C33" s="58">
        <v>3284.3850000000002</v>
      </c>
      <c r="D33" s="59">
        <v>81.774000000000001</v>
      </c>
      <c r="E33" s="59">
        <v>15044.597</v>
      </c>
      <c r="F33" s="59">
        <v>347.16800000000001</v>
      </c>
      <c r="G33" s="60">
        <v>8490.5759999999991</v>
      </c>
      <c r="H33" s="53"/>
      <c r="I33" s="53"/>
      <c r="J33" s="54"/>
      <c r="L33" s="55"/>
      <c r="M33" s="55"/>
    </row>
    <row r="34" spans="1:13" x14ac:dyDescent="0.25">
      <c r="A34" s="56" t="s">
        <v>93</v>
      </c>
      <c r="B34" s="57" t="s">
        <v>47</v>
      </c>
      <c r="C34" s="58">
        <v>252.15</v>
      </c>
      <c r="D34" s="59">
        <v>15.667</v>
      </c>
      <c r="E34" s="59">
        <v>3501.5419999999999</v>
      </c>
      <c r="F34" s="59">
        <v>1592.777</v>
      </c>
      <c r="G34" s="60">
        <v>10082.891</v>
      </c>
      <c r="H34" s="53"/>
      <c r="I34" s="53"/>
      <c r="J34" s="54"/>
      <c r="L34" s="55"/>
      <c r="M34" s="55"/>
    </row>
    <row r="35" spans="1:13" x14ac:dyDescent="0.25">
      <c r="A35" s="56" t="s">
        <v>94</v>
      </c>
      <c r="B35" s="57" t="s">
        <v>37</v>
      </c>
      <c r="C35" s="58">
        <v>0</v>
      </c>
      <c r="D35" s="59">
        <v>3419.0320000000002</v>
      </c>
      <c r="E35" s="59">
        <v>195.13499999999999</v>
      </c>
      <c r="F35" s="59">
        <v>216.97200000000001</v>
      </c>
      <c r="G35" s="60">
        <v>0</v>
      </c>
      <c r="H35" s="53"/>
      <c r="I35" s="53"/>
      <c r="J35" s="54"/>
      <c r="L35" s="55"/>
      <c r="M35" s="55"/>
    </row>
    <row r="36" spans="1:13" x14ac:dyDescent="0.25">
      <c r="A36" s="56" t="s">
        <v>95</v>
      </c>
      <c r="B36" s="57" t="s">
        <v>34</v>
      </c>
      <c r="C36" s="58">
        <v>70.489999999999995</v>
      </c>
      <c r="D36" s="59">
        <v>1653.6690000000001</v>
      </c>
      <c r="E36" s="59">
        <v>14799.4</v>
      </c>
      <c r="F36" s="59">
        <v>235.11799999999999</v>
      </c>
      <c r="G36" s="60">
        <v>1791.854</v>
      </c>
      <c r="H36" s="53"/>
      <c r="I36" s="53"/>
      <c r="J36" s="54"/>
      <c r="L36" s="55"/>
      <c r="M36" s="55"/>
    </row>
    <row r="37" spans="1:13" x14ac:dyDescent="0.25">
      <c r="A37" s="56" t="s">
        <v>96</v>
      </c>
      <c r="B37" s="57" t="s">
        <v>35</v>
      </c>
      <c r="C37" s="58">
        <v>17.991</v>
      </c>
      <c r="D37" s="59">
        <v>692.36500000000001</v>
      </c>
      <c r="E37" s="59">
        <v>1473.874</v>
      </c>
      <c r="F37" s="59">
        <v>0</v>
      </c>
      <c r="G37" s="60">
        <v>383.03399999999999</v>
      </c>
      <c r="H37" s="53"/>
      <c r="I37" s="53"/>
      <c r="J37" s="54"/>
      <c r="L37" s="55"/>
      <c r="M37" s="55"/>
    </row>
    <row r="38" spans="1:13" x14ac:dyDescent="0.25">
      <c r="A38" s="56" t="s">
        <v>97</v>
      </c>
      <c r="B38" s="57" t="s">
        <v>48</v>
      </c>
      <c r="C38" s="58">
        <v>120309.522</v>
      </c>
      <c r="D38" s="59">
        <v>695.851</v>
      </c>
      <c r="E38" s="59">
        <v>6969.9250000000002</v>
      </c>
      <c r="F38" s="59">
        <v>310.78100000000001</v>
      </c>
      <c r="G38" s="60">
        <v>1.367</v>
      </c>
      <c r="H38" s="53"/>
      <c r="I38" s="53"/>
      <c r="J38" s="54"/>
      <c r="L38" s="55"/>
      <c r="M38" s="55"/>
    </row>
    <row r="39" spans="1:13" x14ac:dyDescent="0.25">
      <c r="A39" s="61" t="s">
        <v>98</v>
      </c>
      <c r="B39" s="62" t="s">
        <v>49</v>
      </c>
      <c r="C39" s="63">
        <v>0.85699999999999998</v>
      </c>
      <c r="D39" s="64">
        <v>1.024</v>
      </c>
      <c r="E39" s="64">
        <v>22.574000000000002</v>
      </c>
      <c r="F39" s="64">
        <v>0</v>
      </c>
      <c r="G39" s="65">
        <v>0</v>
      </c>
      <c r="H39" s="53"/>
      <c r="I39" s="53"/>
      <c r="J39" s="54"/>
      <c r="L39" s="55"/>
      <c r="M39" s="5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A1254-CC26-45F9-AF6F-DF8D114BB04E}">
  <dimension ref="A1:M39"/>
  <sheetViews>
    <sheetView showGridLines="0" zoomScaleNormal="100" workbookViewId="0">
      <selection activeCell="G20" sqref="G20"/>
    </sheetView>
  </sheetViews>
  <sheetFormatPr defaultColWidth="9.140625" defaultRowHeight="15" x14ac:dyDescent="0.25"/>
  <cols>
    <col min="1" max="1" width="5.7109375" style="47" bestFit="1" customWidth="1"/>
    <col min="2" max="2" width="22.42578125" style="47" bestFit="1" customWidth="1"/>
    <col min="3" max="3" width="12.42578125" style="47" bestFit="1" customWidth="1"/>
    <col min="4" max="4" width="14.5703125" style="47" bestFit="1" customWidth="1"/>
    <col min="5" max="5" width="11.85546875" style="47" bestFit="1" customWidth="1"/>
    <col min="6" max="6" width="20.5703125" style="47" bestFit="1" customWidth="1"/>
    <col min="7" max="7" width="25.140625" style="47" bestFit="1" customWidth="1"/>
    <col min="8" max="9" width="11.5703125" style="47" bestFit="1" customWidth="1"/>
    <col min="10" max="11" width="9.140625" style="47"/>
    <col min="12" max="12" width="9.5703125" style="47" bestFit="1" customWidth="1"/>
    <col min="13" max="16384" width="9.140625" style="47"/>
  </cols>
  <sheetData>
    <row r="1" spans="1:13" x14ac:dyDescent="0.25">
      <c r="A1" s="43" t="s">
        <v>54</v>
      </c>
      <c r="B1" s="44" t="s">
        <v>55</v>
      </c>
      <c r="C1" s="45" t="s">
        <v>56</v>
      </c>
      <c r="D1" s="46" t="s">
        <v>57</v>
      </c>
      <c r="E1" s="46" t="s">
        <v>58</v>
      </c>
      <c r="F1" s="46" t="s">
        <v>59</v>
      </c>
      <c r="G1" s="44" t="s">
        <v>60</v>
      </c>
    </row>
    <row r="2" spans="1:13" x14ac:dyDescent="0.25">
      <c r="A2" s="48" t="str">
        <f>+Country_year!A2</f>
        <v>AL</v>
      </c>
      <c r="B2" s="49" t="s">
        <v>46</v>
      </c>
      <c r="C2" s="50">
        <f>+Coutry_type!C2/SUM(Coutry_type!$C2:$G2)</f>
        <v>0.7352353437633089</v>
      </c>
      <c r="D2" s="51">
        <f>+Coutry_type!D2/SUM(Coutry_type!$C2:$G2)</f>
        <v>5.3292905602562828E-3</v>
      </c>
      <c r="E2" s="51">
        <f>+Coutry_type!E2/SUM(Coutry_type!$C2:$G2)</f>
        <v>0.22098103872801184</v>
      </c>
      <c r="F2" s="51">
        <f>+Coutry_type!F2/SUM(Coutry_type!$C2:$G2)</f>
        <v>3.8454326948423018E-2</v>
      </c>
      <c r="G2" s="52">
        <f>+Coutry_type!G2/SUM(Coutry_type!$C2:$G2)</f>
        <v>0</v>
      </c>
      <c r="H2" s="53"/>
      <c r="I2" s="53"/>
      <c r="J2" s="54"/>
      <c r="L2" s="55"/>
      <c r="M2" s="55"/>
    </row>
    <row r="3" spans="1:13" x14ac:dyDescent="0.25">
      <c r="A3" s="56" t="s">
        <v>61</v>
      </c>
      <c r="B3" s="57" t="s">
        <v>30</v>
      </c>
      <c r="C3" s="58">
        <f>+Coutry_type!C3/SUM(Coutry_type!$C3:$G3)</f>
        <v>3.840457793459606E-3</v>
      </c>
      <c r="D3" s="59">
        <f>+Coutry_type!D3/SUM(Coutry_type!$C3:$G3)</f>
        <v>0.2116351400728452</v>
      </c>
      <c r="E3" s="59">
        <f>+Coutry_type!E3/SUM(Coutry_type!$C3:$G3)</f>
        <v>0.6130656337110818</v>
      </c>
      <c r="F3" s="59">
        <f>+Coutry_type!F3/SUM(Coutry_type!$C3:$G3)</f>
        <v>8.5955263834710985E-2</v>
      </c>
      <c r="G3" s="60">
        <f>+Coutry_type!G3/SUM(Coutry_type!$C3:$G3)</f>
        <v>8.5503504587902554E-2</v>
      </c>
      <c r="H3" s="53"/>
      <c r="I3" s="53"/>
      <c r="J3" s="54"/>
      <c r="L3" s="55"/>
      <c r="M3" s="55"/>
    </row>
    <row r="4" spans="1:13" x14ac:dyDescent="0.25">
      <c r="A4" s="56" t="s">
        <v>62</v>
      </c>
      <c r="B4" s="57" t="s">
        <v>43</v>
      </c>
      <c r="C4" s="58">
        <f>+Coutry_type!C4/SUM(Coutry_type!$C4:$G4)</f>
        <v>1.1886328049184601E-2</v>
      </c>
      <c r="D4" s="59">
        <f>+Coutry_type!D4/SUM(Coutry_type!$C4:$G4)</f>
        <v>1.4709199133137866E-4</v>
      </c>
      <c r="E4" s="59">
        <f>+Coutry_type!E4/SUM(Coutry_type!$C4:$G4)</f>
        <v>0.50735228679940969</v>
      </c>
      <c r="F4" s="59">
        <f>+Coutry_type!F4/SUM(Coutry_type!$C4:$G4)</f>
        <v>3.812180364014749E-3</v>
      </c>
      <c r="G4" s="60">
        <f>+Coutry_type!G4/SUM(Coutry_type!$C4:$G4)</f>
        <v>0.47680211279605966</v>
      </c>
      <c r="H4" s="53"/>
      <c r="I4" s="53"/>
      <c r="J4" s="54"/>
      <c r="L4" s="55"/>
      <c r="M4" s="55"/>
    </row>
    <row r="5" spans="1:13" x14ac:dyDescent="0.25">
      <c r="A5" s="56" t="s">
        <v>63</v>
      </c>
      <c r="B5" s="57" t="s">
        <v>9</v>
      </c>
      <c r="C5" s="58">
        <f>+Coutry_type!C5/SUM(Coutry_type!$C5:$G5)</f>
        <v>7.914716885241457E-3</v>
      </c>
      <c r="D5" s="59">
        <f>+Coutry_type!D5/SUM(Coutry_type!$C5:$G5)</f>
        <v>0.31727408279796721</v>
      </c>
      <c r="E5" s="59">
        <f>+Coutry_type!E5/SUM(Coutry_type!$C5:$G5)</f>
        <v>0.65934562811697983</v>
      </c>
      <c r="F5" s="59">
        <f>+Coutry_type!F5/SUM(Coutry_type!$C5:$G5)</f>
        <v>0</v>
      </c>
      <c r="G5" s="60">
        <f>+Coutry_type!G5/SUM(Coutry_type!$C5:$G5)</f>
        <v>1.5465572199811645E-2</v>
      </c>
      <c r="H5" s="53"/>
      <c r="I5" s="53"/>
      <c r="J5" s="54"/>
      <c r="L5" s="55"/>
      <c r="M5" s="55"/>
    </row>
    <row r="6" spans="1:13" x14ac:dyDescent="0.25">
      <c r="A6" s="56" t="s">
        <v>64</v>
      </c>
      <c r="B6" s="57" t="s">
        <v>12</v>
      </c>
      <c r="C6" s="58">
        <f>+Coutry_type!C6/SUM(Coutry_type!$C6:$G6)</f>
        <v>1.4775933830875375E-2</v>
      </c>
      <c r="D6" s="59">
        <f>+Coutry_type!D6/SUM(Coutry_type!$C6:$G6)</f>
        <v>0.11646711744017436</v>
      </c>
      <c r="E6" s="59">
        <f>+Coutry_type!E6/SUM(Coutry_type!$C6:$G6)</f>
        <v>0.85473343501313792</v>
      </c>
      <c r="F6" s="59">
        <f>+Coutry_type!F6/SUM(Coutry_type!$C6:$G6)</f>
        <v>1.3996110277698611E-2</v>
      </c>
      <c r="G6" s="60">
        <f>+Coutry_type!G6/SUM(Coutry_type!$C6:$G6)</f>
        <v>2.7403438113641271E-5</v>
      </c>
      <c r="H6" s="53"/>
      <c r="I6" s="53"/>
      <c r="J6" s="54"/>
      <c r="L6" s="55"/>
      <c r="M6" s="55"/>
    </row>
    <row r="7" spans="1:13" x14ac:dyDescent="0.25">
      <c r="A7" s="56" t="s">
        <v>65</v>
      </c>
      <c r="B7" s="57" t="s">
        <v>66</v>
      </c>
      <c r="C7" s="58">
        <f>+Coutry_type!C7/SUM(Coutry_type!$C7:$G7)</f>
        <v>6.8741803064948592E-2</v>
      </c>
      <c r="D7" s="59">
        <f>+Coutry_type!D7/SUM(Coutry_type!$C7:$G7)</f>
        <v>0.39607336364839885</v>
      </c>
      <c r="E7" s="59">
        <f>+Coutry_type!E7/SUM(Coutry_type!$C7:$G7)</f>
        <v>0.51665557435794451</v>
      </c>
      <c r="F7" s="59">
        <f>+Coutry_type!F7/SUM(Coutry_type!$C7:$G7)</f>
        <v>4.0133716833294186E-4</v>
      </c>
      <c r="G7" s="60">
        <f>+Coutry_type!G7/SUM(Coutry_type!$C7:$G7)</f>
        <v>1.8127921760375185E-2</v>
      </c>
      <c r="H7" s="53"/>
      <c r="I7" s="53"/>
      <c r="J7" s="54"/>
      <c r="L7" s="55"/>
      <c r="M7" s="55"/>
    </row>
    <row r="8" spans="1:13" x14ac:dyDescent="0.25">
      <c r="A8" s="56" t="s">
        <v>67</v>
      </c>
      <c r="B8" s="57" t="s">
        <v>23</v>
      </c>
      <c r="C8" s="58">
        <f>+Coutry_type!C8/SUM(Coutry_type!$C8:$G8)</f>
        <v>4.8320617017747557E-2</v>
      </c>
      <c r="D8" s="59">
        <f>+Coutry_type!D8/SUM(Coutry_type!$C8:$G8)</f>
        <v>9.0680461104660812E-2</v>
      </c>
      <c r="E8" s="59">
        <f>+Coutry_type!E8/SUM(Coutry_type!$C8:$G8)</f>
        <v>0</v>
      </c>
      <c r="F8" s="59">
        <f>+Coutry_type!F8/SUM(Coutry_type!$C8:$G8)</f>
        <v>1.3014181456294576E-2</v>
      </c>
      <c r="G8" s="60">
        <f>+Coutry_type!G8/SUM(Coutry_type!$C8:$G8)</f>
        <v>0.84798474042129712</v>
      </c>
      <c r="H8" s="53"/>
      <c r="I8" s="53"/>
      <c r="J8" s="54"/>
      <c r="L8" s="55"/>
      <c r="M8" s="55"/>
    </row>
    <row r="9" spans="1:13" x14ac:dyDescent="0.25">
      <c r="A9" s="56" t="s">
        <v>68</v>
      </c>
      <c r="B9" s="57" t="s">
        <v>13</v>
      </c>
      <c r="C9" s="58">
        <f>+Coutry_type!C9/SUM(Coutry_type!$C9:$G9)</f>
        <v>1.8907738803987137E-3</v>
      </c>
      <c r="D9" s="59">
        <f>+Coutry_type!D9/SUM(Coutry_type!$C9:$G9)</f>
        <v>0.13246827639281827</v>
      </c>
      <c r="E9" s="59">
        <f>+Coutry_type!E9/SUM(Coutry_type!$C9:$G9)</f>
        <v>0.81067844983022197</v>
      </c>
      <c r="F9" s="59">
        <f>+Coutry_type!F9/SUM(Coutry_type!$C9:$G9)</f>
        <v>1.7985935967090749E-2</v>
      </c>
      <c r="G9" s="60">
        <f>+Coutry_type!G9/SUM(Coutry_type!$C9:$G9)</f>
        <v>3.6976563929470192E-2</v>
      </c>
      <c r="H9" s="53"/>
      <c r="I9" s="53"/>
      <c r="J9" s="54"/>
      <c r="L9" s="55"/>
      <c r="M9" s="55"/>
    </row>
    <row r="10" spans="1:13" x14ac:dyDescent="0.25">
      <c r="A10" s="56" t="s">
        <v>69</v>
      </c>
      <c r="B10" s="57" t="s">
        <v>15</v>
      </c>
      <c r="C10" s="58">
        <f>+Coutry_type!C10/SUM(Coutry_type!$C10:$G10)</f>
        <v>2.555902449765958E-4</v>
      </c>
      <c r="D10" s="59">
        <f>+Coutry_type!D10/SUM(Coutry_type!$C10:$G10)</f>
        <v>0.42635702298598427</v>
      </c>
      <c r="E10" s="59">
        <f>+Coutry_type!E10/SUM(Coutry_type!$C10:$G10)</f>
        <v>0.42806710380029916</v>
      </c>
      <c r="F10" s="59">
        <f>+Coutry_type!F10/SUM(Coutry_type!$C10:$G10)</f>
        <v>2.8322826697169186E-2</v>
      </c>
      <c r="G10" s="60">
        <f>+Coutry_type!G10/SUM(Coutry_type!$C10:$G10)</f>
        <v>0.11699745627157077</v>
      </c>
      <c r="H10" s="53"/>
      <c r="I10" s="53"/>
      <c r="J10" s="54"/>
      <c r="L10" s="55"/>
      <c r="M10" s="55"/>
    </row>
    <row r="11" spans="1:13" x14ac:dyDescent="0.25">
      <c r="A11" s="56" t="s">
        <v>70</v>
      </c>
      <c r="B11" s="57" t="s">
        <v>14</v>
      </c>
      <c r="C11" s="58">
        <f>+Coutry_type!C11/SUM(Coutry_type!$C11:$G11)</f>
        <v>0</v>
      </c>
      <c r="D11" s="59">
        <f>+Coutry_type!D11/SUM(Coutry_type!$C11:$G11)</f>
        <v>0.65923150991237733</v>
      </c>
      <c r="E11" s="59">
        <f>+Coutry_type!E11/SUM(Coutry_type!$C11:$G11)</f>
        <v>0.2203334795493693</v>
      </c>
      <c r="F11" s="59">
        <f>+Coutry_type!F11/SUM(Coutry_type!$C11:$G11)</f>
        <v>0</v>
      </c>
      <c r="G11" s="60">
        <f>+Coutry_type!G11/SUM(Coutry_type!$C11:$G11)</f>
        <v>0.12043501053825333</v>
      </c>
      <c r="H11" s="53"/>
      <c r="I11" s="53"/>
      <c r="J11" s="54"/>
      <c r="L11" s="55"/>
      <c r="M11" s="55"/>
    </row>
    <row r="12" spans="1:13" x14ac:dyDescent="0.25">
      <c r="A12" s="56" t="s">
        <v>71</v>
      </c>
      <c r="B12" s="57" t="s">
        <v>16</v>
      </c>
      <c r="C12" s="58">
        <f>+Coutry_type!C12/SUM(Coutry_type!$C12:$G12)</f>
        <v>0</v>
      </c>
      <c r="D12" s="59">
        <f>+Coutry_type!D12/SUM(Coutry_type!$C12:$G12)</f>
        <v>0.94106319708937225</v>
      </c>
      <c r="E12" s="59">
        <f>+Coutry_type!E12/SUM(Coutry_type!$C12:$G12)</f>
        <v>2.7890675369011807E-3</v>
      </c>
      <c r="F12" s="59">
        <f>+Coutry_type!F12/SUM(Coutry_type!$C12:$G12)</f>
        <v>0</v>
      </c>
      <c r="G12" s="60">
        <f>+Coutry_type!G12/SUM(Coutry_type!$C12:$G12)</f>
        <v>5.6147735373726519E-2</v>
      </c>
      <c r="H12" s="53"/>
      <c r="I12" s="53"/>
      <c r="J12" s="54"/>
      <c r="L12" s="55"/>
      <c r="M12" s="55"/>
    </row>
    <row r="13" spans="1:13" x14ac:dyDescent="0.25">
      <c r="A13" s="56" t="s">
        <v>72</v>
      </c>
      <c r="B13" s="57" t="s">
        <v>18</v>
      </c>
      <c r="C13" s="58">
        <f>+Coutry_type!C13/SUM(Coutry_type!$C13:$G13)</f>
        <v>0.37279895606108565</v>
      </c>
      <c r="D13" s="59">
        <f>+Coutry_type!D13/SUM(Coutry_type!$C13:$G13)</f>
        <v>0.12717353977372875</v>
      </c>
      <c r="E13" s="59">
        <f>+Coutry_type!E13/SUM(Coutry_type!$C13:$G13)</f>
        <v>0.22578881637486334</v>
      </c>
      <c r="F13" s="59">
        <f>+Coutry_type!F13/SUM(Coutry_type!$C13:$G13)</f>
        <v>0.17976208588848624</v>
      </c>
      <c r="G13" s="60">
        <f>+Coutry_type!G13/SUM(Coutry_type!$C13:$G13)</f>
        <v>9.4476601901835947E-2</v>
      </c>
      <c r="H13" s="53"/>
      <c r="I13" s="53"/>
      <c r="J13" s="54"/>
      <c r="L13" s="55"/>
      <c r="M13" s="55"/>
    </row>
    <row r="14" spans="1:13" x14ac:dyDescent="0.25">
      <c r="A14" s="56" t="s">
        <v>73</v>
      </c>
      <c r="B14" s="57" t="s">
        <v>19</v>
      </c>
      <c r="C14" s="58">
        <f>+Coutry_type!C14/SUM(Coutry_type!$C14:$G14)</f>
        <v>2.2280572629214204E-2</v>
      </c>
      <c r="D14" s="59">
        <f>+Coutry_type!D14/SUM(Coutry_type!$C14:$G14)</f>
        <v>0.15314610930500069</v>
      </c>
      <c r="E14" s="59">
        <f>+Coutry_type!E14/SUM(Coutry_type!$C14:$G14)</f>
        <v>0.45130982533841518</v>
      </c>
      <c r="F14" s="59">
        <f>+Coutry_type!F14/SUM(Coutry_type!$C14:$G14)</f>
        <v>0.1241362250272906</v>
      </c>
      <c r="G14" s="60">
        <f>+Coutry_type!G14/SUM(Coutry_type!$C14:$G14)</f>
        <v>0.2491272677000792</v>
      </c>
      <c r="H14" s="53"/>
      <c r="I14" s="53"/>
      <c r="J14" s="54"/>
      <c r="L14" s="55"/>
      <c r="M14" s="55"/>
    </row>
    <row r="15" spans="1:13" x14ac:dyDescent="0.25">
      <c r="A15" s="56" t="s">
        <v>74</v>
      </c>
      <c r="B15" s="57" t="s">
        <v>36</v>
      </c>
      <c r="C15" s="58">
        <f>+Coutry_type!C15/SUM(Coutry_type!$C15:$G15)</f>
        <v>0</v>
      </c>
      <c r="D15" s="59">
        <f>+Coutry_type!D15/SUM(Coutry_type!$C15:$G15)</f>
        <v>0.20235613484244414</v>
      </c>
      <c r="E15" s="59">
        <f>+Coutry_type!E15/SUM(Coutry_type!$C15:$G15)</f>
        <v>0.23520067766328356</v>
      </c>
      <c r="F15" s="59">
        <f>+Coutry_type!F15/SUM(Coutry_type!$C15:$G15)</f>
        <v>0.56244318749427236</v>
      </c>
      <c r="G15" s="60">
        <f>+Coutry_type!G15/SUM(Coutry_type!$C15:$G15)</f>
        <v>0</v>
      </c>
      <c r="H15" s="53"/>
      <c r="I15" s="53"/>
      <c r="J15" s="54"/>
      <c r="L15" s="55"/>
      <c r="M15" s="55"/>
    </row>
    <row r="16" spans="1:13" x14ac:dyDescent="0.25">
      <c r="A16" s="56" t="s">
        <v>75</v>
      </c>
      <c r="B16" s="57" t="s">
        <v>20</v>
      </c>
      <c r="C16" s="58">
        <f>+Coutry_type!C16/SUM(Coutry_type!$C16:$G16)</f>
        <v>5.2507784989566869E-3</v>
      </c>
      <c r="D16" s="59">
        <f>+Coutry_type!D16/SUM(Coutry_type!$C16:$G16)</f>
        <v>0.39406715237598883</v>
      </c>
      <c r="E16" s="59">
        <f>+Coutry_type!E16/SUM(Coutry_type!$C16:$G16)</f>
        <v>0.31751178736491753</v>
      </c>
      <c r="F16" s="59">
        <f>+Coutry_type!F16/SUM(Coutry_type!$C16:$G16)</f>
        <v>0.11294917742492619</v>
      </c>
      <c r="G16" s="60">
        <f>+Coutry_type!G16/SUM(Coutry_type!$C16:$G16)</f>
        <v>0.17022110433521084</v>
      </c>
      <c r="H16" s="53"/>
      <c r="I16" s="53"/>
      <c r="J16" s="54"/>
      <c r="L16" s="55"/>
      <c r="M16" s="55"/>
    </row>
    <row r="17" spans="1:13" x14ac:dyDescent="0.25">
      <c r="A17" s="56" t="s">
        <v>76</v>
      </c>
      <c r="B17" s="57" t="s">
        <v>21</v>
      </c>
      <c r="C17" s="58">
        <f>+Coutry_type!C17/SUM(Coutry_type!$C17:$G17)</f>
        <v>0.21479683966558125</v>
      </c>
      <c r="D17" s="59">
        <f>+Coutry_type!D17/SUM(Coutry_type!$C17:$G17)</f>
        <v>8.3784824659324256E-2</v>
      </c>
      <c r="E17" s="59">
        <f>+Coutry_type!E17/SUM(Coutry_type!$C17:$G17)</f>
        <v>0.36182775919123306</v>
      </c>
      <c r="F17" s="59">
        <f>+Coutry_type!F17/SUM(Coutry_type!$C17:$G17)</f>
        <v>1.5116694543724152E-2</v>
      </c>
      <c r="G17" s="60">
        <f>+Coutry_type!G17/SUM(Coutry_type!$C17:$G17)</f>
        <v>0.32447388194013721</v>
      </c>
      <c r="H17" s="53"/>
      <c r="I17" s="53"/>
      <c r="J17" s="54"/>
      <c r="L17" s="55"/>
      <c r="M17" s="55"/>
    </row>
    <row r="18" spans="1:13" x14ac:dyDescent="0.25">
      <c r="A18" s="56" t="s">
        <v>77</v>
      </c>
      <c r="B18" s="57" t="s">
        <v>27</v>
      </c>
      <c r="C18" s="58">
        <f>+Coutry_type!C18/SUM(Coutry_type!$C18:$G18)</f>
        <v>2.7795339196456069E-3</v>
      </c>
      <c r="D18" s="59">
        <f>+Coutry_type!D18/SUM(Coutry_type!$C18:$G18)</f>
        <v>3.6485497943465554E-2</v>
      </c>
      <c r="E18" s="59">
        <f>+Coutry_type!E18/SUM(Coutry_type!$C18:$G18)</f>
        <v>0.32601917865173496</v>
      </c>
      <c r="F18" s="59">
        <f>+Coutry_type!F18/SUM(Coutry_type!$C18:$G18)</f>
        <v>9.5886253997238752E-5</v>
      </c>
      <c r="G18" s="60">
        <f>+Coutry_type!G18/SUM(Coutry_type!$C18:$G18)</f>
        <v>0.63461990323115658</v>
      </c>
      <c r="H18" s="53"/>
      <c r="I18" s="53"/>
      <c r="J18" s="54"/>
      <c r="L18" s="55"/>
      <c r="M18" s="55"/>
    </row>
    <row r="19" spans="1:13" x14ac:dyDescent="0.25">
      <c r="A19" s="56" t="s">
        <v>78</v>
      </c>
      <c r="B19" s="57" t="s">
        <v>17</v>
      </c>
      <c r="C19" s="58">
        <f>+Coutry_type!C19/SUM(Coutry_type!$C19:$G19)</f>
        <v>0</v>
      </c>
      <c r="D19" s="59">
        <f>+Coutry_type!D19/SUM(Coutry_type!$C19:$G19)</f>
        <v>0.62800017297698141</v>
      </c>
      <c r="E19" s="59">
        <f>+Coutry_type!E19/SUM(Coutry_type!$C19:$G19)</f>
        <v>0.37199982702301859</v>
      </c>
      <c r="F19" s="59">
        <f>+Coutry_type!F19/SUM(Coutry_type!$C19:$G19)</f>
        <v>0</v>
      </c>
      <c r="G19" s="60">
        <f>+Coutry_type!G19/SUM(Coutry_type!$C19:$G19)</f>
        <v>0</v>
      </c>
      <c r="H19" s="53"/>
      <c r="I19" s="53"/>
      <c r="J19" s="54"/>
      <c r="L19" s="55"/>
      <c r="M19" s="55"/>
    </row>
    <row r="20" spans="1:13" x14ac:dyDescent="0.25">
      <c r="A20" s="56" t="s">
        <v>79</v>
      </c>
      <c r="B20" s="57" t="s">
        <v>38</v>
      </c>
      <c r="C20" s="58">
        <f>+Coutry_type!C20/SUM(Coutry_type!$C20:$G20)</f>
        <v>0.93827812961030554</v>
      </c>
      <c r="D20" s="59">
        <f>+Coutry_type!D20/SUM(Coutry_type!$C20:$G20)</f>
        <v>7.7003346407110212E-3</v>
      </c>
      <c r="E20" s="59">
        <f>+Coutry_type!E20/SUM(Coutry_type!$C20:$G20)</f>
        <v>5.4021535748983482E-2</v>
      </c>
      <c r="F20" s="59">
        <f>+Coutry_type!F20/SUM(Coutry_type!$C20:$G20)</f>
        <v>0</v>
      </c>
      <c r="G20" s="60">
        <f>+Coutry_type!G20/SUM(Coutry_type!$C20:$G20)</f>
        <v>0</v>
      </c>
      <c r="H20" s="53"/>
      <c r="I20" s="53"/>
      <c r="J20" s="54"/>
      <c r="L20" s="55"/>
      <c r="M20" s="55"/>
    </row>
    <row r="21" spans="1:13" x14ac:dyDescent="0.25">
      <c r="A21" s="56" t="s">
        <v>80</v>
      </c>
      <c r="B21" s="57" t="s">
        <v>22</v>
      </c>
      <c r="C21" s="58">
        <f>+Coutry_type!C21/SUM(Coutry_type!$C21:$G21)</f>
        <v>0.42851497576511116</v>
      </c>
      <c r="D21" s="59">
        <f>+Coutry_type!D21/SUM(Coutry_type!$C21:$G21)</f>
        <v>8.1295565848805082E-2</v>
      </c>
      <c r="E21" s="59">
        <f>+Coutry_type!E21/SUM(Coutry_type!$C21:$G21)</f>
        <v>0.30757573038758979</v>
      </c>
      <c r="F21" s="59">
        <f>+Coutry_type!F21/SUM(Coutry_type!$C21:$G21)</f>
        <v>5.1254944293519109E-2</v>
      </c>
      <c r="G21" s="60">
        <f>+Coutry_type!G21/SUM(Coutry_type!$C21:$G21)</f>
        <v>0.13135878370497484</v>
      </c>
      <c r="H21" s="53"/>
      <c r="I21" s="53"/>
      <c r="J21" s="54"/>
      <c r="L21" s="55"/>
      <c r="M21" s="55"/>
    </row>
    <row r="22" spans="1:13" x14ac:dyDescent="0.25">
      <c r="A22" s="56" t="s">
        <v>81</v>
      </c>
      <c r="B22" s="57" t="s">
        <v>39</v>
      </c>
      <c r="C22" s="58">
        <f>+Coutry_type!C22/SUM(Coutry_type!$C22:$G22)</f>
        <v>0</v>
      </c>
      <c r="D22" s="59">
        <f>+Coutry_type!D22/SUM(Coutry_type!$C22:$G22)</f>
        <v>4.9295774647887321E-2</v>
      </c>
      <c r="E22" s="59">
        <f>+Coutry_type!E22/SUM(Coutry_type!$C22:$G22)</f>
        <v>0.44451421907239613</v>
      </c>
      <c r="F22" s="59">
        <f>+Coutry_type!F22/SUM(Coutry_type!$C22:$G22)</f>
        <v>0.50619000627971655</v>
      </c>
      <c r="G22" s="60">
        <f>+Coutry_type!G22/SUM(Coutry_type!$C22:$G22)</f>
        <v>0</v>
      </c>
      <c r="H22" s="53"/>
      <c r="I22" s="53"/>
      <c r="J22" s="54"/>
      <c r="L22" s="55"/>
      <c r="M22" s="55"/>
    </row>
    <row r="23" spans="1:13" x14ac:dyDescent="0.25">
      <c r="A23" s="56" t="s">
        <v>82</v>
      </c>
      <c r="B23" s="57" t="s">
        <v>25</v>
      </c>
      <c r="C23" s="58">
        <f>+Coutry_type!C23/SUM(Coutry_type!$C23:$G23)</f>
        <v>0</v>
      </c>
      <c r="D23" s="59">
        <f>+Coutry_type!D23/SUM(Coutry_type!$C23:$G23)</f>
        <v>6.493636876637103E-2</v>
      </c>
      <c r="E23" s="59">
        <f>+Coutry_type!E23/SUM(Coutry_type!$C23:$G23)</f>
        <v>0.40820240712198158</v>
      </c>
      <c r="F23" s="59">
        <f>+Coutry_type!F23/SUM(Coutry_type!$C23:$G23)</f>
        <v>0.14766623712425567</v>
      </c>
      <c r="G23" s="60">
        <f>+Coutry_type!G23/SUM(Coutry_type!$C23:$G23)</f>
        <v>0.37919498698739168</v>
      </c>
      <c r="H23" s="53"/>
      <c r="I23" s="53"/>
      <c r="J23" s="54"/>
      <c r="L23" s="55"/>
      <c r="M23" s="55"/>
    </row>
    <row r="24" spans="1:13" x14ac:dyDescent="0.25">
      <c r="A24" s="56" t="s">
        <v>83</v>
      </c>
      <c r="B24" s="57" t="s">
        <v>26</v>
      </c>
      <c r="C24" s="58">
        <f>+Coutry_type!C24/SUM(Coutry_type!$C24:$G24)</f>
        <v>0</v>
      </c>
      <c r="D24" s="59">
        <f>+Coutry_type!D24/SUM(Coutry_type!$C24:$G24)</f>
        <v>0.7946493192442291</v>
      </c>
      <c r="E24" s="59">
        <f>+Coutry_type!E24/SUM(Coutry_type!$C24:$G24)</f>
        <v>0.20535068075577087</v>
      </c>
      <c r="F24" s="59">
        <f>+Coutry_type!F24/SUM(Coutry_type!$C24:$G24)</f>
        <v>0</v>
      </c>
      <c r="G24" s="60">
        <f>+Coutry_type!G24/SUM(Coutry_type!$C24:$G24)</f>
        <v>0</v>
      </c>
      <c r="H24" s="53"/>
      <c r="I24" s="53"/>
      <c r="J24" s="54"/>
      <c r="L24" s="55"/>
      <c r="M24" s="55"/>
    </row>
    <row r="25" spans="1:13" x14ac:dyDescent="0.25">
      <c r="A25" s="56" t="s">
        <v>84</v>
      </c>
      <c r="B25" s="57" t="s">
        <v>24</v>
      </c>
      <c r="C25" s="58">
        <f>+Coutry_type!C25/SUM(Coutry_type!$C25:$G25)</f>
        <v>0</v>
      </c>
      <c r="D25" s="59">
        <f>+Coutry_type!D25/SUM(Coutry_type!$C25:$G25)</f>
        <v>0.45564515199771388</v>
      </c>
      <c r="E25" s="59">
        <f>+Coutry_type!E25/SUM(Coutry_type!$C25:$G25)</f>
        <v>0.45118197398451171</v>
      </c>
      <c r="F25" s="59">
        <f>+Coutry_type!F25/SUM(Coutry_type!$C25:$G25)</f>
        <v>9.3172874017774354E-2</v>
      </c>
      <c r="G25" s="60">
        <f>+Coutry_type!G25/SUM(Coutry_type!$C25:$G25)</f>
        <v>0</v>
      </c>
      <c r="H25" s="53"/>
      <c r="I25" s="53"/>
      <c r="J25" s="54"/>
      <c r="L25" s="55"/>
      <c r="M25" s="55"/>
    </row>
    <row r="26" spans="1:13" x14ac:dyDescent="0.25">
      <c r="A26" s="56" t="s">
        <v>85</v>
      </c>
      <c r="B26" s="57" t="s">
        <v>44</v>
      </c>
      <c r="C26" s="58">
        <f>+Coutry_type!C26/SUM(Coutry_type!$C26:$G26)</f>
        <v>4.4487315743265102E-2</v>
      </c>
      <c r="D26" s="59">
        <f>+Coutry_type!D26/SUM(Coutry_type!$C26:$G26)</f>
        <v>0.40404787209463522</v>
      </c>
      <c r="E26" s="59">
        <f>+Coutry_type!E26/SUM(Coutry_type!$C26:$G26)</f>
        <v>0.39426320410332238</v>
      </c>
      <c r="F26" s="59">
        <f>+Coutry_type!F26/SUM(Coutry_type!$C26:$G26)</f>
        <v>0.15720160805877734</v>
      </c>
      <c r="G26" s="60">
        <f>+Coutry_type!G26/SUM(Coutry_type!$C26:$G26)</f>
        <v>0</v>
      </c>
      <c r="H26" s="53"/>
      <c r="I26" s="53"/>
      <c r="J26" s="54"/>
      <c r="L26" s="55"/>
      <c r="M26" s="55"/>
    </row>
    <row r="27" spans="1:13" x14ac:dyDescent="0.25">
      <c r="A27" s="56" t="s">
        <v>86</v>
      </c>
      <c r="B27" s="57" t="s">
        <v>45</v>
      </c>
      <c r="C27" s="58">
        <f>+Coutry_type!C27/SUM(Coutry_type!$C27:$G27)</f>
        <v>0.11870048541771865</v>
      </c>
      <c r="D27" s="59">
        <f>+Coutry_type!D27/SUM(Coutry_type!$C27:$G27)</f>
        <v>1.6856709429401986E-3</v>
      </c>
      <c r="E27" s="59">
        <f>+Coutry_type!E27/SUM(Coutry_type!$C27:$G27)</f>
        <v>0.72987416717286613</v>
      </c>
      <c r="F27" s="59">
        <f>+Coutry_type!F27/SUM(Coutry_type!$C27:$G27)</f>
        <v>0.14973967646647501</v>
      </c>
      <c r="G27" s="60">
        <f>+Coutry_type!G27/SUM(Coutry_type!$C27:$G27)</f>
        <v>0</v>
      </c>
      <c r="H27" s="53"/>
      <c r="I27" s="53"/>
      <c r="J27" s="54"/>
      <c r="L27" s="55"/>
      <c r="M27" s="55"/>
    </row>
    <row r="28" spans="1:13" x14ac:dyDescent="0.25">
      <c r="A28" s="56" t="s">
        <v>87</v>
      </c>
      <c r="B28" s="57" t="s">
        <v>28</v>
      </c>
      <c r="C28" s="58">
        <f>+Coutry_type!C28/SUM(Coutry_type!$C28:$G28)</f>
        <v>0</v>
      </c>
      <c r="D28" s="59">
        <f>+Coutry_type!D28/SUM(Coutry_type!$C28:$G28)</f>
        <v>0.36437516653343993</v>
      </c>
      <c r="E28" s="59">
        <f>+Coutry_type!E28/SUM(Coutry_type!$C28:$G28)</f>
        <v>0.63562483346656007</v>
      </c>
      <c r="F28" s="59">
        <f>+Coutry_type!F28/SUM(Coutry_type!$C28:$G28)</f>
        <v>0</v>
      </c>
      <c r="G28" s="60">
        <f>+Coutry_type!G28/SUM(Coutry_type!$C28:$G28)</f>
        <v>0</v>
      </c>
      <c r="H28" s="53"/>
      <c r="I28" s="53"/>
      <c r="J28" s="54"/>
      <c r="L28" s="55"/>
      <c r="M28" s="55"/>
    </row>
    <row r="29" spans="1:13" x14ac:dyDescent="0.25">
      <c r="A29" s="56" t="s">
        <v>88</v>
      </c>
      <c r="B29" s="57" t="s">
        <v>29</v>
      </c>
      <c r="C29" s="58">
        <f>+Coutry_type!C29/SUM(Coutry_type!$C29:$G29)</f>
        <v>2.7491765830600607E-2</v>
      </c>
      <c r="D29" s="59">
        <f>+Coutry_type!D29/SUM(Coutry_type!$C29:$G29)</f>
        <v>0.83019039490006286</v>
      </c>
      <c r="E29" s="59">
        <f>+Coutry_type!E29/SUM(Coutry_type!$C29:$G29)</f>
        <v>0.14226121018915067</v>
      </c>
      <c r="F29" s="59">
        <f>+Coutry_type!F29/SUM(Coutry_type!$C29:$G29)</f>
        <v>0</v>
      </c>
      <c r="G29" s="60">
        <f>+Coutry_type!G29/SUM(Coutry_type!$C29:$G29)</f>
        <v>5.6629080185822706E-5</v>
      </c>
      <c r="H29" s="53"/>
      <c r="I29" s="53"/>
      <c r="J29" s="54"/>
      <c r="L29" s="55"/>
      <c r="M29" s="55"/>
    </row>
    <row r="30" spans="1:13" x14ac:dyDescent="0.25">
      <c r="A30" s="56" t="s">
        <v>89</v>
      </c>
      <c r="B30" s="57" t="s">
        <v>40</v>
      </c>
      <c r="C30" s="58">
        <f>+Coutry_type!C30/SUM(Coutry_type!$C30:$G30)</f>
        <v>7.7799458442712743E-2</v>
      </c>
      <c r="D30" s="59">
        <f>+Coutry_type!D30/SUM(Coutry_type!$C30:$G30)</f>
        <v>0.65277579114905215</v>
      </c>
      <c r="E30" s="59">
        <f>+Coutry_type!E30/SUM(Coutry_type!$C30:$G30)</f>
        <v>0.26848942723082325</v>
      </c>
      <c r="F30" s="59">
        <f>+Coutry_type!F30/SUM(Coutry_type!$C30:$G30)</f>
        <v>7.7533640629198612E-4</v>
      </c>
      <c r="G30" s="60">
        <f>+Coutry_type!G30/SUM(Coutry_type!$C30:$G30)</f>
        <v>1.5998677111970068E-4</v>
      </c>
      <c r="H30" s="53"/>
      <c r="I30" s="53"/>
      <c r="J30" s="54"/>
      <c r="L30" s="55"/>
      <c r="M30" s="55"/>
    </row>
    <row r="31" spans="1:13" x14ac:dyDescent="0.25">
      <c r="A31" s="56" t="s">
        <v>90</v>
      </c>
      <c r="B31" s="57" t="s">
        <v>31</v>
      </c>
      <c r="C31" s="58">
        <f>+Coutry_type!C31/SUM(Coutry_type!$C31:$G31)</f>
        <v>1.6903562375201301E-3</v>
      </c>
      <c r="D31" s="59">
        <f>+Coutry_type!D31/SUM(Coutry_type!$C31:$G31)</f>
        <v>2.9985126010749968E-2</v>
      </c>
      <c r="E31" s="59">
        <f>+Coutry_type!E31/SUM(Coutry_type!$C31:$G31)</f>
        <v>0.91274238970940191</v>
      </c>
      <c r="F31" s="59">
        <f>+Coutry_type!F31/SUM(Coutry_type!$C31:$G31)</f>
        <v>4.0938018648300715E-3</v>
      </c>
      <c r="G31" s="60">
        <f>+Coutry_type!G31/SUM(Coutry_type!$C31:$G31)</f>
        <v>5.1488326177497892E-2</v>
      </c>
      <c r="H31" s="53"/>
      <c r="I31" s="53"/>
      <c r="J31" s="54"/>
      <c r="L31" s="55"/>
      <c r="M31" s="55"/>
    </row>
    <row r="32" spans="1:13" x14ac:dyDescent="0.25">
      <c r="A32" s="56" t="s">
        <v>91</v>
      </c>
      <c r="B32" s="57" t="s">
        <v>32</v>
      </c>
      <c r="C32" s="58">
        <f>+Coutry_type!C32/SUM(Coutry_type!$C32:$G32)</f>
        <v>8.6833131980003867E-3</v>
      </c>
      <c r="D32" s="59">
        <f>+Coutry_type!D32/SUM(Coutry_type!$C32:$G32)</f>
        <v>0.12166954161859325</v>
      </c>
      <c r="E32" s="59">
        <f>+Coutry_type!E32/SUM(Coutry_type!$C32:$G32)</f>
        <v>0.13082483810215212</v>
      </c>
      <c r="F32" s="59">
        <f>+Coutry_type!F32/SUM(Coutry_type!$C32:$G32)</f>
        <v>0.45665037084240567</v>
      </c>
      <c r="G32" s="60">
        <f>+Coutry_type!G32/SUM(Coutry_type!$C32:$G32)</f>
        <v>0.28217193623884862</v>
      </c>
      <c r="H32" s="53"/>
      <c r="I32" s="53"/>
      <c r="J32" s="54"/>
      <c r="L32" s="55"/>
      <c r="M32" s="55"/>
    </row>
    <row r="33" spans="1:13" x14ac:dyDescent="0.25">
      <c r="A33" s="56" t="s">
        <v>92</v>
      </c>
      <c r="B33" s="57" t="s">
        <v>33</v>
      </c>
      <c r="C33" s="58">
        <f>+Coutry_type!C33/SUM(Coutry_type!$C33:$G33)</f>
        <v>0.12053452483622952</v>
      </c>
      <c r="D33" s="59">
        <f>+Coutry_type!D33/SUM(Coutry_type!$C33:$G33)</f>
        <v>3.0010459291337139E-3</v>
      </c>
      <c r="E33" s="59">
        <f>+Coutry_type!E33/SUM(Coutry_type!$C33:$G33)</f>
        <v>0.55212569499238484</v>
      </c>
      <c r="F33" s="59">
        <f>+Coutry_type!F33/SUM(Coutry_type!$C33:$G33)</f>
        <v>1.2740811420812155E-2</v>
      </c>
      <c r="G33" s="60">
        <f>+Coutry_type!G33/SUM(Coutry_type!$C33:$G33)</f>
        <v>0.31159792282143967</v>
      </c>
      <c r="H33" s="53"/>
      <c r="I33" s="53"/>
      <c r="J33" s="54"/>
      <c r="L33" s="55"/>
      <c r="M33" s="55"/>
    </row>
    <row r="34" spans="1:13" x14ac:dyDescent="0.25">
      <c r="A34" s="56" t="s">
        <v>93</v>
      </c>
      <c r="B34" s="57" t="s">
        <v>47</v>
      </c>
      <c r="C34" s="58">
        <f>+Coutry_type!C34/SUM(Coutry_type!$C34:$G34)</f>
        <v>1.6325643198940344E-2</v>
      </c>
      <c r="D34" s="59">
        <f>+Coutry_type!D34/SUM(Coutry_type!$C34:$G34)</f>
        <v>1.014371810421568E-3</v>
      </c>
      <c r="E34" s="59">
        <f>+Coutry_type!E34/SUM(Coutry_type!$C34:$G34)</f>
        <v>0.22670999539204431</v>
      </c>
      <c r="F34" s="59">
        <f>+Coutry_type!F34/SUM(Coutry_type!$C34:$G34)</f>
        <v>0.1031255562065382</v>
      </c>
      <c r="G34" s="60">
        <f>+Coutry_type!G34/SUM(Coutry_type!$C34:$G34)</f>
        <v>0.65282443339205554</v>
      </c>
      <c r="H34" s="53"/>
      <c r="I34" s="53"/>
      <c r="J34" s="54"/>
      <c r="L34" s="55"/>
      <c r="M34" s="55"/>
    </row>
    <row r="35" spans="1:13" x14ac:dyDescent="0.25">
      <c r="A35" s="56" t="s">
        <v>94</v>
      </c>
      <c r="B35" s="57" t="s">
        <v>37</v>
      </c>
      <c r="C35" s="58">
        <f>+Coutry_type!C35/SUM(Coutry_type!$C35:$G35)</f>
        <v>0</v>
      </c>
      <c r="D35" s="59">
        <f>+Coutry_type!D35/SUM(Coutry_type!$C35:$G35)</f>
        <v>0.89243225056569331</v>
      </c>
      <c r="E35" s="59">
        <f>+Coutry_type!E35/SUM(Coutry_type!$C35:$G35)</f>
        <v>5.0933938966975609E-2</v>
      </c>
      <c r="F35" s="59">
        <f>+Coutry_type!F35/SUM(Coutry_type!$C35:$G35)</f>
        <v>5.6633810467330986E-2</v>
      </c>
      <c r="G35" s="60">
        <f>+Coutry_type!G35/SUM(Coutry_type!$C35:$G35)</f>
        <v>0</v>
      </c>
      <c r="H35" s="53"/>
      <c r="I35" s="53"/>
      <c r="J35" s="54"/>
      <c r="L35" s="55"/>
      <c r="M35" s="55"/>
    </row>
    <row r="36" spans="1:13" x14ac:dyDescent="0.25">
      <c r="A36" s="56" t="s">
        <v>95</v>
      </c>
      <c r="B36" s="57" t="s">
        <v>34</v>
      </c>
      <c r="C36" s="58">
        <f>+Coutry_type!C36/SUM(Coutry_type!$C36:$G36)</f>
        <v>3.7998912268333452E-3</v>
      </c>
      <c r="D36" s="59">
        <f>+Coutry_type!D36/SUM(Coutry_type!$C36:$G36)</f>
        <v>8.9144025041655153E-2</v>
      </c>
      <c r="E36" s="59">
        <f>+Coutry_type!E36/SUM(Coutry_type!$C36:$G36)</f>
        <v>0.79778848379057188</v>
      </c>
      <c r="F36" s="59">
        <f>+Coutry_type!F36/SUM(Coutry_type!$C36:$G36)</f>
        <v>1.2674461987098914E-2</v>
      </c>
      <c r="G36" s="60">
        <f>+Coutry_type!G36/SUM(Coutry_type!$C36:$G36)</f>
        <v>9.6593137953840794E-2</v>
      </c>
      <c r="H36" s="53"/>
      <c r="I36" s="53"/>
      <c r="J36" s="54"/>
      <c r="L36" s="55"/>
      <c r="M36" s="55"/>
    </row>
    <row r="37" spans="1:13" x14ac:dyDescent="0.25">
      <c r="A37" s="56" t="s">
        <v>96</v>
      </c>
      <c r="B37" s="57" t="s">
        <v>35</v>
      </c>
      <c r="C37" s="58">
        <f>+Coutry_type!C37/SUM(Coutry_type!$C37:$G37)</f>
        <v>7.00784960175502E-3</v>
      </c>
      <c r="D37" s="59">
        <f>+Coutry_type!D37/SUM(Coutry_type!$C37:$G37)</f>
        <v>0.26968983322322909</v>
      </c>
      <c r="E37" s="59">
        <f>+Coutry_type!E37/SUM(Coutry_type!$C37:$G37)</f>
        <v>0.57410301394792274</v>
      </c>
      <c r="F37" s="59">
        <f>+Coutry_type!F37/SUM(Coutry_type!$C37:$G37)</f>
        <v>0</v>
      </c>
      <c r="G37" s="60">
        <f>+Coutry_type!G37/SUM(Coutry_type!$C37:$G37)</f>
        <v>0.1491993032270931</v>
      </c>
      <c r="H37" s="53"/>
      <c r="I37" s="53"/>
      <c r="J37" s="54"/>
      <c r="L37" s="55"/>
      <c r="M37" s="55"/>
    </row>
    <row r="38" spans="1:13" x14ac:dyDescent="0.25">
      <c r="A38" s="56" t="s">
        <v>97</v>
      </c>
      <c r="B38" s="57" t="s">
        <v>48</v>
      </c>
      <c r="C38" s="58">
        <f>+Coutry_type!C38/SUM(Coutry_type!$C38:$G38)</f>
        <v>0.9378121223178767</v>
      </c>
      <c r="D38" s="59">
        <f>+Coutry_type!D38/SUM(Coutry_type!$C38:$G38)</f>
        <v>5.4241550650248353E-3</v>
      </c>
      <c r="E38" s="59">
        <f>+Coutry_type!E38/SUM(Coutry_type!$C38:$G38)</f>
        <v>5.4330530518161536E-2</v>
      </c>
      <c r="F38" s="59">
        <f>+Coutry_type!F38/SUM(Coutry_type!$C38:$G38)</f>
        <v>2.4225363407733599E-3</v>
      </c>
      <c r="G38" s="60">
        <f>+Coutry_type!G38/SUM(Coutry_type!$C38:$G38)</f>
        <v>1.0655758163585236E-5</v>
      </c>
      <c r="H38" s="53"/>
      <c r="I38" s="53"/>
      <c r="J38" s="54"/>
      <c r="L38" s="55"/>
      <c r="M38" s="55"/>
    </row>
    <row r="39" spans="1:13" x14ac:dyDescent="0.25">
      <c r="A39" s="61" t="s">
        <v>98</v>
      </c>
      <c r="B39" s="62" t="s">
        <v>49</v>
      </c>
      <c r="C39" s="63">
        <f>+Coutry_type!C39/SUM(Coutry_type!$C39:$G39)</f>
        <v>3.5043958290738086E-2</v>
      </c>
      <c r="D39" s="64">
        <f>+Coutry_type!D39/SUM(Coutry_type!$C39:$G39)</f>
        <v>4.187282764260887E-2</v>
      </c>
      <c r="E39" s="64">
        <f>+Coutry_type!E39/SUM(Coutry_type!$C39:$G39)</f>
        <v>0.92308321406665306</v>
      </c>
      <c r="F39" s="64">
        <f>+Coutry_type!F39/SUM(Coutry_type!$C39:$G39)</f>
        <v>0</v>
      </c>
      <c r="G39" s="65">
        <f>+Coutry_type!G39/SUM(Coutry_type!$C39:$G39)</f>
        <v>0</v>
      </c>
      <c r="H39" s="53"/>
      <c r="I39" s="53"/>
      <c r="J39" s="54"/>
      <c r="L39" s="55"/>
      <c r="M39" s="5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P_index 2020</vt:lpstr>
      <vt:lpstr>Q_chain_2020</vt:lpstr>
      <vt:lpstr>2024 Adj Factor</vt:lpstr>
      <vt:lpstr>Curr Prices</vt:lpstr>
      <vt:lpstr>2024 Prices</vt:lpstr>
      <vt:lpstr>Country_year</vt:lpstr>
      <vt:lpstr>perc_loss</vt:lpstr>
      <vt:lpstr>Coutry_type</vt:lpstr>
      <vt:lpstr>Hazard exposure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Giorgio Cesare Carluccio</cp:lastModifiedBy>
  <dcterms:created xsi:type="dcterms:W3CDTF">2026-01-30T16:26:19Z</dcterms:created>
  <dcterms:modified xsi:type="dcterms:W3CDTF">2026-02-02T12:31:11Z</dcterms:modified>
</cp:coreProperties>
</file>