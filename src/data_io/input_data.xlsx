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peneconomics-my.sharepoint.com/personal/giorgio_carluccio_openeconomics_eu/Documents/GitHub/Physical-Climate-Risk/src/data_io/"/>
    </mc:Choice>
  </mc:AlternateContent>
  <xr:revisionPtr revIDLastSave="2754" documentId="13_ncr:1_{F48C12EA-4468-4152-9DF1-590B3C938A92}" xr6:coauthVersionLast="47" xr6:coauthVersionMax="47" xr10:uidLastSave="{92DA3436-97A8-4396-851E-183B41FCDE28}"/>
  <bookViews>
    <workbookView xWindow="-23148" yWindow="-1500" windowWidth="23256" windowHeight="13896" activeTab="2" xr2:uid="{00000000-000D-0000-FFFF-FFFF00000000}"/>
  </bookViews>
  <sheets>
    <sheet name="Coutry_type" sheetId="6" r:id="rId1"/>
    <sheet name="Country_year" sheetId="5" r:id="rId2"/>
    <sheet name="Hazard exposure" sheetId="7" r:id="rId3"/>
    <sheet name="perc_loss" sheetId="8" r:id="rId4"/>
  </sheets>
  <definedNames>
    <definedName name="_xlnm._FilterDatabase" localSheetId="1" hidden="1">Country_year!$A$1:$AT$39</definedName>
    <definedName name="_xlnm._FilterDatabase" localSheetId="0" hidden="1">Coutry_type!$A$1:$G$39</definedName>
    <definedName name="_xlnm._FilterDatabase" localSheetId="2" hidden="1">'Hazard exposure'!$A$1:$G$39</definedName>
    <definedName name="_xlnm._FilterDatabase" localSheetId="3" hidden="1">perc_loss!$A$1:$AT$39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7" l="1"/>
  <c r="F39" i="7"/>
  <c r="E39" i="7"/>
  <c r="D39" i="7"/>
  <c r="C39" i="7"/>
  <c r="G38" i="7"/>
  <c r="F38" i="7"/>
  <c r="E38" i="7"/>
  <c r="D38" i="7"/>
  <c r="C38" i="7"/>
  <c r="G37" i="7"/>
  <c r="F37" i="7"/>
  <c r="E37" i="7"/>
  <c r="D37" i="7"/>
  <c r="C37" i="7"/>
  <c r="G36" i="7"/>
  <c r="F36" i="7"/>
  <c r="E36" i="7"/>
  <c r="D36" i="7"/>
  <c r="C36" i="7"/>
  <c r="G35" i="7"/>
  <c r="F35" i="7"/>
  <c r="E35" i="7"/>
  <c r="D35" i="7"/>
  <c r="C35" i="7"/>
  <c r="G34" i="7"/>
  <c r="F34" i="7"/>
  <c r="E34" i="7"/>
  <c r="D34" i="7"/>
  <c r="C34" i="7"/>
  <c r="G33" i="7"/>
  <c r="F33" i="7"/>
  <c r="E33" i="7"/>
  <c r="D33" i="7"/>
  <c r="C33" i="7"/>
  <c r="G32" i="7"/>
  <c r="F32" i="7"/>
  <c r="E32" i="7"/>
  <c r="D32" i="7"/>
  <c r="C32" i="7"/>
  <c r="G31" i="7"/>
  <c r="F31" i="7"/>
  <c r="E31" i="7"/>
  <c r="D31" i="7"/>
  <c r="C31" i="7"/>
  <c r="G30" i="7"/>
  <c r="F30" i="7"/>
  <c r="E30" i="7"/>
  <c r="D30" i="7"/>
  <c r="C30" i="7"/>
  <c r="G29" i="7"/>
  <c r="F29" i="7"/>
  <c r="E29" i="7"/>
  <c r="D29" i="7"/>
  <c r="C29" i="7"/>
  <c r="G28" i="7"/>
  <c r="F28" i="7"/>
  <c r="E28" i="7"/>
  <c r="D28" i="7"/>
  <c r="C28" i="7"/>
  <c r="G27" i="7"/>
  <c r="F27" i="7"/>
  <c r="E27" i="7"/>
  <c r="D27" i="7"/>
  <c r="C27" i="7"/>
  <c r="G26" i="7"/>
  <c r="F26" i="7"/>
  <c r="E26" i="7"/>
  <c r="D26" i="7"/>
  <c r="C26" i="7"/>
  <c r="G25" i="7"/>
  <c r="F25" i="7"/>
  <c r="E25" i="7"/>
  <c r="D25" i="7"/>
  <c r="C25" i="7"/>
  <c r="G24" i="7"/>
  <c r="F24" i="7"/>
  <c r="E24" i="7"/>
  <c r="D24" i="7"/>
  <c r="C24" i="7"/>
  <c r="G23" i="7"/>
  <c r="F23" i="7"/>
  <c r="E23" i="7"/>
  <c r="D23" i="7"/>
  <c r="C23" i="7"/>
  <c r="G22" i="7"/>
  <c r="F22" i="7"/>
  <c r="E22" i="7"/>
  <c r="D22" i="7"/>
  <c r="C22" i="7"/>
  <c r="G21" i="7"/>
  <c r="F21" i="7"/>
  <c r="E21" i="7"/>
  <c r="D21" i="7"/>
  <c r="C21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7" i="7"/>
  <c r="F17" i="7"/>
  <c r="E17" i="7"/>
  <c r="D17" i="7"/>
  <c r="C17" i="7"/>
  <c r="G16" i="7"/>
  <c r="F16" i="7"/>
  <c r="E16" i="7"/>
  <c r="D16" i="7"/>
  <c r="C16" i="7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4" i="7"/>
  <c r="F4" i="7"/>
  <c r="E4" i="7"/>
  <c r="D4" i="7"/>
  <c r="C4" i="7"/>
  <c r="G3" i="7"/>
  <c r="F3" i="7"/>
  <c r="E3" i="7"/>
  <c r="D3" i="7"/>
  <c r="C3" i="7"/>
  <c r="G2" i="7"/>
  <c r="F2" i="7"/>
  <c r="E2" i="7"/>
  <c r="D2" i="7"/>
  <c r="C2" i="7"/>
  <c r="A2" i="7"/>
  <c r="A2" i="6"/>
</calcChain>
</file>

<file path=xl/sharedStrings.xml><?xml version="1.0" encoding="utf-8"?>
<sst xmlns="http://schemas.openxmlformats.org/spreadsheetml/2006/main" count="320" uniqueCount="84">
  <si>
    <t>ISO2</t>
  </si>
  <si>
    <t>Name</t>
  </si>
  <si>
    <t>AT</t>
  </si>
  <si>
    <t>Austria</t>
  </si>
  <si>
    <t>BE</t>
  </si>
  <si>
    <t>Belgium</t>
  </si>
  <si>
    <t>BG</t>
  </si>
  <si>
    <t>Bulgaria</t>
  </si>
  <si>
    <t>CH</t>
  </si>
  <si>
    <t xml:space="preserve">Switzerland </t>
  </si>
  <si>
    <t>CY</t>
  </si>
  <si>
    <t>Cyprus</t>
  </si>
  <si>
    <t>CZ</t>
  </si>
  <si>
    <t>Czechia</t>
  </si>
  <si>
    <t>DE</t>
  </si>
  <si>
    <t>Germany</t>
  </si>
  <si>
    <t>DK</t>
  </si>
  <si>
    <t>Denmark</t>
  </si>
  <si>
    <t>EE</t>
  </si>
  <si>
    <t>Estonia</t>
  </si>
  <si>
    <t>EL</t>
  </si>
  <si>
    <t>Greece</t>
  </si>
  <si>
    <t>ES</t>
  </si>
  <si>
    <t>Spain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</si>
  <si>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</si>
  <si>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</si>
  <si>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</si>
  <si>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</si>
  <si>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</si>
  <si>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</si>
  <si>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</si>
  <si>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</si>
  <si>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</si>
  <si>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</si>
  <si>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IS</t>
  </si>
  <si>
    <t>Iceland</t>
  </si>
  <si>
    <t>IT</t>
  </si>
  <si>
    <t>Italy</t>
  </si>
  <si>
    <t>LI</t>
  </si>
  <si>
    <t>Liechtenstein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</si>
  <si>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</si>
  <si>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</si>
  <si>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</si>
  <si>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</si>
  <si>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</si>
  <si>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</si>
  <si>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</si>
  <si>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</si>
  <si>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</si>
  <si>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</si>
  <si>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</si>
  <si>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</si>
  <si>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</si>
  <si>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</si>
  <si>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</si>
  <si>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</si>
  <si>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</si>
  <si>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</si>
  <si>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</si>
  <si>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</si>
  <si>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</si>
  <si>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</si>
  <si>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</si>
  <si>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</si>
  <si>
    <t>TR</t>
  </si>
  <si>
    <t>Türkiye</t>
  </si>
  <si>
    <t>geotechnical</t>
  </si>
  <si>
    <t>meteorological</t>
  </si>
  <si>
    <t>hydrological</t>
  </si>
  <si>
    <t>BA</t>
  </si>
  <si>
    <t>Bosnia and Herzegovina</t>
  </si>
  <si>
    <t>ME</t>
  </si>
  <si>
    <t>Montenegro</t>
  </si>
  <si>
    <t>MK</t>
  </si>
  <si>
    <t>North Macedonia</t>
  </si>
  <si>
    <t>AL</t>
  </si>
  <si>
    <t>Albania</t>
  </si>
  <si>
    <t>RS</t>
  </si>
  <si>
    <t>Serbia</t>
  </si>
  <si>
    <t>XK</t>
  </si>
  <si>
    <t>Kosovo*</t>
  </si>
  <si>
    <t>Climatological (other)</t>
  </si>
  <si>
    <t>climatological (heatwaves)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</si>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</sst>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">
    <xf numFmtId="0" fontId="0" fillId="0" borderId="0" xfId="0"/>
    <xf numFmtId="43" fontId="0" fillId="0" borderId="0" xfId="1" applyFont="1"/>
    <xf numFmtId="164" fontId="0" fillId="0" borderId="0" xfId="0" applyNumberFormat="1"/>
    <xf numFmtId="43" fontId="0" fillId="0" borderId="0" xfId="0" applyNumberForma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43" fontId="0" fillId="0" borderId="14" xfId="1" applyFont="1" applyBorder="1"/>
    <xf numFmtId="43" fontId="0" fillId="0" borderId="8" xfId="1" applyFont="1" applyBorder="1"/>
    <xf numFmtId="43" fontId="0" fillId="0" borderId="9" xfId="1" applyFont="1" applyBorder="1"/>
    <xf numFmtId="43" fontId="0" fillId="0" borderId="15" xfId="1" applyFont="1" applyBorder="1"/>
    <xf numFmtId="43" fontId="0" fillId="0" borderId="2" xfId="1" applyFont="1" applyBorder="1"/>
    <xf numFmtId="43" fontId="0" fillId="0" borderId="3" xfId="1" applyFont="1" applyBorder="1"/>
    <xf numFmtId="43" fontId="0" fillId="0" borderId="16" xfId="1" applyFont="1" applyBorder="1"/>
    <xf numFmtId="43" fontId="0" fillId="0" borderId="5" xfId="1" applyFont="1" applyBorder="1"/>
    <xf numFmtId="43" fontId="0" fillId="0" borderId="6" xfId="1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9" fontId="2" fillId="0" borderId="10" xfId="2" applyFont="1" applyBorder="1"/>
    <xf numFmtId="9" fontId="2" fillId="0" borderId="12" xfId="2" applyFont="1" applyBorder="1"/>
    <xf numFmtId="9" fontId="2" fillId="0" borderId="7" xfId="2" applyFont="1" applyBorder="1"/>
    <xf numFmtId="9" fontId="2" fillId="0" borderId="9" xfId="2" applyFont="1" applyBorder="1"/>
    <xf numFmtId="9" fontId="2" fillId="0" borderId="1" xfId="2" applyFont="1" applyBorder="1"/>
    <xf numFmtId="9" fontId="2" fillId="0" borderId="3" xfId="2" applyFont="1" applyBorder="1"/>
    <xf numFmtId="9" fontId="2" fillId="0" borderId="4" xfId="2" applyFont="1" applyBorder="1"/>
    <xf numFmtId="9" fontId="2" fillId="0" borderId="6" xfId="2" applyFont="1" applyBorder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9"/>
  <sheetViews>
    <sheetView showGridLines="0" zoomScaleNormal="100" workbookViewId="0">
      <selection activeCell="I9" sqref="I9"/>
    </sheetView>
  </sheetViews>
  <sheetFormatPr defaultRowHeight="15" x14ac:dyDescent="0.25"/>
  <cols>
    <col min="1" max="1" width="5.7109375" bestFit="1" customWidth="1"/>
    <col min="2" max="2" width="22.42578125" bestFit="1" customWidth="1"/>
    <col min="3" max="3" width="12.42578125" bestFit="1" customWidth="1"/>
    <col min="4" max="4" width="14.5703125" bestFit="1" customWidth="1"/>
    <col min="5" max="5" width="11.85546875" bestFit="1" customWidth="1"/>
    <col min="6" max="6" width="20.5703125" bestFit="1" customWidth="1"/>
    <col min="7" max="7" width="25.140625" bestFit="1" customWidth="1"/>
    <col min="8" max="9" width="11.5703125" bestFit="1" customWidth="1"/>
    <col min="12" max="12" width="9.5703125" bestFit="1" customWidth="1"/>
  </cols>
  <sheetData>
    <row r="1" spans="1:13" x14ac:dyDescent="0.25">
      <c r="A1" s="4" t="s">
        <v>0</v>
      </c>
      <c r="B1" s="6" t="s">
        <v>1</v>
      </c>
      <c r="C1" s="7" t="s">
        <v>66</v>
      </c>
      <c r="D1" s="5" t="s">
        <v>67</v>
      </c>
      <c r="E1" s="5" t="s">
        <v>68</v>
      </c>
      <c r="F1" s="5" t="s">
        <v>81</v>
      </c>
      <c r="G1" s="6" t="s">
        <v>82</v>
      </c>
    </row>
    <row r="2" spans="1:13" x14ac:dyDescent="0.25">
      <c r="A2" s="17" t="str">
        <f>+Country_year!A2</f>
        <v>AL</v>
      </c>
      <c r="B2" s="18" t="s">
        <v>76</v>
      </c>
      <c r="C2" s="8">
        <v>1603.799</v>
      </c>
      <c r="D2" s="9">
        <v>11.625</v>
      </c>
      <c r="E2" s="9">
        <v>482.03500000000003</v>
      </c>
      <c r="F2" s="9">
        <v>83.882000000000005</v>
      </c>
      <c r="G2" s="10">
        <v>0</v>
      </c>
      <c r="H2" s="1"/>
      <c r="I2" s="1"/>
      <c r="J2" s="2"/>
      <c r="L2" s="3"/>
      <c r="M2" s="3"/>
    </row>
    <row r="3" spans="1:13" x14ac:dyDescent="0.25">
      <c r="A3" s="19" t="s">
        <v>2</v>
      </c>
      <c r="B3" s="20" t="s">
        <v>3</v>
      </c>
      <c r="C3" s="11">
        <v>76.17</v>
      </c>
      <c r="D3" s="12">
        <v>4197.4809999999998</v>
      </c>
      <c r="E3" s="12">
        <v>12159.281999999999</v>
      </c>
      <c r="F3" s="12">
        <v>1704.8</v>
      </c>
      <c r="G3" s="13">
        <v>1695.84</v>
      </c>
      <c r="H3" s="1"/>
      <c r="I3" s="1"/>
      <c r="J3" s="2"/>
      <c r="L3" s="3"/>
      <c r="M3" s="3"/>
    </row>
    <row r="4" spans="1:13" x14ac:dyDescent="0.25">
      <c r="A4" s="19" t="s">
        <v>69</v>
      </c>
      <c r="B4" s="20" t="s">
        <v>70</v>
      </c>
      <c r="C4" s="11">
        <v>64.242999999999995</v>
      </c>
      <c r="D4" s="12">
        <v>0.79500000000000004</v>
      </c>
      <c r="E4" s="12">
        <v>2742.1280000000002</v>
      </c>
      <c r="F4" s="12">
        <v>20.603999999999999</v>
      </c>
      <c r="G4" s="13">
        <v>2577.011</v>
      </c>
      <c r="H4" s="1"/>
      <c r="I4" s="1"/>
      <c r="J4" s="2"/>
      <c r="L4" s="3"/>
      <c r="M4" s="3"/>
    </row>
    <row r="5" spans="1:13" x14ac:dyDescent="0.25">
      <c r="A5" s="19" t="s">
        <v>4</v>
      </c>
      <c r="B5" s="20" t="s">
        <v>5</v>
      </c>
      <c r="C5" s="11">
        <v>146.82599999999999</v>
      </c>
      <c r="D5" s="12">
        <v>5885.7550000000001</v>
      </c>
      <c r="E5" s="12">
        <v>12231.528</v>
      </c>
      <c r="F5" s="12">
        <v>0</v>
      </c>
      <c r="G5" s="13">
        <v>286.90199999999999</v>
      </c>
      <c r="H5" s="1"/>
      <c r="I5" s="1"/>
      <c r="J5" s="2"/>
      <c r="L5" s="3"/>
      <c r="M5" s="3"/>
    </row>
    <row r="6" spans="1:13" x14ac:dyDescent="0.25">
      <c r="A6" s="19" t="s">
        <v>6</v>
      </c>
      <c r="B6" s="20" t="s">
        <v>7</v>
      </c>
      <c r="C6" s="11">
        <v>94.36</v>
      </c>
      <c r="D6" s="12">
        <v>743.76599999999996</v>
      </c>
      <c r="E6" s="12">
        <v>5458.3789999999999</v>
      </c>
      <c r="F6" s="12">
        <v>89.38</v>
      </c>
      <c r="G6" s="13">
        <v>0.17499999999999999</v>
      </c>
      <c r="H6" s="1"/>
      <c r="I6" s="1"/>
      <c r="J6" s="2"/>
      <c r="L6" s="3"/>
      <c r="M6" s="3"/>
    </row>
    <row r="7" spans="1:13" x14ac:dyDescent="0.25">
      <c r="A7" s="19" t="s">
        <v>8</v>
      </c>
      <c r="B7" s="20" t="s">
        <v>9</v>
      </c>
      <c r="C7" s="11">
        <v>1679.248</v>
      </c>
      <c r="D7" s="12">
        <v>9675.4140000000007</v>
      </c>
      <c r="E7" s="12">
        <v>12621.037</v>
      </c>
      <c r="F7" s="12">
        <v>9.8040000000000003</v>
      </c>
      <c r="G7" s="13">
        <v>442.83499999999998</v>
      </c>
      <c r="H7" s="1"/>
      <c r="I7" s="1"/>
      <c r="J7" s="2"/>
      <c r="L7" s="3"/>
      <c r="M7" s="3"/>
    </row>
    <row r="8" spans="1:13" x14ac:dyDescent="0.25">
      <c r="A8" s="19" t="s">
        <v>10</v>
      </c>
      <c r="B8" s="20" t="s">
        <v>11</v>
      </c>
      <c r="C8" s="11">
        <v>23.306000000000001</v>
      </c>
      <c r="D8" s="12">
        <v>43.737000000000002</v>
      </c>
      <c r="E8" s="12">
        <v>0</v>
      </c>
      <c r="F8" s="12">
        <v>6.2770000000000001</v>
      </c>
      <c r="G8" s="13">
        <v>409</v>
      </c>
      <c r="H8" s="1"/>
      <c r="I8" s="1"/>
      <c r="J8" s="2"/>
      <c r="L8" s="3"/>
      <c r="M8" s="3"/>
    </row>
    <row r="9" spans="1:13" x14ac:dyDescent="0.25">
      <c r="A9" s="19" t="s">
        <v>12</v>
      </c>
      <c r="B9" s="20" t="s">
        <v>13</v>
      </c>
      <c r="C9" s="11">
        <v>41.128</v>
      </c>
      <c r="D9" s="12">
        <v>2881.442</v>
      </c>
      <c r="E9" s="12">
        <v>17633.829000000002</v>
      </c>
      <c r="F9" s="12">
        <v>391.22899999999998</v>
      </c>
      <c r="G9" s="13">
        <v>804.31200000000001</v>
      </c>
      <c r="H9" s="1"/>
      <c r="I9" s="1"/>
      <c r="J9" s="2"/>
      <c r="L9" s="3"/>
      <c r="M9" s="3"/>
    </row>
    <row r="10" spans="1:13" x14ac:dyDescent="0.25">
      <c r="A10" s="19" t="s">
        <v>14</v>
      </c>
      <c r="B10" s="20" t="s">
        <v>15</v>
      </c>
      <c r="C10" s="11">
        <v>47.783999999999999</v>
      </c>
      <c r="D10" s="12">
        <v>79709.786999999997</v>
      </c>
      <c r="E10" s="12">
        <v>80029.495999999999</v>
      </c>
      <c r="F10" s="12">
        <v>5295.1080000000002</v>
      </c>
      <c r="G10" s="13">
        <v>21873.316999999999</v>
      </c>
      <c r="H10" s="1"/>
      <c r="I10" s="1"/>
      <c r="J10" s="2"/>
      <c r="L10" s="3"/>
      <c r="M10" s="3"/>
    </row>
    <row r="11" spans="1:13" x14ac:dyDescent="0.25">
      <c r="A11" s="19" t="s">
        <v>16</v>
      </c>
      <c r="B11" s="20" t="s">
        <v>17</v>
      </c>
      <c r="C11" s="11">
        <v>0</v>
      </c>
      <c r="D11" s="12">
        <v>6161.7709999999997</v>
      </c>
      <c r="E11" s="12">
        <v>2059.4349999999999</v>
      </c>
      <c r="F11" s="12">
        <v>0</v>
      </c>
      <c r="G11" s="13">
        <v>1125.694</v>
      </c>
      <c r="H11" s="1"/>
      <c r="I11" s="1"/>
      <c r="J11" s="2"/>
      <c r="L11" s="3"/>
      <c r="M11" s="3"/>
    </row>
    <row r="12" spans="1:13" x14ac:dyDescent="0.25">
      <c r="A12" s="19" t="s">
        <v>18</v>
      </c>
      <c r="B12" s="20" t="s">
        <v>19</v>
      </c>
      <c r="C12" s="11">
        <v>0</v>
      </c>
      <c r="D12" s="12">
        <v>331.33800000000002</v>
      </c>
      <c r="E12" s="12">
        <v>0.98199999999999998</v>
      </c>
      <c r="F12" s="12">
        <v>0</v>
      </c>
      <c r="G12" s="13">
        <v>19.768999999999998</v>
      </c>
      <c r="H12" s="1"/>
      <c r="I12" s="1"/>
      <c r="J12" s="2"/>
      <c r="L12" s="3"/>
      <c r="M12" s="3"/>
    </row>
    <row r="13" spans="1:13" x14ac:dyDescent="0.25">
      <c r="A13" s="19" t="s">
        <v>20</v>
      </c>
      <c r="B13" s="20" t="s">
        <v>21</v>
      </c>
      <c r="C13" s="11">
        <v>10884.081</v>
      </c>
      <c r="D13" s="12">
        <v>3712.9050000000002</v>
      </c>
      <c r="E13" s="12">
        <v>6592.0349999999999</v>
      </c>
      <c r="F13" s="12">
        <v>5248.2579999999998</v>
      </c>
      <c r="G13" s="13">
        <v>2758.299</v>
      </c>
      <c r="H13" s="1"/>
      <c r="I13" s="1"/>
      <c r="J13" s="2"/>
      <c r="L13" s="3"/>
      <c r="M13" s="3"/>
    </row>
    <row r="14" spans="1:13" x14ac:dyDescent="0.25">
      <c r="A14" s="19" t="s">
        <v>22</v>
      </c>
      <c r="B14" s="20" t="s">
        <v>23</v>
      </c>
      <c r="C14" s="11">
        <v>2724.9609999999998</v>
      </c>
      <c r="D14" s="12">
        <v>18730.092000000001</v>
      </c>
      <c r="E14" s="12">
        <v>55196.142999999996</v>
      </c>
      <c r="F14" s="12">
        <v>15182.121999999999</v>
      </c>
      <c r="G14" s="13">
        <v>30468.79</v>
      </c>
      <c r="H14" s="1"/>
      <c r="I14" s="1"/>
      <c r="J14" s="2"/>
      <c r="L14" s="3"/>
      <c r="M14" s="3"/>
    </row>
    <row r="15" spans="1:13" x14ac:dyDescent="0.25">
      <c r="A15" s="19" t="s">
        <v>24</v>
      </c>
      <c r="B15" s="20" t="s">
        <v>25</v>
      </c>
      <c r="C15" s="11">
        <v>0</v>
      </c>
      <c r="D15" s="12">
        <v>490.19600000000003</v>
      </c>
      <c r="E15" s="12">
        <v>569.76</v>
      </c>
      <c r="F15" s="12">
        <v>1362.4860000000001</v>
      </c>
      <c r="G15" s="13">
        <v>0</v>
      </c>
      <c r="H15" s="1"/>
      <c r="I15" s="1"/>
      <c r="J15" s="2"/>
      <c r="L15" s="3"/>
      <c r="M15" s="3"/>
    </row>
    <row r="16" spans="1:13" x14ac:dyDescent="0.25">
      <c r="A16" s="19" t="s">
        <v>26</v>
      </c>
      <c r="B16" s="20" t="s">
        <v>27</v>
      </c>
      <c r="C16" s="11">
        <v>728.97900000000004</v>
      </c>
      <c r="D16" s="12">
        <v>54709.35</v>
      </c>
      <c r="E16" s="12">
        <v>44080.972999999998</v>
      </c>
      <c r="F16" s="12">
        <v>15681.022999999999</v>
      </c>
      <c r="G16" s="13">
        <v>23632.231</v>
      </c>
      <c r="H16" s="1"/>
      <c r="I16" s="1"/>
      <c r="J16" s="2"/>
      <c r="L16" s="3"/>
      <c r="M16" s="3"/>
    </row>
    <row r="17" spans="1:13" x14ac:dyDescent="0.25">
      <c r="A17" s="19" t="s">
        <v>28</v>
      </c>
      <c r="B17" s="20" t="s">
        <v>29</v>
      </c>
      <c r="C17" s="11">
        <v>1297.29</v>
      </c>
      <c r="D17" s="12">
        <v>506.02800000000002</v>
      </c>
      <c r="E17" s="12">
        <v>2185.3000000000002</v>
      </c>
      <c r="F17" s="12">
        <v>91.299000000000007</v>
      </c>
      <c r="G17" s="13">
        <v>1959.6969999999999</v>
      </c>
      <c r="H17" s="1"/>
      <c r="I17" s="1"/>
      <c r="J17" s="2"/>
      <c r="L17" s="3"/>
      <c r="M17" s="3"/>
    </row>
    <row r="18" spans="1:13" x14ac:dyDescent="0.25">
      <c r="A18" s="19" t="s">
        <v>30</v>
      </c>
      <c r="B18" s="20" t="s">
        <v>31</v>
      </c>
      <c r="C18" s="11">
        <v>35.713000000000001</v>
      </c>
      <c r="D18" s="12">
        <v>468.786</v>
      </c>
      <c r="E18" s="12">
        <v>4188.8760000000002</v>
      </c>
      <c r="F18" s="12">
        <v>1.232</v>
      </c>
      <c r="G18" s="13">
        <v>8153.95</v>
      </c>
      <c r="H18" s="1"/>
      <c r="I18" s="1"/>
      <c r="J18" s="2"/>
      <c r="L18" s="3"/>
      <c r="M18" s="3"/>
    </row>
    <row r="19" spans="1:13" x14ac:dyDescent="0.25">
      <c r="A19" s="19" t="s">
        <v>32</v>
      </c>
      <c r="B19" s="20" t="s">
        <v>33</v>
      </c>
      <c r="C19" s="11">
        <v>0</v>
      </c>
      <c r="D19" s="12">
        <v>3035.1329999999998</v>
      </c>
      <c r="E19" s="12">
        <v>1797.88</v>
      </c>
      <c r="F19" s="12">
        <v>0</v>
      </c>
      <c r="G19" s="13">
        <v>0</v>
      </c>
      <c r="H19" s="1"/>
      <c r="I19" s="1"/>
      <c r="J19" s="2"/>
      <c r="L19" s="3"/>
      <c r="M19" s="3"/>
    </row>
    <row r="20" spans="1:13" x14ac:dyDescent="0.25">
      <c r="A20" s="19" t="s">
        <v>34</v>
      </c>
      <c r="B20" s="20" t="s">
        <v>35</v>
      </c>
      <c r="C20" s="11">
        <v>417.21100000000001</v>
      </c>
      <c r="D20" s="12">
        <v>3.4239999999999999</v>
      </c>
      <c r="E20" s="12">
        <v>24.021000000000001</v>
      </c>
      <c r="F20" s="12">
        <v>0</v>
      </c>
      <c r="G20" s="13">
        <v>0</v>
      </c>
      <c r="H20" s="1"/>
      <c r="I20" s="1"/>
      <c r="J20" s="2"/>
      <c r="L20" s="3"/>
      <c r="M20" s="3"/>
    </row>
    <row r="21" spans="1:13" x14ac:dyDescent="0.25">
      <c r="A21" s="19" t="s">
        <v>36</v>
      </c>
      <c r="B21" s="20" t="s">
        <v>37</v>
      </c>
      <c r="C21" s="11">
        <v>108894.757</v>
      </c>
      <c r="D21" s="12">
        <v>20658.93</v>
      </c>
      <c r="E21" s="12">
        <v>78161.525999999998</v>
      </c>
      <c r="F21" s="12">
        <v>13024.97</v>
      </c>
      <c r="G21" s="13">
        <v>33381.057000000001</v>
      </c>
      <c r="H21" s="1"/>
      <c r="I21" s="1"/>
      <c r="J21" s="2"/>
      <c r="L21" s="3"/>
      <c r="M21" s="3"/>
    </row>
    <row r="22" spans="1:13" x14ac:dyDescent="0.25">
      <c r="A22" s="19" t="s">
        <v>38</v>
      </c>
      <c r="B22" s="20" t="s">
        <v>39</v>
      </c>
      <c r="C22" s="11">
        <v>0</v>
      </c>
      <c r="D22" s="12">
        <v>1.099</v>
      </c>
      <c r="E22" s="12">
        <v>9.91</v>
      </c>
      <c r="F22" s="12">
        <v>11.285</v>
      </c>
      <c r="G22" s="13">
        <v>0</v>
      </c>
      <c r="H22" s="1"/>
      <c r="I22" s="1"/>
      <c r="J22" s="2"/>
      <c r="L22" s="3"/>
      <c r="M22" s="3"/>
    </row>
    <row r="23" spans="1:13" x14ac:dyDescent="0.25">
      <c r="A23" s="19" t="s">
        <v>40</v>
      </c>
      <c r="B23" s="20" t="s">
        <v>41</v>
      </c>
      <c r="C23" s="11">
        <v>0</v>
      </c>
      <c r="D23" s="12">
        <v>192.749</v>
      </c>
      <c r="E23" s="12">
        <v>1211.6569999999999</v>
      </c>
      <c r="F23" s="12">
        <v>438.31400000000002</v>
      </c>
      <c r="G23" s="13">
        <v>1125.5550000000001</v>
      </c>
      <c r="H23" s="1"/>
      <c r="I23" s="1"/>
      <c r="J23" s="2"/>
      <c r="L23" s="3"/>
      <c r="M23" s="3"/>
    </row>
    <row r="24" spans="1:13" x14ac:dyDescent="0.25">
      <c r="A24" s="19" t="s">
        <v>42</v>
      </c>
      <c r="B24" s="20" t="s">
        <v>43</v>
      </c>
      <c r="C24" s="11">
        <v>0</v>
      </c>
      <c r="D24" s="12">
        <v>1119.912</v>
      </c>
      <c r="E24" s="12">
        <v>289.404</v>
      </c>
      <c r="F24" s="12">
        <v>0</v>
      </c>
      <c r="G24" s="13">
        <v>0</v>
      </c>
      <c r="H24" s="1"/>
      <c r="I24" s="1"/>
      <c r="J24" s="2"/>
      <c r="L24" s="3"/>
      <c r="M24" s="3"/>
    </row>
    <row r="25" spans="1:13" x14ac:dyDescent="0.25">
      <c r="A25" s="19" t="s">
        <v>44</v>
      </c>
      <c r="B25" s="20" t="s">
        <v>45</v>
      </c>
      <c r="C25" s="11">
        <v>0</v>
      </c>
      <c r="D25" s="12">
        <v>593.14200000000005</v>
      </c>
      <c r="E25" s="12">
        <v>587.33199999999999</v>
      </c>
      <c r="F25" s="12">
        <v>121.289</v>
      </c>
      <c r="G25" s="13">
        <v>0</v>
      </c>
      <c r="H25" s="1"/>
      <c r="I25" s="1"/>
      <c r="J25" s="2"/>
      <c r="L25" s="3"/>
      <c r="M25" s="3"/>
    </row>
    <row r="26" spans="1:13" x14ac:dyDescent="0.25">
      <c r="A26" s="19" t="s">
        <v>71</v>
      </c>
      <c r="B26" s="20" t="s">
        <v>72</v>
      </c>
      <c r="C26" s="11">
        <v>3.851</v>
      </c>
      <c r="D26" s="12">
        <v>34.975999999999999</v>
      </c>
      <c r="E26" s="12">
        <v>34.128999999999998</v>
      </c>
      <c r="F26" s="12">
        <v>13.608000000000001</v>
      </c>
      <c r="G26" s="13">
        <v>0</v>
      </c>
      <c r="H26" s="1"/>
      <c r="I26" s="1"/>
      <c r="J26" s="2"/>
      <c r="L26" s="3"/>
      <c r="M26" s="3"/>
    </row>
    <row r="27" spans="1:13" x14ac:dyDescent="0.25">
      <c r="A27" s="19" t="s">
        <v>73</v>
      </c>
      <c r="B27" s="20" t="s">
        <v>74</v>
      </c>
      <c r="C27" s="11">
        <v>111.18899999999999</v>
      </c>
      <c r="D27" s="12">
        <v>1.579</v>
      </c>
      <c r="E27" s="12">
        <v>683.68700000000001</v>
      </c>
      <c r="F27" s="12">
        <v>140.26400000000001</v>
      </c>
      <c r="G27" s="13">
        <v>0</v>
      </c>
      <c r="H27" s="1"/>
      <c r="I27" s="1"/>
      <c r="J27" s="2"/>
      <c r="L27" s="3"/>
      <c r="M27" s="3"/>
    </row>
    <row r="28" spans="1:13" x14ac:dyDescent="0.25">
      <c r="A28" s="19" t="s">
        <v>46</v>
      </c>
      <c r="B28" s="20" t="s">
        <v>47</v>
      </c>
      <c r="C28" s="11">
        <v>0</v>
      </c>
      <c r="D28" s="12">
        <v>30.085000000000001</v>
      </c>
      <c r="E28" s="12">
        <v>52.481000000000002</v>
      </c>
      <c r="F28" s="12">
        <v>0</v>
      </c>
      <c r="G28" s="13">
        <v>0</v>
      </c>
      <c r="H28" s="1"/>
      <c r="I28" s="1"/>
      <c r="J28" s="2"/>
      <c r="L28" s="3"/>
      <c r="M28" s="3"/>
    </row>
    <row r="29" spans="1:13" x14ac:dyDescent="0.25">
      <c r="A29" s="19" t="s">
        <v>48</v>
      </c>
      <c r="B29" s="20" t="s">
        <v>49</v>
      </c>
      <c r="C29" s="11">
        <v>374.298</v>
      </c>
      <c r="D29" s="12">
        <v>11302.97</v>
      </c>
      <c r="E29" s="12">
        <v>1936.874</v>
      </c>
      <c r="F29" s="12">
        <v>0</v>
      </c>
      <c r="G29" s="13">
        <v>0.77100000000000002</v>
      </c>
      <c r="H29" s="1"/>
      <c r="I29" s="1"/>
      <c r="J29" s="2"/>
      <c r="L29" s="3"/>
      <c r="M29" s="3"/>
    </row>
    <row r="30" spans="1:13" x14ac:dyDescent="0.25">
      <c r="A30" s="19" t="s">
        <v>50</v>
      </c>
      <c r="B30" s="20" t="s">
        <v>51</v>
      </c>
      <c r="C30" s="11">
        <v>376.38600000000002</v>
      </c>
      <c r="D30" s="12">
        <v>3158.0639999999999</v>
      </c>
      <c r="E30" s="12">
        <v>1298.925</v>
      </c>
      <c r="F30" s="12">
        <v>3.7509999999999999</v>
      </c>
      <c r="G30" s="13">
        <v>0.77400000000000002</v>
      </c>
      <c r="H30" s="1"/>
      <c r="I30" s="1"/>
      <c r="J30" s="2"/>
      <c r="L30" s="3"/>
      <c r="M30" s="3"/>
    </row>
    <row r="31" spans="1:13" x14ac:dyDescent="0.25">
      <c r="A31" s="19" t="s">
        <v>52</v>
      </c>
      <c r="B31" s="20" t="s">
        <v>53</v>
      </c>
      <c r="C31" s="11">
        <v>47.215000000000003</v>
      </c>
      <c r="D31" s="12">
        <v>837.54399999999998</v>
      </c>
      <c r="E31" s="12">
        <v>25494.704000000002</v>
      </c>
      <c r="F31" s="12">
        <v>114.348</v>
      </c>
      <c r="G31" s="13">
        <v>1438.171</v>
      </c>
      <c r="H31" s="1"/>
      <c r="I31" s="1"/>
      <c r="J31" s="2"/>
      <c r="L31" s="3"/>
      <c r="M31" s="3"/>
    </row>
    <row r="32" spans="1:13" x14ac:dyDescent="0.25">
      <c r="A32" s="19" t="s">
        <v>54</v>
      </c>
      <c r="B32" s="20" t="s">
        <v>55</v>
      </c>
      <c r="C32" s="11">
        <v>154.631</v>
      </c>
      <c r="D32" s="12">
        <v>2166.6709999999998</v>
      </c>
      <c r="E32" s="12">
        <v>2329.7069999999999</v>
      </c>
      <c r="F32" s="12">
        <v>8131.9539999999997</v>
      </c>
      <c r="G32" s="13">
        <v>5024.8710000000001</v>
      </c>
      <c r="H32" s="1"/>
      <c r="I32" s="1"/>
      <c r="J32" s="2"/>
      <c r="L32" s="3"/>
      <c r="M32" s="3"/>
    </row>
    <row r="33" spans="1:13" x14ac:dyDescent="0.25">
      <c r="A33" s="19" t="s">
        <v>56</v>
      </c>
      <c r="B33" s="20" t="s">
        <v>57</v>
      </c>
      <c r="C33" s="11">
        <v>3284.3850000000002</v>
      </c>
      <c r="D33" s="12">
        <v>81.774000000000001</v>
      </c>
      <c r="E33" s="12">
        <v>15044.597</v>
      </c>
      <c r="F33" s="12">
        <v>347.16800000000001</v>
      </c>
      <c r="G33" s="13">
        <v>8490.5759999999991</v>
      </c>
      <c r="H33" s="1"/>
      <c r="I33" s="1"/>
      <c r="J33" s="2"/>
      <c r="L33" s="3"/>
      <c r="M33" s="3"/>
    </row>
    <row r="34" spans="1:13" x14ac:dyDescent="0.25">
      <c r="A34" s="19" t="s">
        <v>77</v>
      </c>
      <c r="B34" s="20" t="s">
        <v>78</v>
      </c>
      <c r="C34" s="11">
        <v>252.15</v>
      </c>
      <c r="D34" s="12">
        <v>15.667</v>
      </c>
      <c r="E34" s="12">
        <v>3501.5419999999999</v>
      </c>
      <c r="F34" s="12">
        <v>1592.777</v>
      </c>
      <c r="G34" s="13">
        <v>10082.891</v>
      </c>
      <c r="H34" s="1"/>
      <c r="I34" s="1"/>
      <c r="J34" s="2"/>
      <c r="L34" s="3"/>
      <c r="M34" s="3"/>
    </row>
    <row r="35" spans="1:13" x14ac:dyDescent="0.25">
      <c r="A35" s="19" t="s">
        <v>58</v>
      </c>
      <c r="B35" s="20" t="s">
        <v>59</v>
      </c>
      <c r="C35" s="11">
        <v>0</v>
      </c>
      <c r="D35" s="12">
        <v>3419.0320000000002</v>
      </c>
      <c r="E35" s="12">
        <v>195.13499999999999</v>
      </c>
      <c r="F35" s="12">
        <v>216.97200000000001</v>
      </c>
      <c r="G35" s="13">
        <v>0</v>
      </c>
      <c r="H35" s="1"/>
      <c r="I35" s="1"/>
      <c r="J35" s="2"/>
      <c r="L35" s="3"/>
      <c r="M35" s="3"/>
    </row>
    <row r="36" spans="1:13" x14ac:dyDescent="0.25">
      <c r="A36" s="19" t="s">
        <v>60</v>
      </c>
      <c r="B36" s="20" t="s">
        <v>61</v>
      </c>
      <c r="C36" s="11">
        <v>70.489999999999995</v>
      </c>
      <c r="D36" s="12">
        <v>1653.6690000000001</v>
      </c>
      <c r="E36" s="12">
        <v>14799.4</v>
      </c>
      <c r="F36" s="12">
        <v>235.11799999999999</v>
      </c>
      <c r="G36" s="13">
        <v>1791.854</v>
      </c>
      <c r="H36" s="1"/>
      <c r="I36" s="1"/>
      <c r="J36" s="2"/>
      <c r="L36" s="3"/>
      <c r="M36" s="3"/>
    </row>
    <row r="37" spans="1:13" x14ac:dyDescent="0.25">
      <c r="A37" s="19" t="s">
        <v>62</v>
      </c>
      <c r="B37" s="20" t="s">
        <v>63</v>
      </c>
      <c r="C37" s="11">
        <v>17.991</v>
      </c>
      <c r="D37" s="12">
        <v>692.36500000000001</v>
      </c>
      <c r="E37" s="12">
        <v>1473.874</v>
      </c>
      <c r="F37" s="12">
        <v>0</v>
      </c>
      <c r="G37" s="13">
        <v>383.03399999999999</v>
      </c>
      <c r="H37" s="1"/>
      <c r="I37" s="1"/>
      <c r="J37" s="2"/>
      <c r="L37" s="3"/>
      <c r="M37" s="3"/>
    </row>
    <row r="38" spans="1:13" x14ac:dyDescent="0.25">
      <c r="A38" s="19" t="s">
        <v>64</v>
      </c>
      <c r="B38" s="20" t="s">
        <v>65</v>
      </c>
      <c r="C38" s="11">
        <v>120309.522</v>
      </c>
      <c r="D38" s="12">
        <v>695.851</v>
      </c>
      <c r="E38" s="12">
        <v>6969.9250000000002</v>
      </c>
      <c r="F38" s="12">
        <v>310.78100000000001</v>
      </c>
      <c r="G38" s="13">
        <v>1.367</v>
      </c>
      <c r="H38" s="1"/>
      <c r="I38" s="1"/>
      <c r="J38" s="2"/>
      <c r="L38" s="3"/>
      <c r="M38" s="3"/>
    </row>
    <row r="39" spans="1:13" x14ac:dyDescent="0.25">
      <c r="A39" s="21" t="s">
        <v>79</v>
      </c>
      <c r="B39" s="22" t="s">
        <v>80</v>
      </c>
      <c r="C39" s="14">
        <v>0.85699999999999998</v>
      </c>
      <c r="D39" s="15">
        <v>1.024</v>
      </c>
      <c r="E39" s="15">
        <v>22.574000000000002</v>
      </c>
      <c r="F39" s="15">
        <v>0</v>
      </c>
      <c r="G39" s="16">
        <v>0</v>
      </c>
      <c r="H39" s="1"/>
      <c r="I39" s="1"/>
      <c r="J39" s="2"/>
      <c r="L39" s="3"/>
      <c r="M39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9"/>
  <sheetViews>
    <sheetView showGridLines="0" zoomScale="80" zoomScaleNormal="80" workbookViewId="0">
      <selection activeCell="I9" sqref="I9"/>
    </sheetView>
  </sheetViews>
  <sheetFormatPr defaultRowHeight="15" x14ac:dyDescent="0.25"/>
  <cols>
    <col min="1" max="1" width="8.7109375"/>
    <col min="2" max="2" width="12.5703125" bestFit="1" customWidth="1"/>
    <col min="3" max="3" width="11.42578125" bestFit="1" customWidth="1"/>
    <col min="4" max="5" width="10.28515625" bestFit="1" customWidth="1"/>
    <col min="6" max="6" width="11.28515625" bestFit="1" customWidth="1"/>
    <col min="7" max="8" width="10.140625" bestFit="1" customWidth="1"/>
    <col min="9" max="9" width="10.28515625" bestFit="1" customWidth="1"/>
    <col min="10" max="14" width="10.140625" bestFit="1" customWidth="1"/>
    <col min="15" max="15" width="10.28515625" bestFit="1" customWidth="1"/>
    <col min="16" max="16" width="10.140625" bestFit="1" customWidth="1"/>
    <col min="17" max="17" width="11.28515625" bestFit="1" customWidth="1"/>
    <col min="18" max="18" width="10.28515625" bestFit="1" customWidth="1"/>
    <col min="19" max="19" width="10.140625" bestFit="1" customWidth="1"/>
    <col min="20" max="20" width="11.28515625" bestFit="1" customWidth="1"/>
    <col min="21" max="21" width="10.140625" bestFit="1" customWidth="1"/>
    <col min="22" max="22" width="11.42578125" bestFit="1" customWidth="1"/>
    <col min="23" max="23" width="11.28515625" bestFit="1" customWidth="1"/>
    <col min="24" max="24" width="10.140625" bestFit="1" customWidth="1"/>
    <col min="25" max="25" width="11.28515625" bestFit="1" customWidth="1"/>
    <col min="26" max="31" width="10.140625" bestFit="1" customWidth="1"/>
    <col min="32" max="32" width="11.42578125" bestFit="1" customWidth="1"/>
    <col min="33" max="33" width="10.140625" bestFit="1" customWidth="1"/>
    <col min="34" max="34" width="10.28515625" bestFit="1" customWidth="1"/>
    <col min="35" max="35" width="11.42578125" bestFit="1" customWidth="1"/>
    <col min="36" max="36" width="11.28515625" bestFit="1" customWidth="1"/>
    <col min="37" max="38" width="10.140625" bestFit="1" customWidth="1"/>
    <col min="39" max="39" width="10.28515625" bestFit="1" customWidth="1"/>
    <col min="40" max="41" width="11.28515625" bestFit="1" customWidth="1"/>
    <col min="42" max="43" width="10.28515625" bestFit="1" customWidth="1"/>
    <col min="44" max="45" width="11.28515625" bestFit="1" customWidth="1"/>
    <col min="46" max="46" width="11.42578125" bestFit="1" customWidth="1"/>
    <col min="47" max="47" width="11.28515625" bestFit="1" customWidth="1"/>
  </cols>
  <sheetData>
    <row r="1" spans="1:47" x14ac:dyDescent="0.25">
      <c r="A1" s="23" t="s">
        <v>0</v>
      </c>
      <c r="B1" s="24" t="s">
        <v>1</v>
      </c>
      <c r="C1" s="7">
        <v>1980</v>
      </c>
      <c r="D1" s="5">
        <v>1981</v>
      </c>
      <c r="E1" s="5">
        <v>1982</v>
      </c>
      <c r="F1" s="5">
        <v>1983</v>
      </c>
      <c r="G1" s="5">
        <v>1984</v>
      </c>
      <c r="H1" s="5">
        <v>1985</v>
      </c>
      <c r="I1" s="5">
        <v>1986</v>
      </c>
      <c r="J1" s="5">
        <v>1987</v>
      </c>
      <c r="K1" s="5">
        <v>1988</v>
      </c>
      <c r="L1" s="5">
        <v>1989</v>
      </c>
      <c r="M1" s="5">
        <v>1990</v>
      </c>
      <c r="N1" s="5">
        <v>1991</v>
      </c>
      <c r="O1" s="5">
        <v>1992</v>
      </c>
      <c r="P1" s="5">
        <v>1993</v>
      </c>
      <c r="Q1" s="5">
        <v>1994</v>
      </c>
      <c r="R1" s="5">
        <v>1995</v>
      </c>
      <c r="S1" s="5">
        <v>1996</v>
      </c>
      <c r="T1" s="5">
        <v>1997</v>
      </c>
      <c r="U1" s="5">
        <v>1998</v>
      </c>
      <c r="V1" s="5">
        <v>1999</v>
      </c>
      <c r="W1" s="5">
        <v>2000</v>
      </c>
      <c r="X1" s="5">
        <v>2001</v>
      </c>
      <c r="Y1" s="5">
        <v>2002</v>
      </c>
      <c r="Z1" s="5">
        <v>2003</v>
      </c>
      <c r="AA1" s="5">
        <v>2004</v>
      </c>
      <c r="AB1" s="5">
        <v>2005</v>
      </c>
      <c r="AC1" s="5">
        <v>2006</v>
      </c>
      <c r="AD1" s="5">
        <v>2007</v>
      </c>
      <c r="AE1" s="5">
        <v>2008</v>
      </c>
      <c r="AF1" s="5">
        <v>2009</v>
      </c>
      <c r="AG1" s="5">
        <v>2010</v>
      </c>
      <c r="AH1" s="5">
        <v>2011</v>
      </c>
      <c r="AI1" s="5">
        <v>2012</v>
      </c>
      <c r="AJ1" s="5">
        <v>2013</v>
      </c>
      <c r="AK1" s="5">
        <v>2014</v>
      </c>
      <c r="AL1" s="5">
        <v>2015</v>
      </c>
      <c r="AM1" s="5">
        <v>2016</v>
      </c>
      <c r="AN1" s="5">
        <v>2017</v>
      </c>
      <c r="AO1" s="5">
        <v>2018</v>
      </c>
      <c r="AP1" s="5">
        <v>2019</v>
      </c>
      <c r="AQ1" s="5">
        <v>2020</v>
      </c>
      <c r="AR1" s="5">
        <v>2021</v>
      </c>
      <c r="AS1" s="5">
        <v>2022</v>
      </c>
      <c r="AT1" s="5">
        <v>2023</v>
      </c>
      <c r="AU1" s="6">
        <v>2024</v>
      </c>
    </row>
    <row r="2" spans="1:47" x14ac:dyDescent="0.25">
      <c r="A2" s="25" t="s">
        <v>75</v>
      </c>
      <c r="B2" s="26" t="s">
        <v>76</v>
      </c>
      <c r="C2" s="8">
        <v>0</v>
      </c>
      <c r="D2" s="9">
        <v>26.988</v>
      </c>
      <c r="E2" s="9">
        <v>21.204999999999998</v>
      </c>
      <c r="F2" s="9">
        <v>0</v>
      </c>
      <c r="G2" s="9">
        <v>0.11</v>
      </c>
      <c r="H2" s="9">
        <v>0</v>
      </c>
      <c r="I2" s="9">
        <v>8.3000000000000004E-2</v>
      </c>
      <c r="J2" s="9">
        <v>0</v>
      </c>
      <c r="K2" s="9">
        <v>4.99</v>
      </c>
      <c r="L2" s="9">
        <v>83.882000000000005</v>
      </c>
      <c r="M2" s="9">
        <v>0</v>
      </c>
      <c r="N2" s="9">
        <v>0</v>
      </c>
      <c r="O2" s="9">
        <v>42.555999999999997</v>
      </c>
      <c r="P2" s="9">
        <v>0</v>
      </c>
      <c r="Q2" s="9">
        <v>0</v>
      </c>
      <c r="R2" s="9">
        <v>21.559000000000001</v>
      </c>
      <c r="S2" s="9">
        <v>1.0249999999999999</v>
      </c>
      <c r="T2" s="9">
        <v>1.238</v>
      </c>
      <c r="U2" s="9">
        <v>1.163</v>
      </c>
      <c r="V2" s="9">
        <v>0</v>
      </c>
      <c r="W2" s="9">
        <v>0</v>
      </c>
      <c r="X2" s="9">
        <v>0</v>
      </c>
      <c r="Y2" s="9">
        <v>50.05</v>
      </c>
      <c r="Z2" s="9">
        <v>0</v>
      </c>
      <c r="AA2" s="9">
        <v>0.23</v>
      </c>
      <c r="AB2" s="9">
        <v>13.422000000000001</v>
      </c>
      <c r="AC2" s="9">
        <v>0.76300000000000001</v>
      </c>
      <c r="AD2" s="9">
        <v>0.70299999999999996</v>
      </c>
      <c r="AE2" s="9">
        <v>0</v>
      </c>
      <c r="AF2" s="9">
        <v>8.5730000000000004</v>
      </c>
      <c r="AG2" s="9">
        <v>153.95500000000001</v>
      </c>
      <c r="AH2" s="9">
        <v>0</v>
      </c>
      <c r="AI2" s="9">
        <v>0</v>
      </c>
      <c r="AJ2" s="9">
        <v>0</v>
      </c>
      <c r="AK2" s="9">
        <v>5.1559999999999997</v>
      </c>
      <c r="AL2" s="9">
        <v>0</v>
      </c>
      <c r="AM2" s="9">
        <v>16.111000000000001</v>
      </c>
      <c r="AN2" s="9">
        <v>78.715000000000003</v>
      </c>
      <c r="AO2" s="9">
        <v>0</v>
      </c>
      <c r="AP2" s="9">
        <v>1567.576</v>
      </c>
      <c r="AQ2" s="9">
        <v>0</v>
      </c>
      <c r="AR2" s="9">
        <v>79.471999999999994</v>
      </c>
      <c r="AS2" s="9">
        <v>1.2</v>
      </c>
      <c r="AT2" s="9">
        <v>0</v>
      </c>
      <c r="AU2" s="10">
        <v>0.61599999999999999</v>
      </c>
    </row>
    <row r="3" spans="1:47" x14ac:dyDescent="0.25">
      <c r="A3" s="27" t="s">
        <v>2</v>
      </c>
      <c r="B3" s="28" t="s">
        <v>3</v>
      </c>
      <c r="C3" s="11">
        <v>0</v>
      </c>
      <c r="D3" s="12">
        <v>0.21199999999999999</v>
      </c>
      <c r="E3" s="12">
        <v>1.849</v>
      </c>
      <c r="F3" s="12">
        <v>1.742</v>
      </c>
      <c r="G3" s="12">
        <v>0</v>
      </c>
      <c r="H3" s="12">
        <v>0</v>
      </c>
      <c r="I3" s="12">
        <v>0</v>
      </c>
      <c r="J3" s="12">
        <v>446.17</v>
      </c>
      <c r="K3" s="12">
        <v>0</v>
      </c>
      <c r="L3" s="12">
        <v>0.31</v>
      </c>
      <c r="M3" s="12">
        <v>551.87900000000002</v>
      </c>
      <c r="N3" s="12">
        <v>197.07400000000001</v>
      </c>
      <c r="O3" s="12">
        <v>0.14199999999999999</v>
      </c>
      <c r="P3" s="12">
        <v>1.627</v>
      </c>
      <c r="Q3" s="12">
        <v>3.149</v>
      </c>
      <c r="R3" s="12">
        <v>5.8259999999999996</v>
      </c>
      <c r="S3" s="12">
        <v>6.7489999999999997</v>
      </c>
      <c r="T3" s="12">
        <v>331.55599999999998</v>
      </c>
      <c r="U3" s="12">
        <v>0</v>
      </c>
      <c r="V3" s="12">
        <v>201.249</v>
      </c>
      <c r="W3" s="12">
        <v>308.93900000000002</v>
      </c>
      <c r="X3" s="12">
        <v>1.0449999999999999</v>
      </c>
      <c r="Y3" s="12">
        <v>4486.759</v>
      </c>
      <c r="Z3" s="12">
        <v>414.77</v>
      </c>
      <c r="AA3" s="12">
        <v>0.66100000000000003</v>
      </c>
      <c r="AB3" s="12">
        <v>938.87199999999996</v>
      </c>
      <c r="AC3" s="12">
        <v>736.24400000000003</v>
      </c>
      <c r="AD3" s="12">
        <v>457.63499999999999</v>
      </c>
      <c r="AE3" s="12">
        <v>625.14</v>
      </c>
      <c r="AF3" s="12">
        <v>701.02700000000004</v>
      </c>
      <c r="AG3" s="12">
        <v>1699.357</v>
      </c>
      <c r="AH3" s="12">
        <v>0</v>
      </c>
      <c r="AI3" s="12">
        <v>26.931999999999999</v>
      </c>
      <c r="AJ3" s="12">
        <v>1182.7180000000001</v>
      </c>
      <c r="AK3" s="12">
        <v>0</v>
      </c>
      <c r="AL3" s="12">
        <v>0</v>
      </c>
      <c r="AM3" s="12">
        <v>30.056000000000001</v>
      </c>
      <c r="AN3" s="12">
        <v>1245.8679999999999</v>
      </c>
      <c r="AO3" s="12">
        <v>815.351</v>
      </c>
      <c r="AP3" s="12">
        <v>630.06500000000005</v>
      </c>
      <c r="AQ3" s="12">
        <v>248.38</v>
      </c>
      <c r="AR3" s="12">
        <v>868.154</v>
      </c>
      <c r="AS3" s="12">
        <v>219.994</v>
      </c>
      <c r="AT3" s="12">
        <v>414.565</v>
      </c>
      <c r="AU3" s="13">
        <v>2031.5070000000001</v>
      </c>
    </row>
    <row r="4" spans="1:47" x14ac:dyDescent="0.25">
      <c r="A4" s="27" t="s">
        <v>69</v>
      </c>
      <c r="B4" s="28" t="s">
        <v>70</v>
      </c>
      <c r="C4" s="11">
        <v>0</v>
      </c>
      <c r="D4" s="12">
        <v>16.035</v>
      </c>
      <c r="E4" s="12">
        <v>0</v>
      </c>
      <c r="F4" s="12">
        <v>0</v>
      </c>
      <c r="G4" s="12">
        <v>7.9459999999999997</v>
      </c>
      <c r="H4" s="12">
        <v>0</v>
      </c>
      <c r="I4" s="12">
        <v>0</v>
      </c>
      <c r="J4" s="12">
        <v>0</v>
      </c>
      <c r="K4" s="12">
        <v>0.215</v>
      </c>
      <c r="L4" s="12">
        <v>11.249000000000001</v>
      </c>
      <c r="M4" s="12">
        <v>5.2110000000000003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387.459</v>
      </c>
      <c r="X4" s="12">
        <v>0</v>
      </c>
      <c r="Y4" s="12">
        <v>0</v>
      </c>
      <c r="Z4" s="12">
        <v>442.59800000000001</v>
      </c>
      <c r="AA4" s="12">
        <v>24.39</v>
      </c>
      <c r="AB4" s="12">
        <v>0</v>
      </c>
      <c r="AC4" s="12">
        <v>0</v>
      </c>
      <c r="AD4" s="12">
        <v>0</v>
      </c>
      <c r="AE4" s="12">
        <v>0</v>
      </c>
      <c r="AF4" s="12">
        <v>0.114</v>
      </c>
      <c r="AG4" s="12">
        <v>487.85599999999999</v>
      </c>
      <c r="AH4" s="12">
        <v>7.0999999999999994E-2</v>
      </c>
      <c r="AI4" s="12">
        <v>1531.569</v>
      </c>
      <c r="AJ4" s="12">
        <v>2.0779999999999998</v>
      </c>
      <c r="AK4" s="12">
        <v>1733.95</v>
      </c>
      <c r="AL4" s="12">
        <v>215.38499999999999</v>
      </c>
      <c r="AM4" s="12">
        <v>0</v>
      </c>
      <c r="AN4" s="12">
        <v>0</v>
      </c>
      <c r="AO4" s="12">
        <v>0</v>
      </c>
      <c r="AP4" s="12">
        <v>22.109000000000002</v>
      </c>
      <c r="AQ4" s="12">
        <v>15.842000000000001</v>
      </c>
      <c r="AR4" s="12">
        <v>0.52800000000000002</v>
      </c>
      <c r="AS4" s="12">
        <v>32.052</v>
      </c>
      <c r="AT4" s="12">
        <v>10.596</v>
      </c>
      <c r="AU4" s="13">
        <v>457.52800000000002</v>
      </c>
    </row>
    <row r="5" spans="1:47" x14ac:dyDescent="0.25">
      <c r="A5" s="27" t="s">
        <v>4</v>
      </c>
      <c r="B5" s="28" t="s">
        <v>5</v>
      </c>
      <c r="C5" s="11">
        <v>0</v>
      </c>
      <c r="D5" s="12">
        <v>0</v>
      </c>
      <c r="E5" s="12">
        <v>0</v>
      </c>
      <c r="F5" s="12">
        <v>146.82599999999999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1510.549</v>
      </c>
      <c r="N5" s="12">
        <v>0</v>
      </c>
      <c r="O5" s="12">
        <v>0</v>
      </c>
      <c r="P5" s="12">
        <v>22.76</v>
      </c>
      <c r="Q5" s="12">
        <v>30.844000000000001</v>
      </c>
      <c r="R5" s="12">
        <v>133.15299999999999</v>
      </c>
      <c r="S5" s="12">
        <v>4.2060000000000004</v>
      </c>
      <c r="T5" s="12">
        <v>0</v>
      </c>
      <c r="U5" s="12">
        <v>15.374000000000001</v>
      </c>
      <c r="V5" s="12">
        <v>84.74</v>
      </c>
      <c r="W5" s="12">
        <v>0.98699999999999999</v>
      </c>
      <c r="X5" s="12">
        <v>1.028</v>
      </c>
      <c r="Y5" s="12">
        <v>8.09</v>
      </c>
      <c r="Z5" s="12">
        <v>0.76800000000000002</v>
      </c>
      <c r="AA5" s="12">
        <v>0.70899999999999996</v>
      </c>
      <c r="AB5" s="12">
        <v>77.763999999999996</v>
      </c>
      <c r="AC5" s="12">
        <v>0</v>
      </c>
      <c r="AD5" s="12">
        <v>502.58600000000001</v>
      </c>
      <c r="AE5" s="12">
        <v>42.384999999999998</v>
      </c>
      <c r="AF5" s="12">
        <v>0</v>
      </c>
      <c r="AG5" s="12">
        <v>605.67200000000003</v>
      </c>
      <c r="AH5" s="12">
        <v>98.242000000000004</v>
      </c>
      <c r="AI5" s="12">
        <v>0</v>
      </c>
      <c r="AJ5" s="12">
        <v>0.249</v>
      </c>
      <c r="AK5" s="12">
        <v>783.25800000000004</v>
      </c>
      <c r="AL5" s="12">
        <v>38.908000000000001</v>
      </c>
      <c r="AM5" s="12">
        <v>318.733</v>
      </c>
      <c r="AN5" s="12">
        <v>31.56</v>
      </c>
      <c r="AO5" s="12">
        <v>256.71199999999999</v>
      </c>
      <c r="AP5" s="12">
        <v>296.03800000000001</v>
      </c>
      <c r="AQ5" s="12">
        <v>616.86400000000003</v>
      </c>
      <c r="AR5" s="12">
        <v>11653.026</v>
      </c>
      <c r="AS5" s="12">
        <v>945.75099999999998</v>
      </c>
      <c r="AT5" s="12">
        <v>121.13500000000001</v>
      </c>
      <c r="AU5" s="13">
        <v>202.09399999999999</v>
      </c>
    </row>
    <row r="6" spans="1:47" x14ac:dyDescent="0.25">
      <c r="A6" s="27" t="s">
        <v>6</v>
      </c>
      <c r="B6" s="28" t="s">
        <v>7</v>
      </c>
      <c r="C6" s="11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62.017000000000003</v>
      </c>
      <c r="J6" s="12">
        <v>0</v>
      </c>
      <c r="K6" s="12">
        <v>0</v>
      </c>
      <c r="L6" s="12">
        <v>0</v>
      </c>
      <c r="M6" s="12">
        <v>2.024</v>
      </c>
      <c r="N6" s="12">
        <v>644.31200000000001</v>
      </c>
      <c r="O6" s="12">
        <v>0</v>
      </c>
      <c r="P6" s="12">
        <v>0</v>
      </c>
      <c r="Q6" s="12">
        <v>0</v>
      </c>
      <c r="R6" s="12">
        <v>0</v>
      </c>
      <c r="S6" s="12">
        <v>27.452000000000002</v>
      </c>
      <c r="T6" s="12">
        <v>2.7890000000000001</v>
      </c>
      <c r="U6" s="12">
        <v>2.9060000000000001</v>
      </c>
      <c r="V6" s="12">
        <v>10.050000000000001</v>
      </c>
      <c r="W6" s="12">
        <v>64.076999999999998</v>
      </c>
      <c r="X6" s="12">
        <v>0</v>
      </c>
      <c r="Y6" s="12">
        <v>3.0990000000000002</v>
      </c>
      <c r="Z6" s="12">
        <v>5.016</v>
      </c>
      <c r="AA6" s="12">
        <v>1.2649999999999999</v>
      </c>
      <c r="AB6" s="12">
        <v>2588.069</v>
      </c>
      <c r="AC6" s="12">
        <v>1.2350000000000001</v>
      </c>
      <c r="AD6" s="12">
        <v>4.0149999999999997</v>
      </c>
      <c r="AE6" s="12">
        <v>0</v>
      </c>
      <c r="AF6" s="12">
        <v>0.106</v>
      </c>
      <c r="AG6" s="12">
        <v>0</v>
      </c>
      <c r="AH6" s="12">
        <v>0</v>
      </c>
      <c r="AI6" s="12">
        <v>24.535</v>
      </c>
      <c r="AJ6" s="12">
        <v>6.5720000000000001</v>
      </c>
      <c r="AK6" s="12">
        <v>1421.4490000000001</v>
      </c>
      <c r="AL6" s="12">
        <v>1293.769</v>
      </c>
      <c r="AM6" s="12">
        <v>0</v>
      </c>
      <c r="AN6" s="12">
        <v>142.59</v>
      </c>
      <c r="AO6" s="12">
        <v>0</v>
      </c>
      <c r="AP6" s="12">
        <v>0</v>
      </c>
      <c r="AQ6" s="12">
        <v>6.8390000000000004</v>
      </c>
      <c r="AR6" s="12">
        <v>2.2210000000000001</v>
      </c>
      <c r="AS6" s="12">
        <v>42.470999999999997</v>
      </c>
      <c r="AT6" s="12">
        <v>24.802</v>
      </c>
      <c r="AU6" s="13">
        <v>2.38</v>
      </c>
    </row>
    <row r="7" spans="1:47" x14ac:dyDescent="0.25">
      <c r="A7" s="27" t="s">
        <v>28</v>
      </c>
      <c r="B7" s="28" t="s">
        <v>29</v>
      </c>
      <c r="C7" s="11">
        <v>0</v>
      </c>
      <c r="D7" s="12">
        <v>0</v>
      </c>
      <c r="E7" s="12">
        <v>0.158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0.127</v>
      </c>
      <c r="S7" s="12">
        <v>19.454000000000001</v>
      </c>
      <c r="T7" s="12">
        <v>0</v>
      </c>
      <c r="U7" s="12">
        <v>18</v>
      </c>
      <c r="V7" s="12">
        <v>0</v>
      </c>
      <c r="W7" s="12">
        <v>566.55999999999995</v>
      </c>
      <c r="X7" s="12">
        <v>0</v>
      </c>
      <c r="Y7" s="12">
        <v>5.3470000000000004</v>
      </c>
      <c r="Z7" s="12">
        <v>917.82</v>
      </c>
      <c r="AA7" s="12">
        <v>29.803999999999998</v>
      </c>
      <c r="AB7" s="12">
        <v>8.44</v>
      </c>
      <c r="AC7" s="12">
        <v>0.70799999999999996</v>
      </c>
      <c r="AD7" s="12">
        <v>0</v>
      </c>
      <c r="AE7" s="12">
        <v>0</v>
      </c>
      <c r="AF7" s="12">
        <v>0</v>
      </c>
      <c r="AG7" s="12">
        <v>779.66899999999998</v>
      </c>
      <c r="AH7" s="12">
        <v>0</v>
      </c>
      <c r="AI7" s="12">
        <v>205.35300000000001</v>
      </c>
      <c r="AJ7" s="12">
        <v>10.477</v>
      </c>
      <c r="AK7" s="12">
        <v>809.42200000000003</v>
      </c>
      <c r="AL7" s="12">
        <v>211.86799999999999</v>
      </c>
      <c r="AM7" s="12">
        <v>4.47</v>
      </c>
      <c r="AN7" s="12">
        <v>190.887</v>
      </c>
      <c r="AO7" s="12">
        <v>361.22899999999998</v>
      </c>
      <c r="AP7" s="12">
        <v>0</v>
      </c>
      <c r="AQ7" s="12">
        <v>1338.1510000000001</v>
      </c>
      <c r="AR7" s="12">
        <v>0</v>
      </c>
      <c r="AS7" s="12">
        <v>382.80900000000003</v>
      </c>
      <c r="AT7" s="12">
        <v>159.959</v>
      </c>
      <c r="AU7" s="13">
        <v>18.902000000000001</v>
      </c>
    </row>
    <row r="8" spans="1:47" x14ac:dyDescent="0.25">
      <c r="A8" s="27" t="s">
        <v>10</v>
      </c>
      <c r="B8" s="28" t="s">
        <v>11</v>
      </c>
      <c r="C8" s="11">
        <v>0</v>
      </c>
      <c r="D8" s="12">
        <v>0</v>
      </c>
      <c r="E8" s="12">
        <v>0</v>
      </c>
      <c r="F8" s="12">
        <v>0</v>
      </c>
      <c r="G8" s="12">
        <v>0.191</v>
      </c>
      <c r="H8" s="12">
        <v>0</v>
      </c>
      <c r="I8" s="12">
        <v>0</v>
      </c>
      <c r="J8" s="12">
        <v>0</v>
      </c>
      <c r="K8" s="12">
        <v>25.195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12.077999999999999</v>
      </c>
      <c r="S8" s="12">
        <v>10.805</v>
      </c>
      <c r="T8" s="12">
        <v>0</v>
      </c>
      <c r="U8" s="12">
        <v>0</v>
      </c>
      <c r="V8" s="12">
        <v>0.23200000000000001</v>
      </c>
      <c r="W8" s="12">
        <v>0</v>
      </c>
      <c r="X8" s="12">
        <v>0</v>
      </c>
      <c r="Y8" s="12">
        <v>0</v>
      </c>
      <c r="Z8" s="12">
        <v>13.36</v>
      </c>
      <c r="AA8" s="12">
        <v>0</v>
      </c>
      <c r="AB8" s="12">
        <v>0</v>
      </c>
      <c r="AC8" s="12">
        <v>0</v>
      </c>
      <c r="AD8" s="12">
        <v>0</v>
      </c>
      <c r="AE8" s="12">
        <v>191.149</v>
      </c>
      <c r="AF8" s="12">
        <v>3.0339999999999998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217.851</v>
      </c>
      <c r="AN8" s="12">
        <v>0</v>
      </c>
      <c r="AO8" s="12">
        <v>0</v>
      </c>
      <c r="AP8" s="12">
        <v>0</v>
      </c>
      <c r="AQ8" s="12">
        <v>0</v>
      </c>
      <c r="AR8" s="12">
        <v>5.8129999999999997</v>
      </c>
      <c r="AS8" s="12">
        <v>0</v>
      </c>
      <c r="AT8" s="12">
        <v>0.77300000000000002</v>
      </c>
      <c r="AU8" s="13">
        <v>1.839</v>
      </c>
    </row>
    <row r="9" spans="1:47" x14ac:dyDescent="0.25">
      <c r="A9" s="27" t="s">
        <v>12</v>
      </c>
      <c r="B9" s="28" t="s">
        <v>13</v>
      </c>
      <c r="C9" s="11">
        <v>0</v>
      </c>
      <c r="D9" s="12">
        <v>899.67</v>
      </c>
      <c r="E9" s="12">
        <v>0</v>
      </c>
      <c r="F9" s="12">
        <v>0</v>
      </c>
      <c r="G9" s="12">
        <v>0</v>
      </c>
      <c r="H9" s="12">
        <v>19.126000000000001</v>
      </c>
      <c r="I9" s="12">
        <v>0</v>
      </c>
      <c r="J9" s="12">
        <v>97.745999999999995</v>
      </c>
      <c r="K9" s="12">
        <v>15.603999999999999</v>
      </c>
      <c r="L9" s="12">
        <v>0</v>
      </c>
      <c r="M9" s="12">
        <v>0</v>
      </c>
      <c r="N9" s="12">
        <v>0</v>
      </c>
      <c r="O9" s="12">
        <v>11.023</v>
      </c>
      <c r="P9" s="12">
        <v>0</v>
      </c>
      <c r="Q9" s="12">
        <v>0</v>
      </c>
      <c r="R9" s="12">
        <v>0</v>
      </c>
      <c r="S9" s="12">
        <v>95.680999999999997</v>
      </c>
      <c r="T9" s="12">
        <v>5792.0219999999999</v>
      </c>
      <c r="U9" s="12">
        <v>136.99700000000001</v>
      </c>
      <c r="V9" s="12">
        <v>0</v>
      </c>
      <c r="W9" s="12">
        <v>1034.1869999999999</v>
      </c>
      <c r="X9" s="12">
        <v>54.712000000000003</v>
      </c>
      <c r="Y9" s="12">
        <v>5424.1390000000001</v>
      </c>
      <c r="Z9" s="12">
        <v>0</v>
      </c>
      <c r="AA9" s="12">
        <v>0</v>
      </c>
      <c r="AB9" s="12">
        <v>0</v>
      </c>
      <c r="AC9" s="12">
        <v>679.11400000000003</v>
      </c>
      <c r="AD9" s="12">
        <v>278.98500000000001</v>
      </c>
      <c r="AE9" s="12">
        <v>53.378999999999998</v>
      </c>
      <c r="AF9" s="12">
        <v>535.72900000000004</v>
      </c>
      <c r="AG9" s="12">
        <v>873.04700000000003</v>
      </c>
      <c r="AH9" s="12">
        <v>0</v>
      </c>
      <c r="AI9" s="12">
        <v>51.195999999999998</v>
      </c>
      <c r="AJ9" s="12">
        <v>1111.8979999999999</v>
      </c>
      <c r="AK9" s="12">
        <v>18.667000000000002</v>
      </c>
      <c r="AL9" s="12">
        <v>0</v>
      </c>
      <c r="AM9" s="12">
        <v>69.724999999999994</v>
      </c>
      <c r="AN9" s="12">
        <v>744.53300000000002</v>
      </c>
      <c r="AO9" s="12">
        <v>158.79400000000001</v>
      </c>
      <c r="AP9" s="12">
        <v>0</v>
      </c>
      <c r="AQ9" s="12">
        <v>183.148</v>
      </c>
      <c r="AR9" s="12">
        <v>686.89400000000001</v>
      </c>
      <c r="AS9" s="12">
        <v>79.34</v>
      </c>
      <c r="AT9" s="12">
        <v>21.594999999999999</v>
      </c>
      <c r="AU9" s="13">
        <v>2624.989</v>
      </c>
    </row>
    <row r="10" spans="1:47" x14ac:dyDescent="0.25">
      <c r="A10" s="27" t="s">
        <v>16</v>
      </c>
      <c r="B10" s="28" t="s">
        <v>17</v>
      </c>
      <c r="C10" s="11">
        <v>0</v>
      </c>
      <c r="D10" s="12">
        <v>849.529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314.45600000000002</v>
      </c>
      <c r="N10" s="12">
        <v>0.311</v>
      </c>
      <c r="O10" s="12">
        <v>1125.694</v>
      </c>
      <c r="P10" s="12">
        <v>10.177</v>
      </c>
      <c r="Q10" s="12">
        <v>0</v>
      </c>
      <c r="R10" s="12">
        <v>5.3079999999999998</v>
      </c>
      <c r="S10" s="12">
        <v>0</v>
      </c>
      <c r="T10" s="12">
        <v>0</v>
      </c>
      <c r="U10" s="12">
        <v>0</v>
      </c>
      <c r="V10" s="12">
        <v>4257.7240000000002</v>
      </c>
      <c r="W10" s="12">
        <v>97.927000000000007</v>
      </c>
      <c r="X10" s="12">
        <v>0</v>
      </c>
      <c r="Y10" s="12">
        <v>0</v>
      </c>
      <c r="Z10" s="12">
        <v>0</v>
      </c>
      <c r="AA10" s="12">
        <v>0.61099999999999999</v>
      </c>
      <c r="AB10" s="12">
        <v>6.0620000000000003</v>
      </c>
      <c r="AC10" s="12">
        <v>66.885000000000005</v>
      </c>
      <c r="AD10" s="12">
        <v>106.563</v>
      </c>
      <c r="AE10" s="12">
        <v>0</v>
      </c>
      <c r="AF10" s="12">
        <v>0</v>
      </c>
      <c r="AG10" s="12">
        <v>119.337</v>
      </c>
      <c r="AH10" s="12">
        <v>922.61500000000001</v>
      </c>
      <c r="AI10" s="12">
        <v>0</v>
      </c>
      <c r="AJ10" s="12">
        <v>1046.345</v>
      </c>
      <c r="AK10" s="12">
        <v>91.144000000000005</v>
      </c>
      <c r="AL10" s="12">
        <v>0</v>
      </c>
      <c r="AM10" s="12">
        <v>0</v>
      </c>
      <c r="AN10" s="12">
        <v>0</v>
      </c>
      <c r="AO10" s="12">
        <v>91.119</v>
      </c>
      <c r="AP10" s="12">
        <v>0</v>
      </c>
      <c r="AQ10" s="12">
        <v>61.83</v>
      </c>
      <c r="AR10" s="12">
        <v>0</v>
      </c>
      <c r="AS10" s="12">
        <v>4.4729999999999999</v>
      </c>
      <c r="AT10" s="12">
        <v>168.79</v>
      </c>
      <c r="AU10" s="13">
        <v>0</v>
      </c>
    </row>
    <row r="11" spans="1:47" x14ac:dyDescent="0.25">
      <c r="A11" s="27" t="s">
        <v>18</v>
      </c>
      <c r="B11" s="28" t="s">
        <v>19</v>
      </c>
      <c r="C11" s="11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16.231000000000002</v>
      </c>
      <c r="X11" s="12">
        <v>0</v>
      </c>
      <c r="Y11" s="12">
        <v>0</v>
      </c>
      <c r="Z11" s="12">
        <v>20.751000000000001</v>
      </c>
      <c r="AA11" s="12">
        <v>0</v>
      </c>
      <c r="AB11" s="12">
        <v>251.52199999999999</v>
      </c>
      <c r="AC11" s="12">
        <v>0</v>
      </c>
      <c r="AD11" s="12">
        <v>0</v>
      </c>
      <c r="AE11" s="12">
        <v>0</v>
      </c>
      <c r="AF11" s="12">
        <v>0</v>
      </c>
      <c r="AG11" s="12">
        <v>59.634999999999998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3.95</v>
      </c>
      <c r="AU11" s="13">
        <v>0</v>
      </c>
    </row>
    <row r="12" spans="1:47" x14ac:dyDescent="0.25">
      <c r="A12" s="27" t="s">
        <v>24</v>
      </c>
      <c r="B12" s="28" t="s">
        <v>25</v>
      </c>
      <c r="C12" s="11">
        <v>0</v>
      </c>
      <c r="D12" s="12">
        <v>0</v>
      </c>
      <c r="E12" s="12">
        <v>0</v>
      </c>
      <c r="F12" s="12">
        <v>0</v>
      </c>
      <c r="G12" s="12">
        <v>371.62099999999998</v>
      </c>
      <c r="H12" s="12">
        <v>0</v>
      </c>
      <c r="I12" s="12">
        <v>0</v>
      </c>
      <c r="J12" s="12">
        <v>1362.4860000000001</v>
      </c>
      <c r="K12" s="12">
        <v>0.53200000000000003</v>
      </c>
      <c r="L12" s="12">
        <v>0</v>
      </c>
      <c r="M12" s="12">
        <v>7.2930000000000001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22.484999999999999</v>
      </c>
      <c r="Y12" s="12">
        <v>0</v>
      </c>
      <c r="Z12" s="12">
        <v>0</v>
      </c>
      <c r="AA12" s="12">
        <v>2.3079999999999998</v>
      </c>
      <c r="AB12" s="12">
        <v>156.495</v>
      </c>
      <c r="AC12" s="12">
        <v>0.64</v>
      </c>
      <c r="AD12" s="12">
        <v>30.902999999999999</v>
      </c>
      <c r="AE12" s="12">
        <v>0</v>
      </c>
      <c r="AF12" s="12">
        <v>0</v>
      </c>
      <c r="AG12" s="12">
        <v>153.864</v>
      </c>
      <c r="AH12" s="12">
        <v>158.12700000000001</v>
      </c>
      <c r="AI12" s="12">
        <v>7.6120000000000001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98.230999999999995</v>
      </c>
      <c r="AR12" s="12">
        <v>49.844999999999999</v>
      </c>
      <c r="AS12" s="12">
        <v>0</v>
      </c>
      <c r="AT12" s="12">
        <v>0</v>
      </c>
      <c r="AU12" s="13">
        <v>0</v>
      </c>
    </row>
    <row r="13" spans="1:47" x14ac:dyDescent="0.25">
      <c r="A13" s="27" t="s">
        <v>26</v>
      </c>
      <c r="B13" s="28" t="s">
        <v>27</v>
      </c>
      <c r="C13" s="11">
        <v>164.59800000000001</v>
      </c>
      <c r="D13" s="12">
        <v>56.956000000000003</v>
      </c>
      <c r="E13" s="12">
        <v>523.19000000000005</v>
      </c>
      <c r="F13" s="12">
        <v>3569.2489999999998</v>
      </c>
      <c r="G13" s="12">
        <v>0</v>
      </c>
      <c r="H13" s="12">
        <v>407.41300000000001</v>
      </c>
      <c r="I13" s="12">
        <v>88.228999999999999</v>
      </c>
      <c r="J13" s="12">
        <v>2787.9140000000002</v>
      </c>
      <c r="K13" s="12">
        <v>1163.134</v>
      </c>
      <c r="L13" s="12">
        <v>2666.51</v>
      </c>
      <c r="M13" s="12">
        <v>5574.625</v>
      </c>
      <c r="N13" s="12">
        <v>1465.5250000000001</v>
      </c>
      <c r="O13" s="12">
        <v>1437.7380000000001</v>
      </c>
      <c r="P13" s="12">
        <v>2949.509</v>
      </c>
      <c r="Q13" s="12">
        <v>12383.075000000001</v>
      </c>
      <c r="R13" s="12">
        <v>2741.9470000000001</v>
      </c>
      <c r="S13" s="12">
        <v>1010.542</v>
      </c>
      <c r="T13" s="12">
        <v>616.15</v>
      </c>
      <c r="U13" s="12">
        <v>949.29</v>
      </c>
      <c r="V13" s="12">
        <v>19219.780999999999</v>
      </c>
      <c r="W13" s="12">
        <v>1191.5609999999999</v>
      </c>
      <c r="X13" s="12">
        <v>928.52599999999995</v>
      </c>
      <c r="Y13" s="12">
        <v>2254.9189999999999</v>
      </c>
      <c r="Z13" s="12">
        <v>6843.1620000000003</v>
      </c>
      <c r="AA13" s="12">
        <v>52.405000000000001</v>
      </c>
      <c r="AB13" s="12">
        <v>3593.64</v>
      </c>
      <c r="AC13" s="12">
        <v>256.49200000000002</v>
      </c>
      <c r="AD13" s="12">
        <v>570.75800000000004</v>
      </c>
      <c r="AE13" s="12">
        <v>538.38800000000003</v>
      </c>
      <c r="AF13" s="12">
        <v>3205.404</v>
      </c>
      <c r="AG13" s="12">
        <v>5377.3810000000003</v>
      </c>
      <c r="AH13" s="12">
        <v>2344.9749999999999</v>
      </c>
      <c r="AI13" s="12">
        <v>1709.4880000000001</v>
      </c>
      <c r="AJ13" s="12">
        <v>1918.788</v>
      </c>
      <c r="AK13" s="12">
        <v>2939.377</v>
      </c>
      <c r="AL13" s="12">
        <v>828.798</v>
      </c>
      <c r="AM13" s="12">
        <v>3060.8240000000001</v>
      </c>
      <c r="AN13" s="12">
        <v>6433.0119999999997</v>
      </c>
      <c r="AO13" s="12">
        <v>3468.4009999999998</v>
      </c>
      <c r="AP13" s="12">
        <v>6018.6059999999998</v>
      </c>
      <c r="AQ13" s="12">
        <v>4848.4040000000005</v>
      </c>
      <c r="AR13" s="12">
        <v>6203.433</v>
      </c>
      <c r="AS13" s="12">
        <v>8914.8619999999992</v>
      </c>
      <c r="AT13" s="12">
        <v>3614.0189999999998</v>
      </c>
      <c r="AU13" s="13">
        <v>1941.558</v>
      </c>
    </row>
    <row r="14" spans="1:47" x14ac:dyDescent="0.25">
      <c r="A14" s="27" t="s">
        <v>14</v>
      </c>
      <c r="B14" s="28" t="s">
        <v>15</v>
      </c>
      <c r="C14" s="11">
        <v>68.460999999999999</v>
      </c>
      <c r="D14" s="12">
        <v>471.83800000000002</v>
      </c>
      <c r="E14" s="12">
        <v>14.98</v>
      </c>
      <c r="F14" s="12">
        <v>259.73899999999998</v>
      </c>
      <c r="G14" s="12">
        <v>4093.1759999999999</v>
      </c>
      <c r="H14" s="12">
        <v>1204.1849999999999</v>
      </c>
      <c r="I14" s="12">
        <v>70.397000000000006</v>
      </c>
      <c r="J14" s="12">
        <v>88.692999999999998</v>
      </c>
      <c r="K14" s="12">
        <v>173.83600000000001</v>
      </c>
      <c r="L14" s="12">
        <v>125.396</v>
      </c>
      <c r="M14" s="12">
        <v>7304.442</v>
      </c>
      <c r="N14" s="12">
        <v>122.779</v>
      </c>
      <c r="O14" s="12">
        <v>342.26499999999999</v>
      </c>
      <c r="P14" s="12">
        <v>1915.7829999999999</v>
      </c>
      <c r="Q14" s="12">
        <v>2349.1179999999999</v>
      </c>
      <c r="R14" s="12">
        <v>701.93499999999995</v>
      </c>
      <c r="S14" s="12">
        <v>349.14299999999997</v>
      </c>
      <c r="T14" s="12">
        <v>746.80799999999999</v>
      </c>
      <c r="U14" s="12">
        <v>474.30399999999997</v>
      </c>
      <c r="V14" s="12">
        <v>4063.7220000000002</v>
      </c>
      <c r="W14" s="12">
        <v>424.64299999999997</v>
      </c>
      <c r="X14" s="12">
        <v>1056.9880000000001</v>
      </c>
      <c r="Y14" s="12">
        <v>23446.805</v>
      </c>
      <c r="Z14" s="12">
        <v>2651.2730000000001</v>
      </c>
      <c r="AA14" s="12">
        <v>1565.1420000000001</v>
      </c>
      <c r="AB14" s="12">
        <v>1885.0940000000001</v>
      </c>
      <c r="AC14" s="12">
        <v>1251.9870000000001</v>
      </c>
      <c r="AD14" s="12">
        <v>6541.7709999999997</v>
      </c>
      <c r="AE14" s="12">
        <v>2930.2040000000002</v>
      </c>
      <c r="AF14" s="12">
        <v>1382.8130000000001</v>
      </c>
      <c r="AG14" s="12">
        <v>6176.3530000000001</v>
      </c>
      <c r="AH14" s="12">
        <v>1060.107</v>
      </c>
      <c r="AI14" s="12">
        <v>163.22499999999999</v>
      </c>
      <c r="AJ14" s="12">
        <v>15775.298000000001</v>
      </c>
      <c r="AK14" s="12">
        <v>3270.2170000000001</v>
      </c>
      <c r="AL14" s="12">
        <v>3043.9380000000001</v>
      </c>
      <c r="AM14" s="12">
        <v>4060.7460000000001</v>
      </c>
      <c r="AN14" s="12">
        <v>5884.5119999999997</v>
      </c>
      <c r="AO14" s="12">
        <v>10456.921</v>
      </c>
      <c r="AP14" s="12">
        <v>8513.0429999999997</v>
      </c>
      <c r="AQ14" s="12">
        <v>1661.203</v>
      </c>
      <c r="AR14" s="12">
        <v>40137.928999999996</v>
      </c>
      <c r="AS14" s="12">
        <v>11314.261</v>
      </c>
      <c r="AT14" s="12">
        <v>2229.7950000000001</v>
      </c>
      <c r="AU14" s="13">
        <v>5130.2240000000002</v>
      </c>
    </row>
    <row r="15" spans="1:47" x14ac:dyDescent="0.25">
      <c r="A15" s="27" t="s">
        <v>20</v>
      </c>
      <c r="B15" s="28" t="s">
        <v>21</v>
      </c>
      <c r="C15" s="11">
        <v>22.652999999999999</v>
      </c>
      <c r="D15" s="12">
        <v>2509.7840000000001</v>
      </c>
      <c r="E15" s="12">
        <v>0</v>
      </c>
      <c r="F15" s="12">
        <v>19.245000000000001</v>
      </c>
      <c r="G15" s="12">
        <v>13.701000000000001</v>
      </c>
      <c r="H15" s="12">
        <v>2.8639999999999999</v>
      </c>
      <c r="I15" s="12">
        <v>406.32</v>
      </c>
      <c r="J15" s="12">
        <v>835.06100000000004</v>
      </c>
      <c r="K15" s="12">
        <v>6.0430000000000001</v>
      </c>
      <c r="L15" s="12">
        <v>0</v>
      </c>
      <c r="M15" s="12">
        <v>4202.6880000000001</v>
      </c>
      <c r="N15" s="12">
        <v>0</v>
      </c>
      <c r="O15" s="12">
        <v>0.23400000000000001</v>
      </c>
      <c r="P15" s="12">
        <v>14.705</v>
      </c>
      <c r="Q15" s="12">
        <v>707.84</v>
      </c>
      <c r="R15" s="12">
        <v>1416.549</v>
      </c>
      <c r="S15" s="12">
        <v>2.2210000000000001</v>
      </c>
      <c r="T15" s="12">
        <v>206.114</v>
      </c>
      <c r="U15" s="12">
        <v>948.43499999999995</v>
      </c>
      <c r="V15" s="12">
        <v>5939.21</v>
      </c>
      <c r="W15" s="12">
        <v>5.7060000000000004</v>
      </c>
      <c r="X15" s="12">
        <v>89.781000000000006</v>
      </c>
      <c r="Y15" s="12">
        <v>40.066000000000003</v>
      </c>
      <c r="Z15" s="12">
        <v>1527.952</v>
      </c>
      <c r="AA15" s="12">
        <v>374.56799999999998</v>
      </c>
      <c r="AB15" s="12">
        <v>0</v>
      </c>
      <c r="AC15" s="12">
        <v>493.51900000000001</v>
      </c>
      <c r="AD15" s="12">
        <v>1558.6130000000001</v>
      </c>
      <c r="AE15" s="12">
        <v>12.74</v>
      </c>
      <c r="AF15" s="12">
        <v>94.977999999999994</v>
      </c>
      <c r="AG15" s="12">
        <v>1.343</v>
      </c>
      <c r="AH15" s="12">
        <v>0</v>
      </c>
      <c r="AI15" s="12">
        <v>8.9999999999999993E-3</v>
      </c>
      <c r="AJ15" s="12">
        <v>34.256999999999998</v>
      </c>
      <c r="AK15" s="12">
        <v>180.85499999999999</v>
      </c>
      <c r="AL15" s="12">
        <v>482.13299999999998</v>
      </c>
      <c r="AM15" s="12">
        <v>58.325000000000003</v>
      </c>
      <c r="AN15" s="12">
        <v>339.483</v>
      </c>
      <c r="AO15" s="12">
        <v>79.281000000000006</v>
      </c>
      <c r="AP15" s="12">
        <v>334.49299999999999</v>
      </c>
      <c r="AQ15" s="12">
        <v>1169.115</v>
      </c>
      <c r="AR15" s="12">
        <v>705.79899999999998</v>
      </c>
      <c r="AS15" s="12">
        <v>21.577000000000002</v>
      </c>
      <c r="AT15" s="12">
        <v>3996.3539999999998</v>
      </c>
      <c r="AU15" s="13">
        <v>340.964</v>
      </c>
    </row>
    <row r="16" spans="1:47" x14ac:dyDescent="0.25">
      <c r="A16" s="27" t="s">
        <v>30</v>
      </c>
      <c r="B16" s="28" t="s">
        <v>31</v>
      </c>
      <c r="C16" s="11">
        <v>0</v>
      </c>
      <c r="D16" s="12">
        <v>0</v>
      </c>
      <c r="E16" s="12">
        <v>0</v>
      </c>
      <c r="F16" s="12">
        <v>0</v>
      </c>
      <c r="G16" s="12">
        <v>0</v>
      </c>
      <c r="H16" s="12">
        <v>4.6420000000000003</v>
      </c>
      <c r="I16" s="12">
        <v>3151.7080000000001</v>
      </c>
      <c r="J16" s="12">
        <v>0</v>
      </c>
      <c r="K16" s="12">
        <v>0</v>
      </c>
      <c r="L16" s="12">
        <v>8.3450000000000006</v>
      </c>
      <c r="M16" s="12">
        <v>0</v>
      </c>
      <c r="N16" s="12">
        <v>0</v>
      </c>
      <c r="O16" s="12">
        <v>1697.172</v>
      </c>
      <c r="P16" s="12">
        <v>0</v>
      </c>
      <c r="Q16" s="12">
        <v>0</v>
      </c>
      <c r="R16" s="12">
        <v>0.55800000000000005</v>
      </c>
      <c r="S16" s="12">
        <v>0</v>
      </c>
      <c r="T16" s="12">
        <v>23.684000000000001</v>
      </c>
      <c r="U16" s="12">
        <v>57.182000000000002</v>
      </c>
      <c r="V16" s="12">
        <v>1301.3150000000001</v>
      </c>
      <c r="W16" s="12">
        <v>141.17699999999999</v>
      </c>
      <c r="X16" s="12">
        <v>417.83199999999999</v>
      </c>
      <c r="Y16" s="12">
        <v>55.436999999999998</v>
      </c>
      <c r="Z16" s="12">
        <v>794.75099999999998</v>
      </c>
      <c r="AA16" s="12">
        <v>5.7039999999999997</v>
      </c>
      <c r="AB16" s="12">
        <v>128.36199999999999</v>
      </c>
      <c r="AC16" s="12">
        <v>885.21199999999999</v>
      </c>
      <c r="AD16" s="12">
        <v>0</v>
      </c>
      <c r="AE16" s="12">
        <v>0</v>
      </c>
      <c r="AF16" s="12">
        <v>0</v>
      </c>
      <c r="AG16" s="12">
        <v>1290.098</v>
      </c>
      <c r="AH16" s="12">
        <v>48.411999999999999</v>
      </c>
      <c r="AI16" s="12">
        <v>34.902999999999999</v>
      </c>
      <c r="AJ16" s="12">
        <v>44.866999999999997</v>
      </c>
      <c r="AK16" s="12">
        <v>28.669</v>
      </c>
      <c r="AL16" s="12">
        <v>33.817</v>
      </c>
      <c r="AM16" s="12">
        <v>11.456</v>
      </c>
      <c r="AN16" s="12">
        <v>29.416</v>
      </c>
      <c r="AO16" s="12">
        <v>8.1959999999999997</v>
      </c>
      <c r="AP16" s="12">
        <v>14.06</v>
      </c>
      <c r="AQ16" s="12">
        <v>13.976000000000001</v>
      </c>
      <c r="AR16" s="12">
        <v>35.51</v>
      </c>
      <c r="AS16" s="12">
        <v>2528.84</v>
      </c>
      <c r="AT16" s="12">
        <v>31.498999999999999</v>
      </c>
      <c r="AU16" s="13">
        <v>21.757000000000001</v>
      </c>
    </row>
    <row r="17" spans="1:47" x14ac:dyDescent="0.25">
      <c r="A17" s="27" t="s">
        <v>34</v>
      </c>
      <c r="B17" s="28" t="s">
        <v>35</v>
      </c>
      <c r="C17" s="11">
        <v>0.92</v>
      </c>
      <c r="D17" s="12">
        <v>0</v>
      </c>
      <c r="E17" s="12">
        <v>0</v>
      </c>
      <c r="F17" s="12">
        <v>1.5980000000000001</v>
      </c>
      <c r="G17" s="12">
        <v>1.8779999999999999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10.039999999999999</v>
      </c>
      <c r="S17" s="12">
        <v>50.48</v>
      </c>
      <c r="T17" s="12">
        <v>0</v>
      </c>
      <c r="U17" s="12">
        <v>0</v>
      </c>
      <c r="V17" s="12">
        <v>0</v>
      </c>
      <c r="W17" s="12">
        <v>54.35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3.198</v>
      </c>
      <c r="AD17" s="12">
        <v>0</v>
      </c>
      <c r="AE17" s="12">
        <v>106.783</v>
      </c>
      <c r="AF17" s="12">
        <v>0</v>
      </c>
      <c r="AG17" s="12">
        <v>73.808000000000007</v>
      </c>
      <c r="AH17" s="12">
        <v>65.936000000000007</v>
      </c>
      <c r="AI17" s="12">
        <v>3.4239999999999999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72.241</v>
      </c>
      <c r="AU17" s="13">
        <v>0</v>
      </c>
    </row>
    <row r="18" spans="1:47" x14ac:dyDescent="0.25">
      <c r="A18" s="27" t="s">
        <v>32</v>
      </c>
      <c r="B18" s="28" t="s">
        <v>33</v>
      </c>
      <c r="C18" s="11">
        <v>23.207000000000001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30.303999999999998</v>
      </c>
      <c r="J18" s="12">
        <v>0</v>
      </c>
      <c r="K18" s="12">
        <v>179.85599999999999</v>
      </c>
      <c r="L18" s="12">
        <v>0</v>
      </c>
      <c r="M18" s="12">
        <v>206.78100000000001</v>
      </c>
      <c r="N18" s="12">
        <v>6.4729999999999999</v>
      </c>
      <c r="O18" s="12">
        <v>0</v>
      </c>
      <c r="P18" s="12">
        <v>71.253</v>
      </c>
      <c r="Q18" s="12">
        <v>316.05</v>
      </c>
      <c r="R18" s="12">
        <v>25.861000000000001</v>
      </c>
      <c r="S18" s="12">
        <v>1.6120000000000001</v>
      </c>
      <c r="T18" s="12">
        <v>60.298000000000002</v>
      </c>
      <c r="U18" s="12">
        <v>7.9000000000000001E-2</v>
      </c>
      <c r="V18" s="12">
        <v>175.49299999999999</v>
      </c>
      <c r="W18" s="12">
        <v>188.81899999999999</v>
      </c>
      <c r="X18" s="12">
        <v>0</v>
      </c>
      <c r="Y18" s="12">
        <v>105.136</v>
      </c>
      <c r="Z18" s="12">
        <v>0</v>
      </c>
      <c r="AA18" s="12">
        <v>68.483999999999995</v>
      </c>
      <c r="AB18" s="12">
        <v>0</v>
      </c>
      <c r="AC18" s="12">
        <v>3.601</v>
      </c>
      <c r="AD18" s="12">
        <v>0.55700000000000005</v>
      </c>
      <c r="AE18" s="12">
        <v>121.191</v>
      </c>
      <c r="AF18" s="12">
        <v>309.56299999999999</v>
      </c>
      <c r="AG18" s="12">
        <v>0</v>
      </c>
      <c r="AH18" s="12">
        <v>322.423</v>
      </c>
      <c r="AI18" s="12">
        <v>0</v>
      </c>
      <c r="AJ18" s="12">
        <v>120.441</v>
      </c>
      <c r="AK18" s="12">
        <v>923.56399999999996</v>
      </c>
      <c r="AL18" s="12">
        <v>455.291</v>
      </c>
      <c r="AM18" s="12">
        <v>0</v>
      </c>
      <c r="AN18" s="12">
        <v>310.62</v>
      </c>
      <c r="AO18" s="12">
        <v>45.026000000000003</v>
      </c>
      <c r="AP18" s="12">
        <v>53.463000000000001</v>
      </c>
      <c r="AQ18" s="12">
        <v>221.613</v>
      </c>
      <c r="AR18" s="12">
        <v>0</v>
      </c>
      <c r="AS18" s="12">
        <v>0</v>
      </c>
      <c r="AT18" s="12">
        <v>272.17</v>
      </c>
      <c r="AU18" s="13">
        <v>213.78399999999999</v>
      </c>
    </row>
    <row r="19" spans="1:47" x14ac:dyDescent="0.25">
      <c r="A19" s="27" t="s">
        <v>36</v>
      </c>
      <c r="B19" s="28" t="s">
        <v>37</v>
      </c>
      <c r="C19" s="11">
        <v>58587.285000000003</v>
      </c>
      <c r="D19" s="12">
        <v>1244.905</v>
      </c>
      <c r="E19" s="12">
        <v>7910.1180000000004</v>
      </c>
      <c r="F19" s="12">
        <v>787.31299999999999</v>
      </c>
      <c r="G19" s="12">
        <v>529.697</v>
      </c>
      <c r="H19" s="12">
        <v>365.60300000000001</v>
      </c>
      <c r="I19" s="12">
        <v>593.87599999999998</v>
      </c>
      <c r="J19" s="12">
        <v>4562.076</v>
      </c>
      <c r="K19" s="12">
        <v>39.167999999999999</v>
      </c>
      <c r="L19" s="12">
        <v>13.518000000000001</v>
      </c>
      <c r="M19" s="12">
        <v>2352.7350000000001</v>
      </c>
      <c r="N19" s="12">
        <v>573.48400000000004</v>
      </c>
      <c r="O19" s="12">
        <v>2395.9360000000001</v>
      </c>
      <c r="P19" s="12">
        <v>1005.721</v>
      </c>
      <c r="Q19" s="12">
        <v>5314.942</v>
      </c>
      <c r="R19" s="12">
        <v>636.10699999999997</v>
      </c>
      <c r="S19" s="12">
        <v>808.61800000000005</v>
      </c>
      <c r="T19" s="12">
        <v>10352.831</v>
      </c>
      <c r="U19" s="12">
        <v>77.832999999999998</v>
      </c>
      <c r="V19" s="12">
        <v>1123.8040000000001</v>
      </c>
      <c r="W19" s="12">
        <v>15531.42</v>
      </c>
      <c r="X19" s="12">
        <v>582.85299999999995</v>
      </c>
      <c r="Y19" s="12">
        <v>3360.1590000000001</v>
      </c>
      <c r="Z19" s="12">
        <v>8753.3310000000001</v>
      </c>
      <c r="AA19" s="12">
        <v>796.85400000000004</v>
      </c>
      <c r="AB19" s="12">
        <v>837.01300000000003</v>
      </c>
      <c r="AC19" s="12">
        <v>585.83699999999999</v>
      </c>
      <c r="AD19" s="12">
        <v>204.63300000000001</v>
      </c>
      <c r="AE19" s="12">
        <v>820.88499999999999</v>
      </c>
      <c r="AF19" s="12">
        <v>13872.505999999999</v>
      </c>
      <c r="AG19" s="12">
        <v>1457.1890000000001</v>
      </c>
      <c r="AH19" s="12">
        <v>2598.953</v>
      </c>
      <c r="AI19" s="12">
        <v>18757.019</v>
      </c>
      <c r="AJ19" s="12">
        <v>2169.5250000000001</v>
      </c>
      <c r="AK19" s="12">
        <v>2394.3820000000001</v>
      </c>
      <c r="AL19" s="12">
        <v>3940.4259999999999</v>
      </c>
      <c r="AM19" s="12">
        <v>9523.8610000000008</v>
      </c>
      <c r="AN19" s="12">
        <v>13616.615</v>
      </c>
      <c r="AO19" s="12">
        <v>5981.2979999999998</v>
      </c>
      <c r="AP19" s="12">
        <v>5409.0050000000001</v>
      </c>
      <c r="AQ19" s="12">
        <v>2791.5920000000001</v>
      </c>
      <c r="AR19" s="12">
        <v>703.39300000000003</v>
      </c>
      <c r="AS19" s="12">
        <v>18113.598999999998</v>
      </c>
      <c r="AT19" s="12">
        <v>16071.789000000001</v>
      </c>
      <c r="AU19" s="13">
        <v>5971.5330000000004</v>
      </c>
    </row>
    <row r="20" spans="1:47" x14ac:dyDescent="0.25">
      <c r="A20" s="27" t="s">
        <v>44</v>
      </c>
      <c r="B20" s="28" t="s">
        <v>45</v>
      </c>
      <c r="C20" s="11">
        <v>0</v>
      </c>
      <c r="D20" s="12">
        <v>83.177999999999997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1.3120000000000001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543.28800000000001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7.3140000000000001</v>
      </c>
      <c r="AK20" s="12">
        <v>0</v>
      </c>
      <c r="AL20" s="12">
        <v>0</v>
      </c>
      <c r="AM20" s="12">
        <v>0</v>
      </c>
      <c r="AN20" s="12">
        <v>495.82900000000001</v>
      </c>
      <c r="AO20" s="12">
        <v>121.289</v>
      </c>
      <c r="AP20" s="12">
        <v>0</v>
      </c>
      <c r="AQ20" s="12">
        <v>0.114</v>
      </c>
      <c r="AR20" s="12">
        <v>0</v>
      </c>
      <c r="AS20" s="12">
        <v>3.5999999999999997E-2</v>
      </c>
      <c r="AT20" s="12">
        <v>17.651</v>
      </c>
      <c r="AU20" s="13">
        <v>31.751999999999999</v>
      </c>
    </row>
    <row r="21" spans="1:47" x14ac:dyDescent="0.25">
      <c r="A21" s="27" t="s">
        <v>38</v>
      </c>
      <c r="B21" s="28" t="s">
        <v>39</v>
      </c>
      <c r="C21" s="11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21.195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1.099</v>
      </c>
      <c r="AR21" s="12">
        <v>0</v>
      </c>
      <c r="AS21" s="12">
        <v>0</v>
      </c>
      <c r="AT21" s="12">
        <v>0</v>
      </c>
      <c r="AU21" s="13">
        <v>0</v>
      </c>
    </row>
    <row r="22" spans="1:47" x14ac:dyDescent="0.25">
      <c r="A22" s="27" t="s">
        <v>40</v>
      </c>
      <c r="B22" s="28" t="s">
        <v>41</v>
      </c>
      <c r="C22" s="11">
        <v>0</v>
      </c>
      <c r="D22" s="12">
        <v>44.171999999999997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765.89400000000001</v>
      </c>
      <c r="P22" s="12">
        <v>42.786000000000001</v>
      </c>
      <c r="Q22" s="12">
        <v>9.8989999999999991</v>
      </c>
      <c r="R22" s="12">
        <v>0</v>
      </c>
      <c r="S22" s="12">
        <v>0</v>
      </c>
      <c r="T22" s="12">
        <v>0</v>
      </c>
      <c r="U22" s="12">
        <v>0</v>
      </c>
      <c r="V22" s="12">
        <v>1.48</v>
      </c>
      <c r="W22" s="12">
        <v>0</v>
      </c>
      <c r="X22" s="12">
        <v>0</v>
      </c>
      <c r="Y22" s="12">
        <v>9.4090000000000007</v>
      </c>
      <c r="Z22" s="12">
        <v>0</v>
      </c>
      <c r="AA22" s="12">
        <v>0</v>
      </c>
      <c r="AB22" s="12">
        <v>57.66</v>
      </c>
      <c r="AC22" s="12">
        <v>359.661</v>
      </c>
      <c r="AD22" s="12">
        <v>0</v>
      </c>
      <c r="AE22" s="12">
        <v>0</v>
      </c>
      <c r="AF22" s="12">
        <v>0</v>
      </c>
      <c r="AG22" s="12">
        <v>5.7290000000000001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0.23300000000000001</v>
      </c>
      <c r="AN22" s="12">
        <v>1179.077</v>
      </c>
      <c r="AO22" s="12">
        <v>0</v>
      </c>
      <c r="AP22" s="12">
        <v>0</v>
      </c>
      <c r="AQ22" s="12">
        <v>0</v>
      </c>
      <c r="AR22" s="12">
        <v>0</v>
      </c>
      <c r="AS22" s="12">
        <v>0.65</v>
      </c>
      <c r="AT22" s="12">
        <v>481.63200000000001</v>
      </c>
      <c r="AU22" s="13">
        <v>9.9930000000000003</v>
      </c>
    </row>
    <row r="23" spans="1:47" x14ac:dyDescent="0.25">
      <c r="A23" s="27" t="s">
        <v>42</v>
      </c>
      <c r="B23" s="28" t="s">
        <v>43</v>
      </c>
      <c r="C23" s="11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847.46299999999997</v>
      </c>
      <c r="N23" s="12">
        <v>0</v>
      </c>
      <c r="O23" s="12">
        <v>0</v>
      </c>
      <c r="P23" s="12">
        <v>21.18</v>
      </c>
      <c r="Q23" s="12">
        <v>0</v>
      </c>
      <c r="R23" s="12">
        <v>18.692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35.57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61.728999999999999</v>
      </c>
      <c r="AN23" s="12">
        <v>0</v>
      </c>
      <c r="AO23" s="12">
        <v>6.681</v>
      </c>
      <c r="AP23" s="12">
        <v>171.72399999999999</v>
      </c>
      <c r="AQ23" s="12">
        <v>21.699000000000002</v>
      </c>
      <c r="AR23" s="12">
        <v>199.81399999999999</v>
      </c>
      <c r="AS23" s="12">
        <v>0</v>
      </c>
      <c r="AT23" s="12">
        <v>0</v>
      </c>
      <c r="AU23" s="13">
        <v>24.763999999999999</v>
      </c>
    </row>
    <row r="24" spans="1:47" x14ac:dyDescent="0.25">
      <c r="A24" s="27" t="s">
        <v>46</v>
      </c>
      <c r="B24" s="28" t="s">
        <v>47</v>
      </c>
      <c r="C24" s="11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51.078000000000003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1.403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28.192</v>
      </c>
      <c r="AQ24" s="12">
        <v>0</v>
      </c>
      <c r="AR24" s="12">
        <v>0</v>
      </c>
      <c r="AS24" s="12">
        <v>0</v>
      </c>
      <c r="AT24" s="12">
        <v>1.893</v>
      </c>
      <c r="AU24" s="13">
        <v>0</v>
      </c>
    </row>
    <row r="25" spans="1:47" x14ac:dyDescent="0.25">
      <c r="A25" s="27" t="s">
        <v>48</v>
      </c>
      <c r="B25" s="28" t="s">
        <v>49</v>
      </c>
      <c r="C25" s="11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3280.25</v>
      </c>
      <c r="N25" s="12">
        <v>0</v>
      </c>
      <c r="O25" s="12">
        <v>397.93099999999998</v>
      </c>
      <c r="P25" s="12">
        <v>237.34299999999999</v>
      </c>
      <c r="Q25" s="12">
        <v>3.4689999999999999</v>
      </c>
      <c r="R25" s="12">
        <v>1732.8340000000001</v>
      </c>
      <c r="S25" s="12">
        <v>0</v>
      </c>
      <c r="T25" s="12">
        <v>0</v>
      </c>
      <c r="U25" s="12">
        <v>1000.752</v>
      </c>
      <c r="V25" s="12">
        <v>0</v>
      </c>
      <c r="W25" s="12">
        <v>0</v>
      </c>
      <c r="X25" s="12">
        <v>0</v>
      </c>
      <c r="Y25" s="12">
        <v>489.65899999999999</v>
      </c>
      <c r="Z25" s="12">
        <v>0.77100000000000002</v>
      </c>
      <c r="AA25" s="12">
        <v>64.320999999999998</v>
      </c>
      <c r="AB25" s="12">
        <v>129.578</v>
      </c>
      <c r="AC25" s="12">
        <v>0</v>
      </c>
      <c r="AD25" s="12">
        <v>674.84900000000005</v>
      </c>
      <c r="AE25" s="12">
        <v>114.88</v>
      </c>
      <c r="AF25" s="12">
        <v>154.17500000000001</v>
      </c>
      <c r="AG25" s="12">
        <v>0</v>
      </c>
      <c r="AH25" s="12">
        <v>101.34399999999999</v>
      </c>
      <c r="AI25" s="12">
        <v>0</v>
      </c>
      <c r="AJ25" s="12">
        <v>293.714</v>
      </c>
      <c r="AK25" s="12">
        <v>117.56699999999999</v>
      </c>
      <c r="AL25" s="12">
        <v>414.38299999999998</v>
      </c>
      <c r="AM25" s="12">
        <v>1090.3440000000001</v>
      </c>
      <c r="AN25" s="12">
        <v>0</v>
      </c>
      <c r="AO25" s="12">
        <v>855.84699999999998</v>
      </c>
      <c r="AP25" s="12">
        <v>49.625999999999998</v>
      </c>
      <c r="AQ25" s="12">
        <v>566.99099999999999</v>
      </c>
      <c r="AR25" s="12">
        <v>846.58699999999999</v>
      </c>
      <c r="AS25" s="12">
        <v>821.95600000000002</v>
      </c>
      <c r="AT25" s="12">
        <v>119.37</v>
      </c>
      <c r="AU25" s="13">
        <v>56.372</v>
      </c>
    </row>
    <row r="26" spans="1:47" x14ac:dyDescent="0.25">
      <c r="A26" s="27" t="s">
        <v>71</v>
      </c>
      <c r="B26" s="28" t="s">
        <v>72</v>
      </c>
      <c r="C26" s="11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5.1109999999999998</v>
      </c>
      <c r="AC26" s="12">
        <v>0</v>
      </c>
      <c r="AD26" s="12">
        <v>0</v>
      </c>
      <c r="AE26" s="12">
        <v>0</v>
      </c>
      <c r="AF26" s="12">
        <v>0</v>
      </c>
      <c r="AG26" s="12">
        <v>29.114999999999998</v>
      </c>
      <c r="AH26" s="12">
        <v>0</v>
      </c>
      <c r="AI26" s="12">
        <v>11.548999999999999</v>
      </c>
      <c r="AJ26" s="12">
        <v>0</v>
      </c>
      <c r="AK26" s="12">
        <v>0</v>
      </c>
      <c r="AL26" s="12">
        <v>0</v>
      </c>
      <c r="AM26" s="12">
        <v>1.476</v>
      </c>
      <c r="AN26" s="12">
        <v>0</v>
      </c>
      <c r="AO26" s="12">
        <v>3.851</v>
      </c>
      <c r="AP26" s="12">
        <v>0</v>
      </c>
      <c r="AQ26" s="12">
        <v>0</v>
      </c>
      <c r="AR26" s="12">
        <v>0</v>
      </c>
      <c r="AS26" s="12">
        <v>0.48599999999999999</v>
      </c>
      <c r="AT26" s="12">
        <v>0</v>
      </c>
      <c r="AU26" s="13">
        <v>34.975999999999999</v>
      </c>
    </row>
    <row r="27" spans="1:47" x14ac:dyDescent="0.25">
      <c r="A27" s="27" t="s">
        <v>73</v>
      </c>
      <c r="B27" s="28" t="s">
        <v>74</v>
      </c>
      <c r="C27" s="11">
        <v>0</v>
      </c>
      <c r="D27" s="12">
        <v>0</v>
      </c>
      <c r="E27" s="12">
        <v>0</v>
      </c>
      <c r="F27" s="12">
        <v>1.2589999999999999</v>
      </c>
      <c r="G27" s="12">
        <v>0</v>
      </c>
      <c r="H27" s="12">
        <v>5.383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25.382999999999999</v>
      </c>
      <c r="Q27" s="12">
        <v>89.795000000000002</v>
      </c>
      <c r="R27" s="12">
        <v>463.78300000000002</v>
      </c>
      <c r="S27" s="12">
        <v>0</v>
      </c>
      <c r="T27" s="12">
        <v>0</v>
      </c>
      <c r="U27" s="12">
        <v>0</v>
      </c>
      <c r="V27" s="12">
        <v>0</v>
      </c>
      <c r="W27" s="12">
        <v>35.151000000000003</v>
      </c>
      <c r="X27" s="12">
        <v>0</v>
      </c>
      <c r="Y27" s="12">
        <v>0</v>
      </c>
      <c r="Z27" s="12">
        <v>0</v>
      </c>
      <c r="AA27" s="12">
        <v>28.614000000000001</v>
      </c>
      <c r="AB27" s="12">
        <v>0</v>
      </c>
      <c r="AC27" s="12">
        <v>0</v>
      </c>
      <c r="AD27" s="12">
        <v>0</v>
      </c>
      <c r="AE27" s="12">
        <v>0</v>
      </c>
      <c r="AF27" s="12">
        <v>2.4140000000000001</v>
      </c>
      <c r="AG27" s="12">
        <v>49.911000000000001</v>
      </c>
      <c r="AH27" s="12">
        <v>0</v>
      </c>
      <c r="AI27" s="12">
        <v>0</v>
      </c>
      <c r="AJ27" s="12">
        <v>16.84</v>
      </c>
      <c r="AK27" s="12">
        <v>0</v>
      </c>
      <c r="AL27" s="12">
        <v>31.765999999999998</v>
      </c>
      <c r="AM27" s="12">
        <v>105.111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3">
        <v>81.308999999999997</v>
      </c>
    </row>
    <row r="28" spans="1:47" x14ac:dyDescent="0.25">
      <c r="A28" s="27" t="s">
        <v>50</v>
      </c>
      <c r="B28" s="28" t="s">
        <v>51</v>
      </c>
      <c r="C28" s="11">
        <v>11.452999999999999</v>
      </c>
      <c r="D28" s="12">
        <v>28.518000000000001</v>
      </c>
      <c r="E28" s="12">
        <v>14.898999999999999</v>
      </c>
      <c r="F28" s="12">
        <v>32.088000000000001</v>
      </c>
      <c r="G28" s="12">
        <v>0</v>
      </c>
      <c r="H28" s="12">
        <v>7.8129999999999997</v>
      </c>
      <c r="I28" s="12">
        <v>0</v>
      </c>
      <c r="J28" s="12">
        <v>427.95800000000003</v>
      </c>
      <c r="K28" s="12">
        <v>63.627000000000002</v>
      </c>
      <c r="L28" s="12">
        <v>24.91</v>
      </c>
      <c r="M28" s="12">
        <v>242.738</v>
      </c>
      <c r="N28" s="12">
        <v>0</v>
      </c>
      <c r="O28" s="12">
        <v>717.76499999999999</v>
      </c>
      <c r="P28" s="12">
        <v>87.331000000000003</v>
      </c>
      <c r="Q28" s="12">
        <v>56.225000000000001</v>
      </c>
      <c r="R28" s="12">
        <v>505.36900000000003</v>
      </c>
      <c r="S28" s="12">
        <v>42.106000000000002</v>
      </c>
      <c r="T28" s="12">
        <v>0</v>
      </c>
      <c r="U28" s="12">
        <v>0</v>
      </c>
      <c r="V28" s="12">
        <v>0</v>
      </c>
      <c r="W28" s="12">
        <v>74.421000000000006</v>
      </c>
      <c r="X28" s="12">
        <v>26.756</v>
      </c>
      <c r="Y28" s="12">
        <v>0</v>
      </c>
      <c r="Z28" s="12">
        <v>15.108000000000001</v>
      </c>
      <c r="AA28" s="12">
        <v>6.4429999999999996</v>
      </c>
      <c r="AB28" s="12">
        <v>172.14400000000001</v>
      </c>
      <c r="AC28" s="12">
        <v>37.970999999999997</v>
      </c>
      <c r="AD28" s="12">
        <v>21.902999999999999</v>
      </c>
      <c r="AE28" s="12">
        <v>13.468</v>
      </c>
      <c r="AF28" s="12">
        <v>2.1850000000000001</v>
      </c>
      <c r="AG28" s="12">
        <v>5.3159999999999998</v>
      </c>
      <c r="AH28" s="12">
        <v>262.98899999999998</v>
      </c>
      <c r="AI28" s="12">
        <v>85.007999999999996</v>
      </c>
      <c r="AJ28" s="12">
        <v>202.666</v>
      </c>
      <c r="AK28" s="12">
        <v>52.902000000000001</v>
      </c>
      <c r="AL28" s="12">
        <v>178.125</v>
      </c>
      <c r="AM28" s="12">
        <v>146.49</v>
      </c>
      <c r="AN28" s="12">
        <v>131.78899999999999</v>
      </c>
      <c r="AO28" s="12">
        <v>79.403000000000006</v>
      </c>
      <c r="AP28" s="12">
        <v>83.174000000000007</v>
      </c>
      <c r="AQ28" s="12">
        <v>164.916</v>
      </c>
      <c r="AR28" s="12">
        <v>103.123</v>
      </c>
      <c r="AS28" s="12">
        <v>57.591999999999999</v>
      </c>
      <c r="AT28" s="12">
        <v>585.23800000000006</v>
      </c>
      <c r="AU28" s="13">
        <v>65.97</v>
      </c>
    </row>
    <row r="29" spans="1:47" x14ac:dyDescent="0.25">
      <c r="A29" s="27" t="s">
        <v>52</v>
      </c>
      <c r="B29" s="28" t="s">
        <v>53</v>
      </c>
      <c r="C29" s="11">
        <v>3165.5610000000001</v>
      </c>
      <c r="D29" s="12">
        <v>0</v>
      </c>
      <c r="E29" s="12">
        <v>896.79300000000001</v>
      </c>
      <c r="F29" s="12">
        <v>334.82499999999999</v>
      </c>
      <c r="G29" s="12">
        <v>0</v>
      </c>
      <c r="H29" s="12">
        <v>1695.5429999999999</v>
      </c>
      <c r="I29" s="12">
        <v>4.2560000000000002</v>
      </c>
      <c r="J29" s="12">
        <v>836.77800000000002</v>
      </c>
      <c r="K29" s="12">
        <v>0</v>
      </c>
      <c r="L29" s="12">
        <v>0</v>
      </c>
      <c r="M29" s="12">
        <v>324.32499999999999</v>
      </c>
      <c r="N29" s="12">
        <v>23.728000000000002</v>
      </c>
      <c r="O29" s="12">
        <v>0</v>
      </c>
      <c r="P29" s="12">
        <v>0</v>
      </c>
      <c r="Q29" s="12">
        <v>2.5110000000000001</v>
      </c>
      <c r="R29" s="12">
        <v>4.03</v>
      </c>
      <c r="S29" s="12">
        <v>0</v>
      </c>
      <c r="T29" s="12">
        <v>7711.616</v>
      </c>
      <c r="U29" s="12">
        <v>1.03</v>
      </c>
      <c r="V29" s="12">
        <v>21.63</v>
      </c>
      <c r="W29" s="12">
        <v>0</v>
      </c>
      <c r="X29" s="12">
        <v>1752.931</v>
      </c>
      <c r="Y29" s="12">
        <v>5.9470000000000001</v>
      </c>
      <c r="Z29" s="12">
        <v>624.64200000000005</v>
      </c>
      <c r="AA29" s="12">
        <v>344.61700000000002</v>
      </c>
      <c r="AB29" s="12">
        <v>9.4459999999999997</v>
      </c>
      <c r="AC29" s="12">
        <v>62.679000000000002</v>
      </c>
      <c r="AD29" s="12">
        <v>118.22199999999999</v>
      </c>
      <c r="AE29" s="12">
        <v>108.49</v>
      </c>
      <c r="AF29" s="12">
        <v>118.809</v>
      </c>
      <c r="AG29" s="12">
        <v>5248.3180000000002</v>
      </c>
      <c r="AH29" s="12">
        <v>0</v>
      </c>
      <c r="AI29" s="12">
        <v>7.0030000000000001</v>
      </c>
      <c r="AJ29" s="12">
        <v>14.688000000000001</v>
      </c>
      <c r="AK29" s="12">
        <v>9.4120000000000008</v>
      </c>
      <c r="AL29" s="12">
        <v>7.5650000000000004</v>
      </c>
      <c r="AM29" s="12">
        <v>0</v>
      </c>
      <c r="AN29" s="12">
        <v>86.825999999999993</v>
      </c>
      <c r="AO29" s="12">
        <v>966.24699999999996</v>
      </c>
      <c r="AP29" s="12">
        <v>0</v>
      </c>
      <c r="AQ29" s="12">
        <v>451.04599999999999</v>
      </c>
      <c r="AR29" s="12">
        <v>32.774999999999999</v>
      </c>
      <c r="AS29" s="12">
        <v>0.82299999999999995</v>
      </c>
      <c r="AT29" s="12">
        <v>0.60699999999999998</v>
      </c>
      <c r="AU29" s="13">
        <v>2938.2629999999999</v>
      </c>
    </row>
    <row r="30" spans="1:47" x14ac:dyDescent="0.25">
      <c r="A30" s="27" t="s">
        <v>54</v>
      </c>
      <c r="B30" s="28" t="s">
        <v>55</v>
      </c>
      <c r="C30" s="11">
        <v>17.547000000000001</v>
      </c>
      <c r="D30" s="12">
        <v>0</v>
      </c>
      <c r="E30" s="12">
        <v>2.4089999999999998</v>
      </c>
      <c r="F30" s="12">
        <v>876.43399999999997</v>
      </c>
      <c r="G30" s="12">
        <v>0</v>
      </c>
      <c r="H30" s="12">
        <v>410.49299999999999</v>
      </c>
      <c r="I30" s="12">
        <v>0</v>
      </c>
      <c r="J30" s="12">
        <v>0</v>
      </c>
      <c r="K30" s="12">
        <v>5.9340000000000002</v>
      </c>
      <c r="L30" s="12">
        <v>6.0990000000000002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126.69199999999999</v>
      </c>
      <c r="T30" s="12">
        <v>60.33</v>
      </c>
      <c r="U30" s="12">
        <v>125.051</v>
      </c>
      <c r="V30" s="12">
        <v>0</v>
      </c>
      <c r="W30" s="12">
        <v>0</v>
      </c>
      <c r="X30" s="12">
        <v>0</v>
      </c>
      <c r="Y30" s="12">
        <v>0</v>
      </c>
      <c r="Z30" s="12">
        <v>5005.6170000000002</v>
      </c>
      <c r="AA30" s="12">
        <v>1685.117</v>
      </c>
      <c r="AB30" s="12">
        <v>2023.194</v>
      </c>
      <c r="AC30" s="12">
        <v>0</v>
      </c>
      <c r="AD30" s="12">
        <v>0</v>
      </c>
      <c r="AE30" s="12">
        <v>0</v>
      </c>
      <c r="AF30" s="12">
        <v>44.75</v>
      </c>
      <c r="AG30" s="12">
        <v>1639.1010000000001</v>
      </c>
      <c r="AH30" s="12">
        <v>0</v>
      </c>
      <c r="AI30" s="12">
        <v>0</v>
      </c>
      <c r="AJ30" s="12">
        <v>760.36699999999996</v>
      </c>
      <c r="AK30" s="12">
        <v>0</v>
      </c>
      <c r="AL30" s="12">
        <v>6.8979999999999997</v>
      </c>
      <c r="AM30" s="12">
        <v>289.93</v>
      </c>
      <c r="AN30" s="12">
        <v>2380.1610000000001</v>
      </c>
      <c r="AO30" s="12">
        <v>188.738</v>
      </c>
      <c r="AP30" s="12">
        <v>636.92100000000005</v>
      </c>
      <c r="AQ30" s="12">
        <v>105.785</v>
      </c>
      <c r="AR30" s="12">
        <v>3.0870000000000002</v>
      </c>
      <c r="AS30" s="12">
        <v>1242.3219999999999</v>
      </c>
      <c r="AT30" s="12">
        <v>43.350999999999999</v>
      </c>
      <c r="AU30" s="13">
        <v>121.506</v>
      </c>
    </row>
    <row r="31" spans="1:47" x14ac:dyDescent="0.25">
      <c r="A31" s="27" t="s">
        <v>56</v>
      </c>
      <c r="B31" s="28" t="s">
        <v>57</v>
      </c>
      <c r="C31" s="11">
        <v>0</v>
      </c>
      <c r="D31" s="12">
        <v>0.81</v>
      </c>
      <c r="E31" s="12">
        <v>0</v>
      </c>
      <c r="F31" s="12">
        <v>0</v>
      </c>
      <c r="G31" s="12">
        <v>0</v>
      </c>
      <c r="H31" s="12">
        <v>0</v>
      </c>
      <c r="I31" s="12">
        <v>3069.5079999999998</v>
      </c>
      <c r="J31" s="12">
        <v>0</v>
      </c>
      <c r="K31" s="12">
        <v>0</v>
      </c>
      <c r="L31" s="12">
        <v>0</v>
      </c>
      <c r="M31" s="12">
        <v>138.64599999999999</v>
      </c>
      <c r="N31" s="12">
        <v>476.548</v>
      </c>
      <c r="O31" s="12">
        <v>0</v>
      </c>
      <c r="P31" s="12">
        <v>0</v>
      </c>
      <c r="Q31" s="12">
        <v>14.196</v>
      </c>
      <c r="R31" s="12">
        <v>49.198</v>
      </c>
      <c r="S31" s="12">
        <v>51.101999999999997</v>
      </c>
      <c r="T31" s="12">
        <v>492.94</v>
      </c>
      <c r="U31" s="12">
        <v>542.23800000000006</v>
      </c>
      <c r="V31" s="12">
        <v>1061.7339999999999</v>
      </c>
      <c r="W31" s="12">
        <v>3488.393</v>
      </c>
      <c r="X31" s="12">
        <v>890.01300000000003</v>
      </c>
      <c r="Y31" s="12">
        <v>1.2210000000000001</v>
      </c>
      <c r="Z31" s="12">
        <v>1303.6949999999999</v>
      </c>
      <c r="AA31" s="12">
        <v>106.684</v>
      </c>
      <c r="AB31" s="12">
        <v>4283.2309999999998</v>
      </c>
      <c r="AC31" s="12">
        <v>857.10599999999999</v>
      </c>
      <c r="AD31" s="12">
        <v>384.089</v>
      </c>
      <c r="AE31" s="12">
        <v>679.50800000000004</v>
      </c>
      <c r="AF31" s="12">
        <v>0</v>
      </c>
      <c r="AG31" s="12">
        <v>1625.7940000000001</v>
      </c>
      <c r="AH31" s="12">
        <v>0</v>
      </c>
      <c r="AI31" s="12">
        <v>33.366999999999997</v>
      </c>
      <c r="AJ31" s="12">
        <v>23.812999999999999</v>
      </c>
      <c r="AK31" s="12">
        <v>928.25300000000004</v>
      </c>
      <c r="AL31" s="12">
        <v>3976.7620000000002</v>
      </c>
      <c r="AM31" s="12">
        <v>0</v>
      </c>
      <c r="AN31" s="12">
        <v>44.08</v>
      </c>
      <c r="AO31" s="12">
        <v>503.88299999999998</v>
      </c>
      <c r="AP31" s="12">
        <v>0</v>
      </c>
      <c r="AQ31" s="12">
        <v>523.08699999999999</v>
      </c>
      <c r="AR31" s="12">
        <v>34.917999999999999</v>
      </c>
      <c r="AS31" s="12">
        <v>1247.0170000000001</v>
      </c>
      <c r="AT31" s="12">
        <v>16.914000000000001</v>
      </c>
      <c r="AU31" s="13">
        <v>399.75200000000001</v>
      </c>
    </row>
    <row r="32" spans="1:47" x14ac:dyDescent="0.25">
      <c r="A32" s="27" t="s">
        <v>62</v>
      </c>
      <c r="B32" s="28" t="s">
        <v>63</v>
      </c>
      <c r="C32" s="11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3.6589999999999998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39.264000000000003</v>
      </c>
      <c r="Q32" s="12">
        <v>0</v>
      </c>
      <c r="R32" s="12">
        <v>0</v>
      </c>
      <c r="S32" s="12">
        <v>30.856999999999999</v>
      </c>
      <c r="T32" s="12">
        <v>201.25299999999999</v>
      </c>
      <c r="U32" s="12">
        <v>117.41800000000001</v>
      </c>
      <c r="V32" s="12">
        <v>526.74300000000005</v>
      </c>
      <c r="W32" s="12">
        <v>0</v>
      </c>
      <c r="X32" s="12">
        <v>29.138000000000002</v>
      </c>
      <c r="Y32" s="12">
        <v>81.343999999999994</v>
      </c>
      <c r="Z32" s="12">
        <v>295.28100000000001</v>
      </c>
      <c r="AA32" s="12">
        <v>690.577</v>
      </c>
      <c r="AB32" s="12">
        <v>1.016</v>
      </c>
      <c r="AC32" s="12">
        <v>79.338999999999999</v>
      </c>
      <c r="AD32" s="12">
        <v>0.68600000000000005</v>
      </c>
      <c r="AE32" s="12">
        <v>0.505</v>
      </c>
      <c r="AF32" s="12">
        <v>0</v>
      </c>
      <c r="AG32" s="12">
        <v>48.829000000000001</v>
      </c>
      <c r="AH32" s="12">
        <v>0</v>
      </c>
      <c r="AI32" s="12">
        <v>0</v>
      </c>
      <c r="AJ32" s="12">
        <v>15.481999999999999</v>
      </c>
      <c r="AK32" s="12">
        <v>0</v>
      </c>
      <c r="AL32" s="12">
        <v>0</v>
      </c>
      <c r="AM32" s="12">
        <v>0</v>
      </c>
      <c r="AN32" s="12">
        <v>0</v>
      </c>
      <c r="AO32" s="12">
        <v>86.114999999999995</v>
      </c>
      <c r="AP32" s="12">
        <v>33.875</v>
      </c>
      <c r="AQ32" s="12">
        <v>21.59</v>
      </c>
      <c r="AR32" s="12">
        <v>41.473999999999997</v>
      </c>
      <c r="AS32" s="12">
        <v>87.753</v>
      </c>
      <c r="AT32" s="12">
        <v>20.945</v>
      </c>
      <c r="AU32" s="13">
        <v>114.121</v>
      </c>
    </row>
    <row r="33" spans="1:47" x14ac:dyDescent="0.25">
      <c r="A33" s="27" t="s">
        <v>60</v>
      </c>
      <c r="B33" s="28" t="s">
        <v>61</v>
      </c>
      <c r="C33" s="11">
        <v>0</v>
      </c>
      <c r="D33" s="12">
        <v>0</v>
      </c>
      <c r="E33" s="12">
        <v>0.51800000000000002</v>
      </c>
      <c r="F33" s="12">
        <v>0</v>
      </c>
      <c r="G33" s="12">
        <v>0.57799999999999996</v>
      </c>
      <c r="H33" s="12">
        <v>0</v>
      </c>
      <c r="I33" s="12">
        <v>97.366</v>
      </c>
      <c r="J33" s="12">
        <v>0</v>
      </c>
      <c r="K33" s="12">
        <v>0</v>
      </c>
      <c r="L33" s="12">
        <v>0</v>
      </c>
      <c r="M33" s="12">
        <v>2040.508</v>
      </c>
      <c r="N33" s="12">
        <v>23.068999999999999</v>
      </c>
      <c r="O33" s="12">
        <v>437.23500000000001</v>
      </c>
      <c r="P33" s="12">
        <v>422.36799999999999</v>
      </c>
      <c r="Q33" s="12">
        <v>112.738</v>
      </c>
      <c r="R33" s="12">
        <v>88.230999999999995</v>
      </c>
      <c r="S33" s="12">
        <v>0</v>
      </c>
      <c r="T33" s="12">
        <v>103.309</v>
      </c>
      <c r="U33" s="12">
        <v>386.86700000000002</v>
      </c>
      <c r="V33" s="12">
        <v>27.41</v>
      </c>
      <c r="W33" s="12">
        <v>167.03899999999999</v>
      </c>
      <c r="X33" s="12">
        <v>104.01300000000001</v>
      </c>
      <c r="Y33" s="12">
        <v>0</v>
      </c>
      <c r="Z33" s="12">
        <v>230.006</v>
      </c>
      <c r="AA33" s="12">
        <v>113.371</v>
      </c>
      <c r="AB33" s="12">
        <v>84.748000000000005</v>
      </c>
      <c r="AC33" s="12">
        <v>76.838999999999999</v>
      </c>
      <c r="AD33" s="12">
        <v>453.46100000000001</v>
      </c>
      <c r="AE33" s="12">
        <v>149.227</v>
      </c>
      <c r="AF33" s="12">
        <v>34.779000000000003</v>
      </c>
      <c r="AG33" s="12">
        <v>346.29599999999999</v>
      </c>
      <c r="AH33" s="12">
        <v>0</v>
      </c>
      <c r="AI33" s="12">
        <v>672.12</v>
      </c>
      <c r="AJ33" s="12">
        <v>0</v>
      </c>
      <c r="AK33" s="12">
        <v>1488.1510000000001</v>
      </c>
      <c r="AL33" s="12">
        <v>0</v>
      </c>
      <c r="AM33" s="12">
        <v>0</v>
      </c>
      <c r="AN33" s="12">
        <v>224.33500000000001</v>
      </c>
      <c r="AO33" s="12">
        <v>0</v>
      </c>
      <c r="AP33" s="12">
        <v>207.411</v>
      </c>
      <c r="AQ33" s="12">
        <v>9.5220000000000002</v>
      </c>
      <c r="AR33" s="12">
        <v>0.115</v>
      </c>
      <c r="AS33" s="12">
        <v>172.65100000000001</v>
      </c>
      <c r="AT33" s="12">
        <v>10242.857</v>
      </c>
      <c r="AU33" s="13">
        <v>33.393000000000001</v>
      </c>
    </row>
    <row r="34" spans="1:47" x14ac:dyDescent="0.25">
      <c r="A34" s="27" t="s">
        <v>77</v>
      </c>
      <c r="B34" s="28" t="s">
        <v>78</v>
      </c>
      <c r="C34" s="11">
        <v>16.071000000000002</v>
      </c>
      <c r="D34" s="12">
        <v>86.405000000000001</v>
      </c>
      <c r="E34" s="12">
        <v>0.22600000000000001</v>
      </c>
      <c r="F34" s="12">
        <v>10.657</v>
      </c>
      <c r="G34" s="12">
        <v>13.398999999999999</v>
      </c>
      <c r="H34" s="12">
        <v>13.382</v>
      </c>
      <c r="I34" s="12">
        <v>0.26600000000000001</v>
      </c>
      <c r="J34" s="12">
        <v>0.49399999999999999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0.77800000000000002</v>
      </c>
      <c r="V34" s="12">
        <v>291.17899999999997</v>
      </c>
      <c r="W34" s="12">
        <v>841.34500000000003</v>
      </c>
      <c r="X34" s="12">
        <v>0</v>
      </c>
      <c r="Y34" s="12">
        <v>0</v>
      </c>
      <c r="Z34" s="12">
        <v>0</v>
      </c>
      <c r="AA34" s="12">
        <v>0</v>
      </c>
      <c r="AB34" s="12">
        <v>121.39</v>
      </c>
      <c r="AC34" s="12">
        <v>63.398000000000003</v>
      </c>
      <c r="AD34" s="12">
        <v>1336.7380000000001</v>
      </c>
      <c r="AE34" s="12">
        <v>0</v>
      </c>
      <c r="AF34" s="12">
        <v>35.308999999999997</v>
      </c>
      <c r="AG34" s="12">
        <v>734.25599999999997</v>
      </c>
      <c r="AH34" s="12">
        <v>752.88099999999997</v>
      </c>
      <c r="AI34" s="12">
        <v>4493.8599999999997</v>
      </c>
      <c r="AJ34" s="12">
        <v>0</v>
      </c>
      <c r="AK34" s="12">
        <v>1807.0550000000001</v>
      </c>
      <c r="AL34" s="12">
        <v>18.594000000000001</v>
      </c>
      <c r="AM34" s="12">
        <v>213.965</v>
      </c>
      <c r="AN34" s="12">
        <v>1978.5350000000001</v>
      </c>
      <c r="AO34" s="12">
        <v>5.9269999999999996</v>
      </c>
      <c r="AP34" s="12">
        <v>38.119</v>
      </c>
      <c r="AQ34" s="12">
        <v>67.448999999999998</v>
      </c>
      <c r="AR34" s="12">
        <v>11.093</v>
      </c>
      <c r="AS34" s="12">
        <v>1082.0319999999999</v>
      </c>
      <c r="AT34" s="12">
        <v>344.93599999999998</v>
      </c>
      <c r="AU34" s="13">
        <v>1065.288</v>
      </c>
    </row>
    <row r="35" spans="1:47" x14ac:dyDescent="0.25">
      <c r="A35" s="27" t="s">
        <v>22</v>
      </c>
      <c r="B35" s="28" t="s">
        <v>23</v>
      </c>
      <c r="C35" s="11">
        <v>3915.2350000000001</v>
      </c>
      <c r="D35" s="12">
        <v>4035.5680000000002</v>
      </c>
      <c r="E35" s="12">
        <v>3608.5630000000001</v>
      </c>
      <c r="F35" s="12">
        <v>15456.414000000001</v>
      </c>
      <c r="G35" s="12">
        <v>4052.7</v>
      </c>
      <c r="H35" s="12">
        <v>81.22</v>
      </c>
      <c r="I35" s="12">
        <v>50.201999999999998</v>
      </c>
      <c r="J35" s="12">
        <v>2689.5929999999998</v>
      </c>
      <c r="K35" s="12">
        <v>1256.0070000000001</v>
      </c>
      <c r="L35" s="12">
        <v>2705.9259999999999</v>
      </c>
      <c r="M35" s="12">
        <v>6803.1419999999998</v>
      </c>
      <c r="N35" s="12">
        <v>123.35</v>
      </c>
      <c r="O35" s="12">
        <v>286.93</v>
      </c>
      <c r="P35" s="12">
        <v>174.71700000000001</v>
      </c>
      <c r="Q35" s="12">
        <v>430.09500000000003</v>
      </c>
      <c r="R35" s="12">
        <v>2402.5630000000001</v>
      </c>
      <c r="S35" s="12">
        <v>1667.91</v>
      </c>
      <c r="T35" s="12">
        <v>474.68799999999999</v>
      </c>
      <c r="U35" s="12">
        <v>221.33099999999999</v>
      </c>
      <c r="V35" s="12">
        <v>6149.4489999999996</v>
      </c>
      <c r="W35" s="12">
        <v>1210.933</v>
      </c>
      <c r="X35" s="12">
        <v>363.10700000000003</v>
      </c>
      <c r="Y35" s="12">
        <v>244.197</v>
      </c>
      <c r="Z35" s="12">
        <v>1210.153</v>
      </c>
      <c r="AA35" s="12">
        <v>101.24299999999999</v>
      </c>
      <c r="AB35" s="12">
        <v>2898.4349999999999</v>
      </c>
      <c r="AC35" s="12">
        <v>960.93499999999995</v>
      </c>
      <c r="AD35" s="12">
        <v>583.83100000000002</v>
      </c>
      <c r="AE35" s="12">
        <v>80.513999999999996</v>
      </c>
      <c r="AF35" s="12">
        <v>1978.6179999999999</v>
      </c>
      <c r="AG35" s="12">
        <v>1393.4459999999999</v>
      </c>
      <c r="AH35" s="12">
        <v>1703.1569999999999</v>
      </c>
      <c r="AI35" s="12">
        <v>382.33199999999999</v>
      </c>
      <c r="AJ35" s="12">
        <v>51.448</v>
      </c>
      <c r="AK35" s="12">
        <v>34.253</v>
      </c>
      <c r="AL35" s="12">
        <v>258.59300000000002</v>
      </c>
      <c r="AM35" s="12">
        <v>524.52800000000002</v>
      </c>
      <c r="AN35" s="12">
        <v>459.90899999999999</v>
      </c>
      <c r="AO35" s="12">
        <v>2262.4949999999999</v>
      </c>
      <c r="AP35" s="12">
        <v>5279.0550000000003</v>
      </c>
      <c r="AQ35" s="12">
        <v>2512.7620000000002</v>
      </c>
      <c r="AR35" s="12">
        <v>4082.0990000000002</v>
      </c>
      <c r="AS35" s="12">
        <v>11574.097</v>
      </c>
      <c r="AT35" s="12">
        <v>7346.2209999999995</v>
      </c>
      <c r="AU35" s="13">
        <v>18220.144</v>
      </c>
    </row>
    <row r="36" spans="1:47" x14ac:dyDescent="0.25">
      <c r="A36" s="27" t="s">
        <v>58</v>
      </c>
      <c r="B36" s="28" t="s">
        <v>59</v>
      </c>
      <c r="C36" s="11">
        <v>0</v>
      </c>
      <c r="D36" s="12">
        <v>0</v>
      </c>
      <c r="E36" s="12">
        <v>0</v>
      </c>
      <c r="F36" s="12">
        <v>0</v>
      </c>
      <c r="G36" s="12">
        <v>0</v>
      </c>
      <c r="H36" s="12">
        <v>9.8979999999999997</v>
      </c>
      <c r="I36" s="12">
        <v>0</v>
      </c>
      <c r="J36" s="12">
        <v>0</v>
      </c>
      <c r="K36" s="12">
        <v>0</v>
      </c>
      <c r="L36" s="12">
        <v>0</v>
      </c>
      <c r="M36" s="12">
        <v>11.657999999999999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4.8550000000000004</v>
      </c>
      <c r="U36" s="12">
        <v>0</v>
      </c>
      <c r="V36" s="12">
        <v>212.46199999999999</v>
      </c>
      <c r="W36" s="12">
        <v>10.897</v>
      </c>
      <c r="X36" s="12">
        <v>0</v>
      </c>
      <c r="Y36" s="12">
        <v>0.84199999999999997</v>
      </c>
      <c r="Z36" s="12">
        <v>0</v>
      </c>
      <c r="AA36" s="12">
        <v>14.955</v>
      </c>
      <c r="AB36" s="12">
        <v>2767.2539999999999</v>
      </c>
      <c r="AC36" s="12">
        <v>0.55100000000000005</v>
      </c>
      <c r="AD36" s="12">
        <v>0</v>
      </c>
      <c r="AE36" s="12">
        <v>0.46</v>
      </c>
      <c r="AF36" s="12">
        <v>0</v>
      </c>
      <c r="AG36" s="12">
        <v>0</v>
      </c>
      <c r="AH36" s="12">
        <v>0</v>
      </c>
      <c r="AI36" s="12">
        <v>0</v>
      </c>
      <c r="AJ36" s="12">
        <v>113.82299999999999</v>
      </c>
      <c r="AK36" s="12">
        <v>203.47900000000001</v>
      </c>
      <c r="AL36" s="12">
        <v>17.13</v>
      </c>
      <c r="AM36" s="12">
        <v>0</v>
      </c>
      <c r="AN36" s="12">
        <v>0</v>
      </c>
      <c r="AO36" s="12">
        <v>96.558999999999997</v>
      </c>
      <c r="AP36" s="12">
        <v>154.16</v>
      </c>
      <c r="AQ36" s="12">
        <v>69.344999999999999</v>
      </c>
      <c r="AR36" s="12">
        <v>47.683999999999997</v>
      </c>
      <c r="AS36" s="12">
        <v>0</v>
      </c>
      <c r="AT36" s="12">
        <v>95.126999999999995</v>
      </c>
      <c r="AU36" s="13">
        <v>0</v>
      </c>
    </row>
    <row r="37" spans="1:47" x14ac:dyDescent="0.25">
      <c r="A37" s="27" t="s">
        <v>8</v>
      </c>
      <c r="B37" s="28" t="s">
        <v>83</v>
      </c>
      <c r="C37" s="11">
        <v>0</v>
      </c>
      <c r="D37" s="12">
        <v>10.092000000000001</v>
      </c>
      <c r="E37" s="12">
        <v>45.77</v>
      </c>
      <c r="F37" s="12">
        <v>30.931999999999999</v>
      </c>
      <c r="G37" s="12">
        <v>82.828999999999994</v>
      </c>
      <c r="H37" s="12">
        <v>61.73</v>
      </c>
      <c r="I37" s="12">
        <v>516.32100000000003</v>
      </c>
      <c r="J37" s="12">
        <v>3702.2429999999999</v>
      </c>
      <c r="K37" s="12">
        <v>232.29499999999999</v>
      </c>
      <c r="L37" s="12">
        <v>1.37</v>
      </c>
      <c r="M37" s="12">
        <v>924.32399999999996</v>
      </c>
      <c r="N37" s="12">
        <v>0</v>
      </c>
      <c r="O37" s="12">
        <v>246.209</v>
      </c>
      <c r="P37" s="12">
        <v>841.81500000000005</v>
      </c>
      <c r="Q37" s="12">
        <v>296.52499999999998</v>
      </c>
      <c r="R37" s="12">
        <v>2.3330000000000002</v>
      </c>
      <c r="S37" s="12">
        <v>0</v>
      </c>
      <c r="T37" s="12">
        <v>185.86199999999999</v>
      </c>
      <c r="U37" s="12">
        <v>88.772000000000006</v>
      </c>
      <c r="V37" s="12">
        <v>5142.1639999999998</v>
      </c>
      <c r="W37" s="12">
        <v>939.82299999999998</v>
      </c>
      <c r="X37" s="12">
        <v>37.18</v>
      </c>
      <c r="Y37" s="12">
        <v>507.72199999999998</v>
      </c>
      <c r="Z37" s="12">
        <v>460.29399999999998</v>
      </c>
      <c r="AA37" s="12">
        <v>18.506</v>
      </c>
      <c r="AB37" s="12">
        <v>4997.6589999999997</v>
      </c>
      <c r="AC37" s="12">
        <v>46.981000000000002</v>
      </c>
      <c r="AD37" s="12">
        <v>939.06399999999996</v>
      </c>
      <c r="AE37" s="12">
        <v>0.71399999999999997</v>
      </c>
      <c r="AF37" s="12">
        <v>1178.3209999999999</v>
      </c>
      <c r="AG37" s="12">
        <v>48.228000000000002</v>
      </c>
      <c r="AH37" s="12">
        <v>104.60599999999999</v>
      </c>
      <c r="AI37" s="12">
        <v>0.22800000000000001</v>
      </c>
      <c r="AJ37" s="12">
        <v>374.05799999999999</v>
      </c>
      <c r="AK37" s="12">
        <v>108.67</v>
      </c>
      <c r="AL37" s="12">
        <v>9.1219999999999999</v>
      </c>
      <c r="AM37" s="12">
        <v>66.724000000000004</v>
      </c>
      <c r="AN37" s="12">
        <v>418.05900000000003</v>
      </c>
      <c r="AO37" s="12">
        <v>161.93899999999999</v>
      </c>
      <c r="AP37" s="12">
        <v>195.65899999999999</v>
      </c>
      <c r="AQ37" s="12">
        <v>144.73500000000001</v>
      </c>
      <c r="AR37" s="12">
        <v>389.18900000000002</v>
      </c>
      <c r="AS37" s="12">
        <v>19.166</v>
      </c>
      <c r="AT37" s="12">
        <v>465.19600000000003</v>
      </c>
      <c r="AU37" s="13">
        <v>384.90899999999999</v>
      </c>
    </row>
    <row r="38" spans="1:47" x14ac:dyDescent="0.25">
      <c r="A38" s="27" t="s">
        <v>64</v>
      </c>
      <c r="B38" s="28" t="s">
        <v>65</v>
      </c>
      <c r="C38" s="11">
        <v>34.79</v>
      </c>
      <c r="D38" s="12">
        <v>0</v>
      </c>
      <c r="E38" s="12">
        <v>0.02</v>
      </c>
      <c r="F38" s="12">
        <v>73.465999999999994</v>
      </c>
      <c r="G38" s="12">
        <v>18.417000000000002</v>
      </c>
      <c r="H38" s="12">
        <v>3.1669999999999998</v>
      </c>
      <c r="I38" s="12">
        <v>17.922999999999998</v>
      </c>
      <c r="J38" s="12">
        <v>0</v>
      </c>
      <c r="K38" s="12">
        <v>1.6E-2</v>
      </c>
      <c r="L38" s="12">
        <v>2.7120000000000002</v>
      </c>
      <c r="M38" s="12">
        <v>271.05399999999997</v>
      </c>
      <c r="N38" s="12">
        <v>50.832000000000001</v>
      </c>
      <c r="O38" s="12">
        <v>1569.0150000000001</v>
      </c>
      <c r="P38" s="12">
        <v>0</v>
      </c>
      <c r="Q38" s="12">
        <v>1.7999999999999999E-2</v>
      </c>
      <c r="R38" s="12">
        <v>627.58000000000004</v>
      </c>
      <c r="S38" s="12">
        <v>53.923999999999999</v>
      </c>
      <c r="T38" s="12">
        <v>7.0999999999999994E-2</v>
      </c>
      <c r="U38" s="12">
        <v>3558.674</v>
      </c>
      <c r="V38" s="12">
        <v>26738.618999999999</v>
      </c>
      <c r="W38" s="12">
        <v>60.762999999999998</v>
      </c>
      <c r="X38" s="12">
        <v>47.292000000000002</v>
      </c>
      <c r="Y38" s="12">
        <v>202.619</v>
      </c>
      <c r="Z38" s="12">
        <v>172.852</v>
      </c>
      <c r="AA38" s="12">
        <v>4.12</v>
      </c>
      <c r="AB38" s="12">
        <v>30.003</v>
      </c>
      <c r="AC38" s="12">
        <v>404.03800000000001</v>
      </c>
      <c r="AD38" s="12">
        <v>7.59</v>
      </c>
      <c r="AE38" s="12">
        <v>0.34300000000000003</v>
      </c>
      <c r="AF38" s="12">
        <v>1320.9480000000001</v>
      </c>
      <c r="AG38" s="12">
        <v>15.287000000000001</v>
      </c>
      <c r="AH38" s="12">
        <v>1420.6780000000001</v>
      </c>
      <c r="AI38" s="12">
        <v>63.817</v>
      </c>
      <c r="AJ38" s="12">
        <v>12.093</v>
      </c>
      <c r="AK38" s="12">
        <v>5.923</v>
      </c>
      <c r="AL38" s="12">
        <v>16.411999999999999</v>
      </c>
      <c r="AM38" s="12">
        <v>0</v>
      </c>
      <c r="AN38" s="12">
        <v>709.73</v>
      </c>
      <c r="AO38" s="12">
        <v>12.795</v>
      </c>
      <c r="AP38" s="12">
        <v>185.08099999999999</v>
      </c>
      <c r="AQ38" s="12">
        <v>1104.7739999999999</v>
      </c>
      <c r="AR38" s="12">
        <v>822.95299999999997</v>
      </c>
      <c r="AS38" s="12">
        <v>389.625</v>
      </c>
      <c r="AT38" s="12">
        <v>88222.631999999998</v>
      </c>
      <c r="AU38" s="13">
        <v>34.78</v>
      </c>
    </row>
    <row r="39" spans="1:47" x14ac:dyDescent="0.25">
      <c r="A39" s="29" t="s">
        <v>79</v>
      </c>
      <c r="B39" s="30" t="s">
        <v>80</v>
      </c>
      <c r="C39" s="14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2.8860000000000001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0.27700000000000002</v>
      </c>
      <c r="AI39" s="15">
        <v>0</v>
      </c>
      <c r="AJ39" s="15">
        <v>0</v>
      </c>
      <c r="AK39" s="15">
        <v>1.6140000000000001</v>
      </c>
      <c r="AL39" s="15">
        <v>1.9610000000000001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0.99399999999999999</v>
      </c>
      <c r="AS39" s="15">
        <v>0</v>
      </c>
      <c r="AT39" s="15">
        <v>14.486000000000001</v>
      </c>
      <c r="AU39" s="16">
        <v>2.2370000000000001</v>
      </c>
    </row>
  </sheetData>
  <sortState xmlns:xlrd2="http://schemas.microsoft.com/office/spreadsheetml/2017/richdata2" ref="A2:AT39">
    <sortCondition ref="B2:B39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237E-D0FA-45E5-9C18-5A9C1C396488}">
  <dimension ref="A1:M39"/>
  <sheetViews>
    <sheetView showGridLines="0" tabSelected="1" zoomScaleNormal="100" workbookViewId="0">
      <selection activeCell="H18" sqref="H18"/>
    </sheetView>
  </sheetViews>
  <sheetFormatPr defaultRowHeight="15" x14ac:dyDescent="0.25"/>
  <cols>
    <col min="1" max="1" width="5.7109375" bestFit="1" customWidth="1"/>
    <col min="2" max="2" width="22.42578125" bestFit="1" customWidth="1"/>
    <col min="3" max="3" width="12.42578125" bestFit="1" customWidth="1"/>
    <col min="4" max="4" width="14.5703125" bestFit="1" customWidth="1"/>
    <col min="5" max="5" width="11.85546875" bestFit="1" customWidth="1"/>
    <col min="6" max="6" width="20.5703125" bestFit="1" customWidth="1"/>
    <col min="7" max="7" width="25.140625" bestFit="1" customWidth="1"/>
    <col min="8" max="9" width="11.5703125" bestFit="1" customWidth="1"/>
    <col min="12" max="12" width="9.5703125" bestFit="1" customWidth="1"/>
  </cols>
  <sheetData>
    <row r="1" spans="1:13" x14ac:dyDescent="0.25">
      <c r="A1" s="4" t="s">
        <v>0</v>
      </c>
      <c r="B1" s="6" t="s">
        <v>1</v>
      </c>
      <c r="C1" s="7" t="s">
        <v>66</v>
      </c>
      <c r="D1" s="5" t="s">
        <v>67</v>
      </c>
      <c r="E1" s="5" t="s">
        <v>68</v>
      </c>
      <c r="F1" s="5" t="s">
        <v>81</v>
      </c>
      <c r="G1" s="6" t="s">
        <v>82</v>
      </c>
    </row>
    <row r="2" spans="1:13" x14ac:dyDescent="0.25">
      <c r="A2" s="17" t="str">
        <f>+Country_year!A2</f>
        <v>AL</v>
      </c>
      <c r="B2" s="18" t="s">
        <v>76</v>
      </c>
      <c r="C2" s="8">
        <f>+Coutry_type!C2/SUM(Coutry_type!$C2:$G2)</f>
        <v>0.7352353437633089</v>
      </c>
      <c r="D2" s="9">
        <f>+Coutry_type!D2/SUM(Coutry_type!$C2:$G2)</f>
        <v>5.3292905602562828E-3</v>
      </c>
      <c r="E2" s="9">
        <f>+Coutry_type!E2/SUM(Coutry_type!$C2:$G2)</f>
        <v>0.22098103872801184</v>
      </c>
      <c r="F2" s="9">
        <f>+Coutry_type!F2/SUM(Coutry_type!$C2:$G2)</f>
        <v>3.8454326948423018E-2</v>
      </c>
      <c r="G2" s="10">
        <f>+Coutry_type!G2/SUM(Coutry_type!$C2:$G2)</f>
        <v>0</v>
      </c>
      <c r="H2" s="1"/>
      <c r="I2" s="1"/>
      <c r="J2" s="2"/>
      <c r="L2" s="3"/>
      <c r="M2" s="3"/>
    </row>
    <row r="3" spans="1:13" x14ac:dyDescent="0.25">
      <c r="A3" s="19" t="s">
        <v>2</v>
      </c>
      <c r="B3" s="20" t="s">
        <v>3</v>
      </c>
      <c r="C3" s="11">
        <f>+Coutry_type!C3/SUM(Coutry_type!$C3:$G3)</f>
        <v>3.840457793459606E-3</v>
      </c>
      <c r="D3" s="12">
        <f>+Coutry_type!D3/SUM(Coutry_type!$C3:$G3)</f>
        <v>0.2116351400728452</v>
      </c>
      <c r="E3" s="12">
        <f>+Coutry_type!E3/SUM(Coutry_type!$C3:$G3)</f>
        <v>0.6130656337110818</v>
      </c>
      <c r="F3" s="12">
        <f>+Coutry_type!F3/SUM(Coutry_type!$C3:$G3)</f>
        <v>8.5955263834710985E-2</v>
      </c>
      <c r="G3" s="13">
        <f>+Coutry_type!G3/SUM(Coutry_type!$C3:$G3)</f>
        <v>8.5503504587902554E-2</v>
      </c>
      <c r="H3" s="1"/>
      <c r="I3" s="1"/>
      <c r="J3" s="2"/>
      <c r="L3" s="3"/>
      <c r="M3" s="3"/>
    </row>
    <row r="4" spans="1:13" x14ac:dyDescent="0.25">
      <c r="A4" s="19" t="s">
        <v>69</v>
      </c>
      <c r="B4" s="20" t="s">
        <v>70</v>
      </c>
      <c r="C4" s="11">
        <f>+Coutry_type!C4/SUM(Coutry_type!$C4:$G4)</f>
        <v>1.1886328049184601E-2</v>
      </c>
      <c r="D4" s="12">
        <f>+Coutry_type!D4/SUM(Coutry_type!$C4:$G4)</f>
        <v>1.4709199133137866E-4</v>
      </c>
      <c r="E4" s="12">
        <f>+Coutry_type!E4/SUM(Coutry_type!$C4:$G4)</f>
        <v>0.50735228679940969</v>
      </c>
      <c r="F4" s="12">
        <f>+Coutry_type!F4/SUM(Coutry_type!$C4:$G4)</f>
        <v>3.812180364014749E-3</v>
      </c>
      <c r="G4" s="13">
        <f>+Coutry_type!G4/SUM(Coutry_type!$C4:$G4)</f>
        <v>0.47680211279605966</v>
      </c>
      <c r="H4" s="1"/>
      <c r="I4" s="1"/>
      <c r="J4" s="2"/>
      <c r="L4" s="3"/>
      <c r="M4" s="3"/>
    </row>
    <row r="5" spans="1:13" x14ac:dyDescent="0.25">
      <c r="A5" s="19" t="s">
        <v>4</v>
      </c>
      <c r="B5" s="20" t="s">
        <v>5</v>
      </c>
      <c r="C5" s="11">
        <f>+Coutry_type!C5/SUM(Coutry_type!$C5:$G5)</f>
        <v>7.914716885241457E-3</v>
      </c>
      <c r="D5" s="12">
        <f>+Coutry_type!D5/SUM(Coutry_type!$C5:$G5)</f>
        <v>0.31727408279796721</v>
      </c>
      <c r="E5" s="12">
        <f>+Coutry_type!E5/SUM(Coutry_type!$C5:$G5)</f>
        <v>0.65934562811697983</v>
      </c>
      <c r="F5" s="12">
        <f>+Coutry_type!F5/SUM(Coutry_type!$C5:$G5)</f>
        <v>0</v>
      </c>
      <c r="G5" s="13">
        <f>+Coutry_type!G5/SUM(Coutry_type!$C5:$G5)</f>
        <v>1.5465572199811645E-2</v>
      </c>
      <c r="H5" s="1"/>
      <c r="I5" s="1"/>
      <c r="J5" s="2"/>
      <c r="L5" s="3"/>
      <c r="M5" s="3"/>
    </row>
    <row r="6" spans="1:13" x14ac:dyDescent="0.25">
      <c r="A6" s="19" t="s">
        <v>6</v>
      </c>
      <c r="B6" s="20" t="s">
        <v>7</v>
      </c>
      <c r="C6" s="11">
        <f>+Coutry_type!C6/SUM(Coutry_type!$C6:$G6)</f>
        <v>1.4775933830875375E-2</v>
      </c>
      <c r="D6" s="12">
        <f>+Coutry_type!D6/SUM(Coutry_type!$C6:$G6)</f>
        <v>0.11646711744017436</v>
      </c>
      <c r="E6" s="12">
        <f>+Coutry_type!E6/SUM(Coutry_type!$C6:$G6)</f>
        <v>0.85473343501313792</v>
      </c>
      <c r="F6" s="12">
        <f>+Coutry_type!F6/SUM(Coutry_type!$C6:$G6)</f>
        <v>1.3996110277698611E-2</v>
      </c>
      <c r="G6" s="13">
        <f>+Coutry_type!G6/SUM(Coutry_type!$C6:$G6)</f>
        <v>2.7403438113641271E-5</v>
      </c>
      <c r="H6" s="1"/>
      <c r="I6" s="1"/>
      <c r="J6" s="2"/>
      <c r="L6" s="3"/>
      <c r="M6" s="3"/>
    </row>
    <row r="7" spans="1:13" x14ac:dyDescent="0.25">
      <c r="A7" s="19" t="s">
        <v>8</v>
      </c>
      <c r="B7" s="20" t="s">
        <v>9</v>
      </c>
      <c r="C7" s="11">
        <f>+Coutry_type!C7/SUM(Coutry_type!$C7:$G7)</f>
        <v>6.8741803064948592E-2</v>
      </c>
      <c r="D7" s="12">
        <f>+Coutry_type!D7/SUM(Coutry_type!$C7:$G7)</f>
        <v>0.39607336364839885</v>
      </c>
      <c r="E7" s="12">
        <f>+Coutry_type!E7/SUM(Coutry_type!$C7:$G7)</f>
        <v>0.51665557435794451</v>
      </c>
      <c r="F7" s="12">
        <f>+Coutry_type!F7/SUM(Coutry_type!$C7:$G7)</f>
        <v>4.0133716833294186E-4</v>
      </c>
      <c r="G7" s="13">
        <f>+Coutry_type!G7/SUM(Coutry_type!$C7:$G7)</f>
        <v>1.8127921760375185E-2</v>
      </c>
      <c r="H7" s="1"/>
      <c r="I7" s="1"/>
      <c r="J7" s="2"/>
      <c r="L7" s="3"/>
      <c r="M7" s="3"/>
    </row>
    <row r="8" spans="1:13" x14ac:dyDescent="0.25">
      <c r="A8" s="19" t="s">
        <v>10</v>
      </c>
      <c r="B8" s="20" t="s">
        <v>11</v>
      </c>
      <c r="C8" s="11">
        <f>+Coutry_type!C8/SUM(Coutry_type!$C8:$G8)</f>
        <v>4.8320617017747557E-2</v>
      </c>
      <c r="D8" s="12">
        <f>+Coutry_type!D8/SUM(Coutry_type!$C8:$G8)</f>
        <v>9.0680461104660812E-2</v>
      </c>
      <c r="E8" s="12">
        <f>+Coutry_type!E8/SUM(Coutry_type!$C8:$G8)</f>
        <v>0</v>
      </c>
      <c r="F8" s="12">
        <f>+Coutry_type!F8/SUM(Coutry_type!$C8:$G8)</f>
        <v>1.3014181456294576E-2</v>
      </c>
      <c r="G8" s="13">
        <f>+Coutry_type!G8/SUM(Coutry_type!$C8:$G8)</f>
        <v>0.84798474042129712</v>
      </c>
      <c r="H8" s="1"/>
      <c r="I8" s="1"/>
      <c r="J8" s="2"/>
      <c r="L8" s="3"/>
      <c r="M8" s="3"/>
    </row>
    <row r="9" spans="1:13" x14ac:dyDescent="0.25">
      <c r="A9" s="19" t="s">
        <v>12</v>
      </c>
      <c r="B9" s="20" t="s">
        <v>13</v>
      </c>
      <c r="C9" s="11">
        <f>+Coutry_type!C9/SUM(Coutry_type!$C9:$G9)</f>
        <v>1.8907738803987137E-3</v>
      </c>
      <c r="D9" s="12">
        <f>+Coutry_type!D9/SUM(Coutry_type!$C9:$G9)</f>
        <v>0.13246827639281827</v>
      </c>
      <c r="E9" s="12">
        <f>+Coutry_type!E9/SUM(Coutry_type!$C9:$G9)</f>
        <v>0.81067844983022197</v>
      </c>
      <c r="F9" s="12">
        <f>+Coutry_type!F9/SUM(Coutry_type!$C9:$G9)</f>
        <v>1.7985935967090749E-2</v>
      </c>
      <c r="G9" s="13">
        <f>+Coutry_type!G9/SUM(Coutry_type!$C9:$G9)</f>
        <v>3.6976563929470192E-2</v>
      </c>
      <c r="H9" s="1"/>
      <c r="I9" s="1"/>
      <c r="J9" s="2"/>
      <c r="L9" s="3"/>
      <c r="M9" s="3"/>
    </row>
    <row r="10" spans="1:13" x14ac:dyDescent="0.25">
      <c r="A10" s="19" t="s">
        <v>14</v>
      </c>
      <c r="B10" s="20" t="s">
        <v>15</v>
      </c>
      <c r="C10" s="11">
        <f>+Coutry_type!C10/SUM(Coutry_type!$C10:$G10)</f>
        <v>2.555902449765958E-4</v>
      </c>
      <c r="D10" s="12">
        <f>+Coutry_type!D10/SUM(Coutry_type!$C10:$G10)</f>
        <v>0.42635702298598427</v>
      </c>
      <c r="E10" s="12">
        <f>+Coutry_type!E10/SUM(Coutry_type!$C10:$G10)</f>
        <v>0.42806710380029916</v>
      </c>
      <c r="F10" s="12">
        <f>+Coutry_type!F10/SUM(Coutry_type!$C10:$G10)</f>
        <v>2.8322826697169186E-2</v>
      </c>
      <c r="G10" s="13">
        <f>+Coutry_type!G10/SUM(Coutry_type!$C10:$G10)</f>
        <v>0.11699745627157077</v>
      </c>
      <c r="H10" s="1"/>
      <c r="I10" s="1"/>
      <c r="J10" s="2"/>
      <c r="L10" s="3"/>
      <c r="M10" s="3"/>
    </row>
    <row r="11" spans="1:13" x14ac:dyDescent="0.25">
      <c r="A11" s="19" t="s">
        <v>16</v>
      </c>
      <c r="B11" s="20" t="s">
        <v>17</v>
      </c>
      <c r="C11" s="11">
        <f>+Coutry_type!C11/SUM(Coutry_type!$C11:$G11)</f>
        <v>0</v>
      </c>
      <c r="D11" s="12">
        <f>+Coutry_type!D11/SUM(Coutry_type!$C11:$G11)</f>
        <v>0.65923150991237733</v>
      </c>
      <c r="E11" s="12">
        <f>+Coutry_type!E11/SUM(Coutry_type!$C11:$G11)</f>
        <v>0.2203334795493693</v>
      </c>
      <c r="F11" s="12">
        <f>+Coutry_type!F11/SUM(Coutry_type!$C11:$G11)</f>
        <v>0</v>
      </c>
      <c r="G11" s="13">
        <f>+Coutry_type!G11/SUM(Coutry_type!$C11:$G11)</f>
        <v>0.12043501053825333</v>
      </c>
      <c r="H11" s="1"/>
      <c r="I11" s="1"/>
      <c r="J11" s="2"/>
      <c r="L11" s="3"/>
      <c r="M11" s="3"/>
    </row>
    <row r="12" spans="1:13" x14ac:dyDescent="0.25">
      <c r="A12" s="19" t="s">
        <v>18</v>
      </c>
      <c r="B12" s="20" t="s">
        <v>19</v>
      </c>
      <c r="C12" s="11">
        <f>+Coutry_type!C12/SUM(Coutry_type!$C12:$G12)</f>
        <v>0</v>
      </c>
      <c r="D12" s="12">
        <f>+Coutry_type!D12/SUM(Coutry_type!$C12:$G12)</f>
        <v>0.94106319708937225</v>
      </c>
      <c r="E12" s="12">
        <f>+Coutry_type!E12/SUM(Coutry_type!$C12:$G12)</f>
        <v>2.7890675369011807E-3</v>
      </c>
      <c r="F12" s="12">
        <f>+Coutry_type!F12/SUM(Coutry_type!$C12:$G12)</f>
        <v>0</v>
      </c>
      <c r="G12" s="13">
        <f>+Coutry_type!G12/SUM(Coutry_type!$C12:$G12)</f>
        <v>5.6147735373726519E-2</v>
      </c>
      <c r="H12" s="1"/>
      <c r="I12" s="1"/>
      <c r="J12" s="2"/>
      <c r="L12" s="3"/>
      <c r="M12" s="3"/>
    </row>
    <row r="13" spans="1:13" x14ac:dyDescent="0.25">
      <c r="A13" s="19" t="s">
        <v>20</v>
      </c>
      <c r="B13" s="20" t="s">
        <v>21</v>
      </c>
      <c r="C13" s="11">
        <f>+Coutry_type!C13/SUM(Coutry_type!$C13:$G13)</f>
        <v>0.37279895606108565</v>
      </c>
      <c r="D13" s="12">
        <f>+Coutry_type!D13/SUM(Coutry_type!$C13:$G13)</f>
        <v>0.12717353977372875</v>
      </c>
      <c r="E13" s="12">
        <f>+Coutry_type!E13/SUM(Coutry_type!$C13:$G13)</f>
        <v>0.22578881637486334</v>
      </c>
      <c r="F13" s="12">
        <f>+Coutry_type!F13/SUM(Coutry_type!$C13:$G13)</f>
        <v>0.17976208588848624</v>
      </c>
      <c r="G13" s="13">
        <f>+Coutry_type!G13/SUM(Coutry_type!$C13:$G13)</f>
        <v>9.4476601901835947E-2</v>
      </c>
      <c r="H13" s="1"/>
      <c r="I13" s="1"/>
      <c r="J13" s="2"/>
      <c r="L13" s="3"/>
      <c r="M13" s="3"/>
    </row>
    <row r="14" spans="1:13" x14ac:dyDescent="0.25">
      <c r="A14" s="19" t="s">
        <v>22</v>
      </c>
      <c r="B14" s="20" t="s">
        <v>23</v>
      </c>
      <c r="C14" s="11">
        <f>+Coutry_type!C14/SUM(Coutry_type!$C14:$G14)</f>
        <v>2.2280572629214204E-2</v>
      </c>
      <c r="D14" s="12">
        <f>+Coutry_type!D14/SUM(Coutry_type!$C14:$G14)</f>
        <v>0.15314610930500069</v>
      </c>
      <c r="E14" s="12">
        <f>+Coutry_type!E14/SUM(Coutry_type!$C14:$G14)</f>
        <v>0.45130982533841518</v>
      </c>
      <c r="F14" s="12">
        <f>+Coutry_type!F14/SUM(Coutry_type!$C14:$G14)</f>
        <v>0.1241362250272906</v>
      </c>
      <c r="G14" s="13">
        <f>+Coutry_type!G14/SUM(Coutry_type!$C14:$G14)</f>
        <v>0.2491272677000792</v>
      </c>
      <c r="H14" s="1"/>
      <c r="I14" s="1"/>
      <c r="J14" s="2"/>
      <c r="L14" s="3"/>
      <c r="M14" s="3"/>
    </row>
    <row r="15" spans="1:13" x14ac:dyDescent="0.25">
      <c r="A15" s="19" t="s">
        <v>24</v>
      </c>
      <c r="B15" s="20" t="s">
        <v>25</v>
      </c>
      <c r="C15" s="11">
        <f>+Coutry_type!C15/SUM(Coutry_type!$C15:$G15)</f>
        <v>0</v>
      </c>
      <c r="D15" s="12">
        <f>+Coutry_type!D15/SUM(Coutry_type!$C15:$G15)</f>
        <v>0.20235613484244414</v>
      </c>
      <c r="E15" s="12">
        <f>+Coutry_type!E15/SUM(Coutry_type!$C15:$G15)</f>
        <v>0.23520067766328356</v>
      </c>
      <c r="F15" s="12">
        <f>+Coutry_type!F15/SUM(Coutry_type!$C15:$G15)</f>
        <v>0.56244318749427236</v>
      </c>
      <c r="G15" s="13">
        <f>+Coutry_type!G15/SUM(Coutry_type!$C15:$G15)</f>
        <v>0</v>
      </c>
      <c r="H15" s="1"/>
      <c r="I15" s="1"/>
      <c r="J15" s="2"/>
      <c r="L15" s="3"/>
      <c r="M15" s="3"/>
    </row>
    <row r="16" spans="1:13" x14ac:dyDescent="0.25">
      <c r="A16" s="19" t="s">
        <v>26</v>
      </c>
      <c r="B16" s="20" t="s">
        <v>27</v>
      </c>
      <c r="C16" s="11">
        <f>+Coutry_type!C16/SUM(Coutry_type!$C16:$G16)</f>
        <v>5.2507784989566869E-3</v>
      </c>
      <c r="D16" s="12">
        <f>+Coutry_type!D16/SUM(Coutry_type!$C16:$G16)</f>
        <v>0.39406715237598883</v>
      </c>
      <c r="E16" s="12">
        <f>+Coutry_type!E16/SUM(Coutry_type!$C16:$G16)</f>
        <v>0.31751178736491753</v>
      </c>
      <c r="F16" s="12">
        <f>+Coutry_type!F16/SUM(Coutry_type!$C16:$G16)</f>
        <v>0.11294917742492619</v>
      </c>
      <c r="G16" s="13">
        <f>+Coutry_type!G16/SUM(Coutry_type!$C16:$G16)</f>
        <v>0.17022110433521084</v>
      </c>
      <c r="H16" s="1"/>
      <c r="I16" s="1"/>
      <c r="J16" s="2"/>
      <c r="L16" s="3"/>
      <c r="M16" s="3"/>
    </row>
    <row r="17" spans="1:13" x14ac:dyDescent="0.25">
      <c r="A17" s="19" t="s">
        <v>28</v>
      </c>
      <c r="B17" s="20" t="s">
        <v>29</v>
      </c>
      <c r="C17" s="11">
        <f>+Coutry_type!C17/SUM(Coutry_type!$C17:$G17)</f>
        <v>0.21479683966558125</v>
      </c>
      <c r="D17" s="12">
        <f>+Coutry_type!D17/SUM(Coutry_type!$C17:$G17)</f>
        <v>8.3784824659324256E-2</v>
      </c>
      <c r="E17" s="12">
        <f>+Coutry_type!E17/SUM(Coutry_type!$C17:$G17)</f>
        <v>0.36182775919123306</v>
      </c>
      <c r="F17" s="12">
        <f>+Coutry_type!F17/SUM(Coutry_type!$C17:$G17)</f>
        <v>1.5116694543724152E-2</v>
      </c>
      <c r="G17" s="13">
        <f>+Coutry_type!G17/SUM(Coutry_type!$C17:$G17)</f>
        <v>0.32447388194013721</v>
      </c>
      <c r="H17" s="1"/>
      <c r="I17" s="1"/>
      <c r="J17" s="2"/>
      <c r="L17" s="3"/>
      <c r="M17" s="3"/>
    </row>
    <row r="18" spans="1:13" x14ac:dyDescent="0.25">
      <c r="A18" s="19" t="s">
        <v>30</v>
      </c>
      <c r="B18" s="20" t="s">
        <v>31</v>
      </c>
      <c r="C18" s="11">
        <f>+Coutry_type!C18/SUM(Coutry_type!$C18:$G18)</f>
        <v>2.7795339196456069E-3</v>
      </c>
      <c r="D18" s="12">
        <f>+Coutry_type!D18/SUM(Coutry_type!$C18:$G18)</f>
        <v>3.6485497943465554E-2</v>
      </c>
      <c r="E18" s="12">
        <f>+Coutry_type!E18/SUM(Coutry_type!$C18:$G18)</f>
        <v>0.32601917865173496</v>
      </c>
      <c r="F18" s="12">
        <f>+Coutry_type!F18/SUM(Coutry_type!$C18:$G18)</f>
        <v>9.5886253997238752E-5</v>
      </c>
      <c r="G18" s="13">
        <f>+Coutry_type!G18/SUM(Coutry_type!$C18:$G18)</f>
        <v>0.63461990323115658</v>
      </c>
      <c r="H18" s="1"/>
      <c r="I18" s="1"/>
      <c r="J18" s="2"/>
      <c r="L18" s="3"/>
      <c r="M18" s="3"/>
    </row>
    <row r="19" spans="1:13" x14ac:dyDescent="0.25">
      <c r="A19" s="19" t="s">
        <v>32</v>
      </c>
      <c r="B19" s="20" t="s">
        <v>33</v>
      </c>
      <c r="C19" s="11">
        <f>+Coutry_type!C19/SUM(Coutry_type!$C19:$G19)</f>
        <v>0</v>
      </c>
      <c r="D19" s="12">
        <f>+Coutry_type!D19/SUM(Coutry_type!$C19:$G19)</f>
        <v>0.62800017297698141</v>
      </c>
      <c r="E19" s="12">
        <f>+Coutry_type!E19/SUM(Coutry_type!$C19:$G19)</f>
        <v>0.37199982702301859</v>
      </c>
      <c r="F19" s="12">
        <f>+Coutry_type!F19/SUM(Coutry_type!$C19:$G19)</f>
        <v>0</v>
      </c>
      <c r="G19" s="13">
        <f>+Coutry_type!G19/SUM(Coutry_type!$C19:$G19)</f>
        <v>0</v>
      </c>
      <c r="H19" s="1"/>
      <c r="I19" s="1"/>
      <c r="J19" s="2"/>
      <c r="L19" s="3"/>
      <c r="M19" s="3"/>
    </row>
    <row r="20" spans="1:13" x14ac:dyDescent="0.25">
      <c r="A20" s="19" t="s">
        <v>34</v>
      </c>
      <c r="B20" s="20" t="s">
        <v>35</v>
      </c>
      <c r="C20" s="11">
        <f>+Coutry_type!C20/SUM(Coutry_type!$C20:$G20)</f>
        <v>0.93827812961030554</v>
      </c>
      <c r="D20" s="12">
        <f>+Coutry_type!D20/SUM(Coutry_type!$C20:$G20)</f>
        <v>7.7003346407110212E-3</v>
      </c>
      <c r="E20" s="12">
        <f>+Coutry_type!E20/SUM(Coutry_type!$C20:$G20)</f>
        <v>5.4021535748983482E-2</v>
      </c>
      <c r="F20" s="12">
        <f>+Coutry_type!F20/SUM(Coutry_type!$C20:$G20)</f>
        <v>0</v>
      </c>
      <c r="G20" s="13">
        <f>+Coutry_type!G20/SUM(Coutry_type!$C20:$G20)</f>
        <v>0</v>
      </c>
      <c r="H20" s="1"/>
      <c r="I20" s="1"/>
      <c r="J20" s="2"/>
      <c r="L20" s="3"/>
      <c r="M20" s="3"/>
    </row>
    <row r="21" spans="1:13" x14ac:dyDescent="0.25">
      <c r="A21" s="19" t="s">
        <v>36</v>
      </c>
      <c r="B21" s="20" t="s">
        <v>37</v>
      </c>
      <c r="C21" s="11">
        <f>+Coutry_type!C21/SUM(Coutry_type!$C21:$G21)</f>
        <v>0.42851497576511116</v>
      </c>
      <c r="D21" s="12">
        <f>+Coutry_type!D21/SUM(Coutry_type!$C21:$G21)</f>
        <v>8.1295565848805082E-2</v>
      </c>
      <c r="E21" s="12">
        <f>+Coutry_type!E21/SUM(Coutry_type!$C21:$G21)</f>
        <v>0.30757573038758979</v>
      </c>
      <c r="F21" s="12">
        <f>+Coutry_type!F21/SUM(Coutry_type!$C21:$G21)</f>
        <v>5.1254944293519109E-2</v>
      </c>
      <c r="G21" s="13">
        <f>+Coutry_type!G21/SUM(Coutry_type!$C21:$G21)</f>
        <v>0.13135878370497484</v>
      </c>
      <c r="H21" s="1"/>
      <c r="I21" s="1"/>
      <c r="J21" s="2"/>
      <c r="L21" s="3"/>
      <c r="M21" s="3"/>
    </row>
    <row r="22" spans="1:13" x14ac:dyDescent="0.25">
      <c r="A22" s="19" t="s">
        <v>38</v>
      </c>
      <c r="B22" s="20" t="s">
        <v>39</v>
      </c>
      <c r="C22" s="11">
        <f>+Coutry_type!C22/SUM(Coutry_type!$C22:$G22)</f>
        <v>0</v>
      </c>
      <c r="D22" s="12">
        <f>+Coutry_type!D22/SUM(Coutry_type!$C22:$G22)</f>
        <v>4.9295774647887321E-2</v>
      </c>
      <c r="E22" s="12">
        <f>+Coutry_type!E22/SUM(Coutry_type!$C22:$G22)</f>
        <v>0.44451421907239613</v>
      </c>
      <c r="F22" s="12">
        <f>+Coutry_type!F22/SUM(Coutry_type!$C22:$G22)</f>
        <v>0.50619000627971655</v>
      </c>
      <c r="G22" s="13">
        <f>+Coutry_type!G22/SUM(Coutry_type!$C22:$G22)</f>
        <v>0</v>
      </c>
      <c r="H22" s="1"/>
      <c r="I22" s="1"/>
      <c r="J22" s="2"/>
      <c r="L22" s="3"/>
      <c r="M22" s="3"/>
    </row>
    <row r="23" spans="1:13" x14ac:dyDescent="0.25">
      <c r="A23" s="19" t="s">
        <v>40</v>
      </c>
      <c r="B23" s="20" t="s">
        <v>41</v>
      </c>
      <c r="C23" s="11">
        <f>+Coutry_type!C23/SUM(Coutry_type!$C23:$G23)</f>
        <v>0</v>
      </c>
      <c r="D23" s="12">
        <f>+Coutry_type!D23/SUM(Coutry_type!$C23:$G23)</f>
        <v>6.493636876637103E-2</v>
      </c>
      <c r="E23" s="12">
        <f>+Coutry_type!E23/SUM(Coutry_type!$C23:$G23)</f>
        <v>0.40820240712198158</v>
      </c>
      <c r="F23" s="12">
        <f>+Coutry_type!F23/SUM(Coutry_type!$C23:$G23)</f>
        <v>0.14766623712425567</v>
      </c>
      <c r="G23" s="13">
        <f>+Coutry_type!G23/SUM(Coutry_type!$C23:$G23)</f>
        <v>0.37919498698739168</v>
      </c>
      <c r="H23" s="1"/>
      <c r="I23" s="1"/>
      <c r="J23" s="2"/>
      <c r="L23" s="3"/>
      <c r="M23" s="3"/>
    </row>
    <row r="24" spans="1:13" x14ac:dyDescent="0.25">
      <c r="A24" s="19" t="s">
        <v>42</v>
      </c>
      <c r="B24" s="20" t="s">
        <v>43</v>
      </c>
      <c r="C24" s="11">
        <f>+Coutry_type!C24/SUM(Coutry_type!$C24:$G24)</f>
        <v>0</v>
      </c>
      <c r="D24" s="12">
        <f>+Coutry_type!D24/SUM(Coutry_type!$C24:$G24)</f>
        <v>0.7946493192442291</v>
      </c>
      <c r="E24" s="12">
        <f>+Coutry_type!E24/SUM(Coutry_type!$C24:$G24)</f>
        <v>0.20535068075577087</v>
      </c>
      <c r="F24" s="12">
        <f>+Coutry_type!F24/SUM(Coutry_type!$C24:$G24)</f>
        <v>0</v>
      </c>
      <c r="G24" s="13">
        <f>+Coutry_type!G24/SUM(Coutry_type!$C24:$G24)</f>
        <v>0</v>
      </c>
      <c r="H24" s="1"/>
      <c r="I24" s="1"/>
      <c r="J24" s="2"/>
      <c r="L24" s="3"/>
      <c r="M24" s="3"/>
    </row>
    <row r="25" spans="1:13" x14ac:dyDescent="0.25">
      <c r="A25" s="19" t="s">
        <v>44</v>
      </c>
      <c r="B25" s="20" t="s">
        <v>45</v>
      </c>
      <c r="C25" s="11">
        <f>+Coutry_type!C25/SUM(Coutry_type!$C25:$G25)</f>
        <v>0</v>
      </c>
      <c r="D25" s="12">
        <f>+Coutry_type!D25/SUM(Coutry_type!$C25:$G25)</f>
        <v>0.45564515199771388</v>
      </c>
      <c r="E25" s="12">
        <f>+Coutry_type!E25/SUM(Coutry_type!$C25:$G25)</f>
        <v>0.45118197398451171</v>
      </c>
      <c r="F25" s="12">
        <f>+Coutry_type!F25/SUM(Coutry_type!$C25:$G25)</f>
        <v>9.3172874017774354E-2</v>
      </c>
      <c r="G25" s="13">
        <f>+Coutry_type!G25/SUM(Coutry_type!$C25:$G25)</f>
        <v>0</v>
      </c>
      <c r="H25" s="1"/>
      <c r="I25" s="1"/>
      <c r="J25" s="2"/>
      <c r="L25" s="3"/>
      <c r="M25" s="3"/>
    </row>
    <row r="26" spans="1:13" x14ac:dyDescent="0.25">
      <c r="A26" s="19" t="s">
        <v>71</v>
      </c>
      <c r="B26" s="20" t="s">
        <v>72</v>
      </c>
      <c r="C26" s="11">
        <f>+Coutry_type!C26/SUM(Coutry_type!$C26:$G26)</f>
        <v>4.4487315743265102E-2</v>
      </c>
      <c r="D26" s="12">
        <f>+Coutry_type!D26/SUM(Coutry_type!$C26:$G26)</f>
        <v>0.40404787209463522</v>
      </c>
      <c r="E26" s="12">
        <f>+Coutry_type!E26/SUM(Coutry_type!$C26:$G26)</f>
        <v>0.39426320410332238</v>
      </c>
      <c r="F26" s="12">
        <f>+Coutry_type!F26/SUM(Coutry_type!$C26:$G26)</f>
        <v>0.15720160805877734</v>
      </c>
      <c r="G26" s="13">
        <f>+Coutry_type!G26/SUM(Coutry_type!$C26:$G26)</f>
        <v>0</v>
      </c>
      <c r="H26" s="1"/>
      <c r="I26" s="1"/>
      <c r="J26" s="2"/>
      <c r="L26" s="3"/>
      <c r="M26" s="3"/>
    </row>
    <row r="27" spans="1:13" x14ac:dyDescent="0.25">
      <c r="A27" s="19" t="s">
        <v>73</v>
      </c>
      <c r="B27" s="20" t="s">
        <v>74</v>
      </c>
      <c r="C27" s="11">
        <f>+Coutry_type!C27/SUM(Coutry_type!$C27:$G27)</f>
        <v>0.11870048541771865</v>
      </c>
      <c r="D27" s="12">
        <f>+Coutry_type!D27/SUM(Coutry_type!$C27:$G27)</f>
        <v>1.6856709429401986E-3</v>
      </c>
      <c r="E27" s="12">
        <f>+Coutry_type!E27/SUM(Coutry_type!$C27:$G27)</f>
        <v>0.72987416717286613</v>
      </c>
      <c r="F27" s="12">
        <f>+Coutry_type!F27/SUM(Coutry_type!$C27:$G27)</f>
        <v>0.14973967646647501</v>
      </c>
      <c r="G27" s="13">
        <f>+Coutry_type!G27/SUM(Coutry_type!$C27:$G27)</f>
        <v>0</v>
      </c>
      <c r="H27" s="1"/>
      <c r="I27" s="1"/>
      <c r="J27" s="2"/>
      <c r="L27" s="3"/>
      <c r="M27" s="3"/>
    </row>
    <row r="28" spans="1:13" x14ac:dyDescent="0.25">
      <c r="A28" s="19" t="s">
        <v>46</v>
      </c>
      <c r="B28" s="20" t="s">
        <v>47</v>
      </c>
      <c r="C28" s="11">
        <f>+Coutry_type!C28/SUM(Coutry_type!$C28:$G28)</f>
        <v>0</v>
      </c>
      <c r="D28" s="12">
        <f>+Coutry_type!D28/SUM(Coutry_type!$C28:$G28)</f>
        <v>0.36437516653343993</v>
      </c>
      <c r="E28" s="12">
        <f>+Coutry_type!E28/SUM(Coutry_type!$C28:$G28)</f>
        <v>0.63562483346656007</v>
      </c>
      <c r="F28" s="12">
        <f>+Coutry_type!F28/SUM(Coutry_type!$C28:$G28)</f>
        <v>0</v>
      </c>
      <c r="G28" s="13">
        <f>+Coutry_type!G28/SUM(Coutry_type!$C28:$G28)</f>
        <v>0</v>
      </c>
      <c r="H28" s="1"/>
      <c r="I28" s="1"/>
      <c r="J28" s="2"/>
      <c r="L28" s="3"/>
      <c r="M28" s="3"/>
    </row>
    <row r="29" spans="1:13" x14ac:dyDescent="0.25">
      <c r="A29" s="19" t="s">
        <v>48</v>
      </c>
      <c r="B29" s="20" t="s">
        <v>49</v>
      </c>
      <c r="C29" s="11">
        <f>+Coutry_type!C29/SUM(Coutry_type!$C29:$G29)</f>
        <v>2.7491765830600607E-2</v>
      </c>
      <c r="D29" s="12">
        <f>+Coutry_type!D29/SUM(Coutry_type!$C29:$G29)</f>
        <v>0.83019039490006286</v>
      </c>
      <c r="E29" s="12">
        <f>+Coutry_type!E29/SUM(Coutry_type!$C29:$G29)</f>
        <v>0.14226121018915067</v>
      </c>
      <c r="F29" s="12">
        <f>+Coutry_type!F29/SUM(Coutry_type!$C29:$G29)</f>
        <v>0</v>
      </c>
      <c r="G29" s="13">
        <f>+Coutry_type!G29/SUM(Coutry_type!$C29:$G29)</f>
        <v>5.6629080185822706E-5</v>
      </c>
      <c r="H29" s="1"/>
      <c r="I29" s="1"/>
      <c r="J29" s="2"/>
      <c r="L29" s="3"/>
      <c r="M29" s="3"/>
    </row>
    <row r="30" spans="1:13" x14ac:dyDescent="0.25">
      <c r="A30" s="19" t="s">
        <v>50</v>
      </c>
      <c r="B30" s="20" t="s">
        <v>51</v>
      </c>
      <c r="C30" s="11">
        <f>+Coutry_type!C30/SUM(Coutry_type!$C30:$G30)</f>
        <v>7.7799458442712743E-2</v>
      </c>
      <c r="D30" s="12">
        <f>+Coutry_type!D30/SUM(Coutry_type!$C30:$G30)</f>
        <v>0.65277579114905215</v>
      </c>
      <c r="E30" s="12">
        <f>+Coutry_type!E30/SUM(Coutry_type!$C30:$G30)</f>
        <v>0.26848942723082325</v>
      </c>
      <c r="F30" s="12">
        <f>+Coutry_type!F30/SUM(Coutry_type!$C30:$G30)</f>
        <v>7.7533640629198612E-4</v>
      </c>
      <c r="G30" s="13">
        <f>+Coutry_type!G30/SUM(Coutry_type!$C30:$G30)</f>
        <v>1.5998677111970068E-4</v>
      </c>
      <c r="H30" s="1"/>
      <c r="I30" s="1"/>
      <c r="J30" s="2"/>
      <c r="L30" s="3"/>
      <c r="M30" s="3"/>
    </row>
    <row r="31" spans="1:13" x14ac:dyDescent="0.25">
      <c r="A31" s="19" t="s">
        <v>52</v>
      </c>
      <c r="B31" s="20" t="s">
        <v>53</v>
      </c>
      <c r="C31" s="11">
        <f>+Coutry_type!C31/SUM(Coutry_type!$C31:$G31)</f>
        <v>1.6903562375201301E-3</v>
      </c>
      <c r="D31" s="12">
        <f>+Coutry_type!D31/SUM(Coutry_type!$C31:$G31)</f>
        <v>2.9985126010749968E-2</v>
      </c>
      <c r="E31" s="12">
        <f>+Coutry_type!E31/SUM(Coutry_type!$C31:$G31)</f>
        <v>0.91274238970940191</v>
      </c>
      <c r="F31" s="12">
        <f>+Coutry_type!F31/SUM(Coutry_type!$C31:$G31)</f>
        <v>4.0938018648300715E-3</v>
      </c>
      <c r="G31" s="13">
        <f>+Coutry_type!G31/SUM(Coutry_type!$C31:$G31)</f>
        <v>5.1488326177497892E-2</v>
      </c>
      <c r="H31" s="1"/>
      <c r="I31" s="1"/>
      <c r="J31" s="2"/>
      <c r="L31" s="3"/>
      <c r="M31" s="3"/>
    </row>
    <row r="32" spans="1:13" x14ac:dyDescent="0.25">
      <c r="A32" s="19" t="s">
        <v>54</v>
      </c>
      <c r="B32" s="20" t="s">
        <v>55</v>
      </c>
      <c r="C32" s="11">
        <f>+Coutry_type!C32/SUM(Coutry_type!$C32:$G32)</f>
        <v>8.6833131980003867E-3</v>
      </c>
      <c r="D32" s="12">
        <f>+Coutry_type!D32/SUM(Coutry_type!$C32:$G32)</f>
        <v>0.12166954161859325</v>
      </c>
      <c r="E32" s="12">
        <f>+Coutry_type!E32/SUM(Coutry_type!$C32:$G32)</f>
        <v>0.13082483810215212</v>
      </c>
      <c r="F32" s="12">
        <f>+Coutry_type!F32/SUM(Coutry_type!$C32:$G32)</f>
        <v>0.45665037084240567</v>
      </c>
      <c r="G32" s="13">
        <f>+Coutry_type!G32/SUM(Coutry_type!$C32:$G32)</f>
        <v>0.28217193623884862</v>
      </c>
      <c r="H32" s="1"/>
      <c r="I32" s="1"/>
      <c r="J32" s="2"/>
      <c r="L32" s="3"/>
      <c r="M32" s="3"/>
    </row>
    <row r="33" spans="1:13" x14ac:dyDescent="0.25">
      <c r="A33" s="19" t="s">
        <v>56</v>
      </c>
      <c r="B33" s="20" t="s">
        <v>57</v>
      </c>
      <c r="C33" s="11">
        <f>+Coutry_type!C33/SUM(Coutry_type!$C33:$G33)</f>
        <v>0.12053452483622952</v>
      </c>
      <c r="D33" s="12">
        <f>+Coutry_type!D33/SUM(Coutry_type!$C33:$G33)</f>
        <v>3.0010459291337139E-3</v>
      </c>
      <c r="E33" s="12">
        <f>+Coutry_type!E33/SUM(Coutry_type!$C33:$G33)</f>
        <v>0.55212569499238484</v>
      </c>
      <c r="F33" s="12">
        <f>+Coutry_type!F33/SUM(Coutry_type!$C33:$G33)</f>
        <v>1.2740811420812155E-2</v>
      </c>
      <c r="G33" s="13">
        <f>+Coutry_type!G33/SUM(Coutry_type!$C33:$G33)</f>
        <v>0.31159792282143967</v>
      </c>
      <c r="H33" s="1"/>
      <c r="I33" s="1"/>
      <c r="J33" s="2"/>
      <c r="L33" s="3"/>
      <c r="M33" s="3"/>
    </row>
    <row r="34" spans="1:13" x14ac:dyDescent="0.25">
      <c r="A34" s="19" t="s">
        <v>77</v>
      </c>
      <c r="B34" s="20" t="s">
        <v>78</v>
      </c>
      <c r="C34" s="11">
        <f>+Coutry_type!C34/SUM(Coutry_type!$C34:$G34)</f>
        <v>1.6325643198940344E-2</v>
      </c>
      <c r="D34" s="12">
        <f>+Coutry_type!D34/SUM(Coutry_type!$C34:$G34)</f>
        <v>1.014371810421568E-3</v>
      </c>
      <c r="E34" s="12">
        <f>+Coutry_type!E34/SUM(Coutry_type!$C34:$G34)</f>
        <v>0.22670999539204431</v>
      </c>
      <c r="F34" s="12">
        <f>+Coutry_type!F34/SUM(Coutry_type!$C34:$G34)</f>
        <v>0.1031255562065382</v>
      </c>
      <c r="G34" s="13">
        <f>+Coutry_type!G34/SUM(Coutry_type!$C34:$G34)</f>
        <v>0.65282443339205554</v>
      </c>
      <c r="H34" s="1"/>
      <c r="I34" s="1"/>
      <c r="J34" s="2"/>
      <c r="L34" s="3"/>
      <c r="M34" s="3"/>
    </row>
    <row r="35" spans="1:13" x14ac:dyDescent="0.25">
      <c r="A35" s="19" t="s">
        <v>58</v>
      </c>
      <c r="B35" s="20" t="s">
        <v>59</v>
      </c>
      <c r="C35" s="11">
        <f>+Coutry_type!C35/SUM(Coutry_type!$C35:$G35)</f>
        <v>0</v>
      </c>
      <c r="D35" s="12">
        <f>+Coutry_type!D35/SUM(Coutry_type!$C35:$G35)</f>
        <v>0.89243225056569331</v>
      </c>
      <c r="E35" s="12">
        <f>+Coutry_type!E35/SUM(Coutry_type!$C35:$G35)</f>
        <v>5.0933938966975609E-2</v>
      </c>
      <c r="F35" s="12">
        <f>+Coutry_type!F35/SUM(Coutry_type!$C35:$G35)</f>
        <v>5.6633810467330986E-2</v>
      </c>
      <c r="G35" s="13">
        <f>+Coutry_type!G35/SUM(Coutry_type!$C35:$G35)</f>
        <v>0</v>
      </c>
      <c r="H35" s="1"/>
      <c r="I35" s="1"/>
      <c r="J35" s="2"/>
      <c r="L35" s="3"/>
      <c r="M35" s="3"/>
    </row>
    <row r="36" spans="1:13" x14ac:dyDescent="0.25">
      <c r="A36" s="19" t="s">
        <v>60</v>
      </c>
      <c r="B36" s="20" t="s">
        <v>61</v>
      </c>
      <c r="C36" s="11">
        <f>+Coutry_type!C36/SUM(Coutry_type!$C36:$G36)</f>
        <v>3.7998912268333452E-3</v>
      </c>
      <c r="D36" s="12">
        <f>+Coutry_type!D36/SUM(Coutry_type!$C36:$G36)</f>
        <v>8.9144025041655153E-2</v>
      </c>
      <c r="E36" s="12">
        <f>+Coutry_type!E36/SUM(Coutry_type!$C36:$G36)</f>
        <v>0.79778848379057188</v>
      </c>
      <c r="F36" s="12">
        <f>+Coutry_type!F36/SUM(Coutry_type!$C36:$G36)</f>
        <v>1.2674461987098914E-2</v>
      </c>
      <c r="G36" s="13">
        <f>+Coutry_type!G36/SUM(Coutry_type!$C36:$G36)</f>
        <v>9.6593137953840794E-2</v>
      </c>
      <c r="H36" s="1"/>
      <c r="I36" s="1"/>
      <c r="J36" s="2"/>
      <c r="L36" s="3"/>
      <c r="M36" s="3"/>
    </row>
    <row r="37" spans="1:13" x14ac:dyDescent="0.25">
      <c r="A37" s="19" t="s">
        <v>62</v>
      </c>
      <c r="B37" s="20" t="s">
        <v>63</v>
      </c>
      <c r="C37" s="11">
        <f>+Coutry_type!C37/SUM(Coutry_type!$C37:$G37)</f>
        <v>7.00784960175502E-3</v>
      </c>
      <c r="D37" s="12">
        <f>+Coutry_type!D37/SUM(Coutry_type!$C37:$G37)</f>
        <v>0.26968983322322909</v>
      </c>
      <c r="E37" s="12">
        <f>+Coutry_type!E37/SUM(Coutry_type!$C37:$G37)</f>
        <v>0.57410301394792274</v>
      </c>
      <c r="F37" s="12">
        <f>+Coutry_type!F37/SUM(Coutry_type!$C37:$G37)</f>
        <v>0</v>
      </c>
      <c r="G37" s="13">
        <f>+Coutry_type!G37/SUM(Coutry_type!$C37:$G37)</f>
        <v>0.1491993032270931</v>
      </c>
      <c r="H37" s="1"/>
      <c r="I37" s="1"/>
      <c r="J37" s="2"/>
      <c r="L37" s="3"/>
      <c r="M37" s="3"/>
    </row>
    <row r="38" spans="1:13" x14ac:dyDescent="0.25">
      <c r="A38" s="19" t="s">
        <v>64</v>
      </c>
      <c r="B38" s="20" t="s">
        <v>65</v>
      </c>
      <c r="C38" s="11">
        <f>+Coutry_type!C38/SUM(Coutry_type!$C38:$G38)</f>
        <v>0.9378121223178767</v>
      </c>
      <c r="D38" s="12">
        <f>+Coutry_type!D38/SUM(Coutry_type!$C38:$G38)</f>
        <v>5.4241550650248353E-3</v>
      </c>
      <c r="E38" s="12">
        <f>+Coutry_type!E38/SUM(Coutry_type!$C38:$G38)</f>
        <v>5.4330530518161536E-2</v>
      </c>
      <c r="F38" s="12">
        <f>+Coutry_type!F38/SUM(Coutry_type!$C38:$G38)</f>
        <v>2.4225363407733599E-3</v>
      </c>
      <c r="G38" s="13">
        <f>+Coutry_type!G38/SUM(Coutry_type!$C38:$G38)</f>
        <v>1.0655758163585236E-5</v>
      </c>
      <c r="H38" s="1"/>
      <c r="I38" s="1"/>
      <c r="J38" s="2"/>
      <c r="L38" s="3"/>
      <c r="M38" s="3"/>
    </row>
    <row r="39" spans="1:13" x14ac:dyDescent="0.25">
      <c r="A39" s="21" t="s">
        <v>79</v>
      </c>
      <c r="B39" s="22" t="s">
        <v>80</v>
      </c>
      <c r="C39" s="14">
        <f>+Coutry_type!C39/SUM(Coutry_type!$C39:$G39)</f>
        <v>3.5043958290738086E-2</v>
      </c>
      <c r="D39" s="15">
        <f>+Coutry_type!D39/SUM(Coutry_type!$C39:$G39)</f>
        <v>4.187282764260887E-2</v>
      </c>
      <c r="E39" s="15">
        <f>+Coutry_type!E39/SUM(Coutry_type!$C39:$G39)</f>
        <v>0.92308321406665306</v>
      </c>
      <c r="F39" s="15">
        <f>+Coutry_type!F39/SUM(Coutry_type!$C39:$G39)</f>
        <v>0</v>
      </c>
      <c r="G39" s="16">
        <f>+Coutry_type!G39/SUM(Coutry_type!$C39:$G39)</f>
        <v>0</v>
      </c>
      <c r="H39" s="1"/>
      <c r="I39" s="1"/>
      <c r="J39" s="2"/>
      <c r="L39" s="3"/>
      <c r="M3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7C65-89F7-4A49-B318-7B35C769CCF6}">
  <dimension ref="A1:AU39"/>
  <sheetViews>
    <sheetView showGridLines="0" zoomScale="80" zoomScaleNormal="80" workbookViewId="0">
      <selection activeCell="I9" sqref="I9"/>
    </sheetView>
  </sheetViews>
  <sheetFormatPr defaultRowHeight="15" x14ac:dyDescent="0.25"/>
  <cols>
    <col min="2" max="2" width="12.5703125" bestFit="1" customWidth="1"/>
    <col min="3" max="3" width="11.42578125" bestFit="1" customWidth="1"/>
    <col min="4" max="5" width="10.28515625" bestFit="1" customWidth="1"/>
    <col min="6" max="6" width="11.28515625" bestFit="1" customWidth="1"/>
    <col min="7" max="8" width="10.140625" bestFit="1" customWidth="1"/>
    <col min="9" max="9" width="10.28515625" bestFit="1" customWidth="1"/>
    <col min="10" max="14" width="10.140625" bestFit="1" customWidth="1"/>
    <col min="15" max="15" width="10.28515625" bestFit="1" customWidth="1"/>
    <col min="16" max="16" width="10.140625" bestFit="1" customWidth="1"/>
    <col min="17" max="17" width="11.28515625" bestFit="1" customWidth="1"/>
    <col min="18" max="18" width="10.28515625" bestFit="1" customWidth="1"/>
    <col min="19" max="19" width="10.140625" bestFit="1" customWidth="1"/>
    <col min="20" max="20" width="11.28515625" bestFit="1" customWidth="1"/>
    <col min="21" max="21" width="10.140625" bestFit="1" customWidth="1"/>
    <col min="22" max="22" width="11.42578125" bestFit="1" customWidth="1"/>
    <col min="23" max="23" width="11.28515625" bestFit="1" customWidth="1"/>
    <col min="24" max="24" width="10.140625" bestFit="1" customWidth="1"/>
    <col min="25" max="25" width="11.28515625" bestFit="1" customWidth="1"/>
    <col min="26" max="31" width="10.140625" bestFit="1" customWidth="1"/>
    <col min="32" max="32" width="11.42578125" bestFit="1" customWidth="1"/>
    <col min="33" max="33" width="10.140625" bestFit="1" customWidth="1"/>
    <col min="34" max="34" width="10.28515625" bestFit="1" customWidth="1"/>
    <col min="35" max="35" width="11.42578125" bestFit="1" customWidth="1"/>
    <col min="36" max="36" width="11.28515625" bestFit="1" customWidth="1"/>
    <col min="37" max="38" width="10.140625" bestFit="1" customWidth="1"/>
    <col min="39" max="39" width="10.28515625" bestFit="1" customWidth="1"/>
    <col min="40" max="41" width="11.28515625" bestFit="1" customWidth="1"/>
    <col min="42" max="43" width="10.28515625" bestFit="1" customWidth="1"/>
    <col min="44" max="45" width="11.28515625" bestFit="1" customWidth="1"/>
    <col min="46" max="46" width="11.42578125" bestFit="1" customWidth="1"/>
    <col min="47" max="47" width="11.28515625" bestFit="1" customWidth="1"/>
  </cols>
  <sheetData>
    <row r="1" spans="1:47" x14ac:dyDescent="0.25">
      <c r="A1" s="23" t="s">
        <v>0</v>
      </c>
      <c r="B1" s="24" t="s">
        <v>1</v>
      </c>
      <c r="C1" s="7">
        <v>1980</v>
      </c>
      <c r="D1" s="5">
        <v>1981</v>
      </c>
      <c r="E1" s="5">
        <v>1982</v>
      </c>
      <c r="F1" s="5">
        <v>1983</v>
      </c>
      <c r="G1" s="5">
        <v>1984</v>
      </c>
      <c r="H1" s="5">
        <v>1985</v>
      </c>
      <c r="I1" s="5">
        <v>1986</v>
      </c>
      <c r="J1" s="5">
        <v>1987</v>
      </c>
      <c r="K1" s="5">
        <v>1988</v>
      </c>
      <c r="L1" s="5">
        <v>1989</v>
      </c>
      <c r="M1" s="5">
        <v>1990</v>
      </c>
      <c r="N1" s="5">
        <v>1991</v>
      </c>
      <c r="O1" s="5">
        <v>1992</v>
      </c>
      <c r="P1" s="5">
        <v>1993</v>
      </c>
      <c r="Q1" s="5">
        <v>1994</v>
      </c>
      <c r="R1" s="5">
        <v>1995</v>
      </c>
      <c r="S1" s="5">
        <v>1996</v>
      </c>
      <c r="T1" s="5">
        <v>1997</v>
      </c>
      <c r="U1" s="5">
        <v>1998</v>
      </c>
      <c r="V1" s="5">
        <v>1999</v>
      </c>
      <c r="W1" s="5">
        <v>2000</v>
      </c>
      <c r="X1" s="5">
        <v>2001</v>
      </c>
      <c r="Y1" s="5">
        <v>2002</v>
      </c>
      <c r="Z1" s="5">
        <v>2003</v>
      </c>
      <c r="AA1" s="5">
        <v>2004</v>
      </c>
      <c r="AB1" s="5">
        <v>2005</v>
      </c>
      <c r="AC1" s="5">
        <v>2006</v>
      </c>
      <c r="AD1" s="5">
        <v>2007</v>
      </c>
      <c r="AE1" s="5">
        <v>2008</v>
      </c>
      <c r="AF1" s="5">
        <v>2009</v>
      </c>
      <c r="AG1" s="5">
        <v>2010</v>
      </c>
      <c r="AH1" s="5">
        <v>2011</v>
      </c>
      <c r="AI1" s="5">
        <v>2012</v>
      </c>
      <c r="AJ1" s="5">
        <v>2013</v>
      </c>
      <c r="AK1" s="5">
        <v>2014</v>
      </c>
      <c r="AL1" s="5">
        <v>2015</v>
      </c>
      <c r="AM1" s="5">
        <v>2016</v>
      </c>
      <c r="AN1" s="5">
        <v>2017</v>
      </c>
      <c r="AO1" s="5">
        <v>2018</v>
      </c>
      <c r="AP1" s="5">
        <v>2019</v>
      </c>
      <c r="AQ1" s="5">
        <v>2020</v>
      </c>
      <c r="AR1" s="5">
        <v>2021</v>
      </c>
      <c r="AS1" s="5">
        <v>2022</v>
      </c>
      <c r="AT1" s="5">
        <v>2023</v>
      </c>
      <c r="AU1" s="6">
        <v>2024</v>
      </c>
    </row>
    <row r="2" spans="1:47" x14ac:dyDescent="0.25">
      <c r="A2" s="25" t="s">
        <v>75</v>
      </c>
      <c r="B2" s="26" t="s">
        <v>76</v>
      </c>
      <c r="C2" s="8">
        <v>0</v>
      </c>
      <c r="D2" s="9">
        <v>26.988</v>
      </c>
      <c r="E2" s="9">
        <v>21.204999999999998</v>
      </c>
      <c r="F2" s="9">
        <v>0</v>
      </c>
      <c r="G2" s="9">
        <v>0.11</v>
      </c>
      <c r="H2" s="9">
        <v>0</v>
      </c>
      <c r="I2" s="9">
        <v>8.3000000000000004E-2</v>
      </c>
      <c r="J2" s="9">
        <v>0</v>
      </c>
      <c r="K2" s="9">
        <v>4.99</v>
      </c>
      <c r="L2" s="9">
        <v>83.882000000000005</v>
      </c>
      <c r="M2" s="9">
        <v>0</v>
      </c>
      <c r="N2" s="9">
        <v>0</v>
      </c>
      <c r="O2" s="9">
        <v>42.555999999999997</v>
      </c>
      <c r="P2" s="9">
        <v>0</v>
      </c>
      <c r="Q2" s="9">
        <v>0</v>
      </c>
      <c r="R2" s="9">
        <v>21.559000000000001</v>
      </c>
      <c r="S2" s="9">
        <v>1.0249999999999999</v>
      </c>
      <c r="T2" s="9">
        <v>1.238</v>
      </c>
      <c r="U2" s="9">
        <v>1.163</v>
      </c>
      <c r="V2" s="9">
        <v>0</v>
      </c>
      <c r="W2" s="9">
        <v>0</v>
      </c>
      <c r="X2" s="9">
        <v>0</v>
      </c>
      <c r="Y2" s="9">
        <v>50.05</v>
      </c>
      <c r="Z2" s="9">
        <v>0</v>
      </c>
      <c r="AA2" s="9">
        <v>0.23</v>
      </c>
      <c r="AB2" s="9">
        <v>13.422000000000001</v>
      </c>
      <c r="AC2" s="9">
        <v>0.76300000000000001</v>
      </c>
      <c r="AD2" s="9">
        <v>0.70299999999999996</v>
      </c>
      <c r="AE2" s="9">
        <v>0</v>
      </c>
      <c r="AF2" s="9">
        <v>8.5730000000000004</v>
      </c>
      <c r="AG2" s="9">
        <v>153.95500000000001</v>
      </c>
      <c r="AH2" s="9">
        <v>0</v>
      </c>
      <c r="AI2" s="9">
        <v>0</v>
      </c>
      <c r="AJ2" s="9">
        <v>0</v>
      </c>
      <c r="AK2" s="9">
        <v>5.1559999999999997</v>
      </c>
      <c r="AL2" s="9">
        <v>0</v>
      </c>
      <c r="AM2" s="9">
        <v>16.111000000000001</v>
      </c>
      <c r="AN2" s="9">
        <v>78.715000000000003</v>
      </c>
      <c r="AO2" s="9">
        <v>0</v>
      </c>
      <c r="AP2" s="9">
        <v>1567.576</v>
      </c>
      <c r="AQ2" s="9">
        <v>0</v>
      </c>
      <c r="AR2" s="9">
        <v>79.471999999999994</v>
      </c>
      <c r="AS2" s="9">
        <v>1.2</v>
      </c>
      <c r="AT2" s="9">
        <v>0</v>
      </c>
      <c r="AU2" s="10">
        <v>0.61599999999999999</v>
      </c>
    </row>
    <row r="3" spans="1:47" x14ac:dyDescent="0.25">
      <c r="A3" s="27" t="s">
        <v>2</v>
      </c>
      <c r="B3" s="28" t="s">
        <v>3</v>
      </c>
      <c r="C3" s="11">
        <v>0</v>
      </c>
      <c r="D3" s="12">
        <v>0.21199999999999999</v>
      </c>
      <c r="E3" s="12">
        <v>1.849</v>
      </c>
      <c r="F3" s="12">
        <v>1.742</v>
      </c>
      <c r="G3" s="12">
        <v>0</v>
      </c>
      <c r="H3" s="12">
        <v>0</v>
      </c>
      <c r="I3" s="12">
        <v>0</v>
      </c>
      <c r="J3" s="12">
        <v>446.17</v>
      </c>
      <c r="K3" s="12">
        <v>0</v>
      </c>
      <c r="L3" s="12">
        <v>0.31</v>
      </c>
      <c r="M3" s="12">
        <v>551.87900000000002</v>
      </c>
      <c r="N3" s="12">
        <v>197.07400000000001</v>
      </c>
      <c r="O3" s="12">
        <v>0.14199999999999999</v>
      </c>
      <c r="P3" s="12">
        <v>1.627</v>
      </c>
      <c r="Q3" s="12">
        <v>3.149</v>
      </c>
      <c r="R3" s="12">
        <v>5.8259999999999996</v>
      </c>
      <c r="S3" s="12">
        <v>6.7489999999999997</v>
      </c>
      <c r="T3" s="12">
        <v>331.55599999999998</v>
      </c>
      <c r="U3" s="12">
        <v>0</v>
      </c>
      <c r="V3" s="12">
        <v>201.249</v>
      </c>
      <c r="W3" s="12">
        <v>308.93900000000002</v>
      </c>
      <c r="X3" s="12">
        <v>1.0449999999999999</v>
      </c>
      <c r="Y3" s="12">
        <v>4486.759</v>
      </c>
      <c r="Z3" s="12">
        <v>414.77</v>
      </c>
      <c r="AA3" s="12">
        <v>0.66100000000000003</v>
      </c>
      <c r="AB3" s="12">
        <v>938.87199999999996</v>
      </c>
      <c r="AC3" s="12">
        <v>736.24400000000003</v>
      </c>
      <c r="AD3" s="12">
        <v>457.63499999999999</v>
      </c>
      <c r="AE3" s="12">
        <v>625.14</v>
      </c>
      <c r="AF3" s="12">
        <v>701.02700000000004</v>
      </c>
      <c r="AG3" s="12">
        <v>1699.357</v>
      </c>
      <c r="AH3" s="12">
        <v>0</v>
      </c>
      <c r="AI3" s="12">
        <v>26.931999999999999</v>
      </c>
      <c r="AJ3" s="12">
        <v>1182.7180000000001</v>
      </c>
      <c r="AK3" s="12">
        <v>0</v>
      </c>
      <c r="AL3" s="12">
        <v>0</v>
      </c>
      <c r="AM3" s="12">
        <v>30.056000000000001</v>
      </c>
      <c r="AN3" s="12">
        <v>1245.8679999999999</v>
      </c>
      <c r="AO3" s="12">
        <v>815.351</v>
      </c>
      <c r="AP3" s="12">
        <v>630.06500000000005</v>
      </c>
      <c r="AQ3" s="12">
        <v>248.38</v>
      </c>
      <c r="AR3" s="12">
        <v>868.154</v>
      </c>
      <c r="AS3" s="12">
        <v>219.994</v>
      </c>
      <c r="AT3" s="12">
        <v>414.565</v>
      </c>
      <c r="AU3" s="13">
        <v>2031.5070000000001</v>
      </c>
    </row>
    <row r="4" spans="1:47" x14ac:dyDescent="0.25">
      <c r="A4" s="27" t="s">
        <v>69</v>
      </c>
      <c r="B4" s="28" t="s">
        <v>70</v>
      </c>
      <c r="C4" s="11">
        <v>0</v>
      </c>
      <c r="D4" s="12">
        <v>16.035</v>
      </c>
      <c r="E4" s="12">
        <v>0</v>
      </c>
      <c r="F4" s="12">
        <v>0</v>
      </c>
      <c r="G4" s="12">
        <v>7.9459999999999997</v>
      </c>
      <c r="H4" s="12">
        <v>0</v>
      </c>
      <c r="I4" s="12">
        <v>0</v>
      </c>
      <c r="J4" s="12">
        <v>0</v>
      </c>
      <c r="K4" s="12">
        <v>0.215</v>
      </c>
      <c r="L4" s="12">
        <v>11.249000000000001</v>
      </c>
      <c r="M4" s="12">
        <v>5.2110000000000003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387.459</v>
      </c>
      <c r="X4" s="12">
        <v>0</v>
      </c>
      <c r="Y4" s="12">
        <v>0</v>
      </c>
      <c r="Z4" s="12">
        <v>442.59800000000001</v>
      </c>
      <c r="AA4" s="12">
        <v>24.39</v>
      </c>
      <c r="AB4" s="12">
        <v>0</v>
      </c>
      <c r="AC4" s="12">
        <v>0</v>
      </c>
      <c r="AD4" s="12">
        <v>0</v>
      </c>
      <c r="AE4" s="12">
        <v>0</v>
      </c>
      <c r="AF4" s="12">
        <v>0.114</v>
      </c>
      <c r="AG4" s="12">
        <v>487.85599999999999</v>
      </c>
      <c r="AH4" s="12">
        <v>7.0999999999999994E-2</v>
      </c>
      <c r="AI4" s="12">
        <v>1531.569</v>
      </c>
      <c r="AJ4" s="12">
        <v>2.0779999999999998</v>
      </c>
      <c r="AK4" s="12">
        <v>1733.95</v>
      </c>
      <c r="AL4" s="12">
        <v>215.38499999999999</v>
      </c>
      <c r="AM4" s="12">
        <v>0</v>
      </c>
      <c r="AN4" s="12">
        <v>0</v>
      </c>
      <c r="AO4" s="12">
        <v>0</v>
      </c>
      <c r="AP4" s="12">
        <v>22.109000000000002</v>
      </c>
      <c r="AQ4" s="12">
        <v>15.842000000000001</v>
      </c>
      <c r="AR4" s="12">
        <v>0.52800000000000002</v>
      </c>
      <c r="AS4" s="12">
        <v>32.052</v>
      </c>
      <c r="AT4" s="12">
        <v>10.596</v>
      </c>
      <c r="AU4" s="13">
        <v>457.52800000000002</v>
      </c>
    </row>
    <row r="5" spans="1:47" x14ac:dyDescent="0.25">
      <c r="A5" s="27" t="s">
        <v>4</v>
      </c>
      <c r="B5" s="28" t="s">
        <v>5</v>
      </c>
      <c r="C5" s="11">
        <v>0</v>
      </c>
      <c r="D5" s="12">
        <v>0</v>
      </c>
      <c r="E5" s="12">
        <v>0</v>
      </c>
      <c r="F5" s="12">
        <v>146.82599999999999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1510.549</v>
      </c>
      <c r="N5" s="12">
        <v>0</v>
      </c>
      <c r="O5" s="12">
        <v>0</v>
      </c>
      <c r="P5" s="12">
        <v>22.76</v>
      </c>
      <c r="Q5" s="12">
        <v>30.844000000000001</v>
      </c>
      <c r="R5" s="12">
        <v>133.15299999999999</v>
      </c>
      <c r="S5" s="12">
        <v>4.2060000000000004</v>
      </c>
      <c r="T5" s="12">
        <v>0</v>
      </c>
      <c r="U5" s="12">
        <v>15.374000000000001</v>
      </c>
      <c r="V5" s="12">
        <v>84.74</v>
      </c>
      <c r="W5" s="12">
        <v>0.98699999999999999</v>
      </c>
      <c r="X5" s="12">
        <v>1.028</v>
      </c>
      <c r="Y5" s="12">
        <v>8.09</v>
      </c>
      <c r="Z5" s="12">
        <v>0.76800000000000002</v>
      </c>
      <c r="AA5" s="12">
        <v>0.70899999999999996</v>
      </c>
      <c r="AB5" s="12">
        <v>77.763999999999996</v>
      </c>
      <c r="AC5" s="12">
        <v>0</v>
      </c>
      <c r="AD5" s="12">
        <v>502.58600000000001</v>
      </c>
      <c r="AE5" s="12">
        <v>42.384999999999998</v>
      </c>
      <c r="AF5" s="12">
        <v>0</v>
      </c>
      <c r="AG5" s="12">
        <v>605.67200000000003</v>
      </c>
      <c r="AH5" s="12">
        <v>98.242000000000004</v>
      </c>
      <c r="AI5" s="12">
        <v>0</v>
      </c>
      <c r="AJ5" s="12">
        <v>0.249</v>
      </c>
      <c r="AK5" s="12">
        <v>783.25800000000004</v>
      </c>
      <c r="AL5" s="12">
        <v>38.908000000000001</v>
      </c>
      <c r="AM5" s="12">
        <v>318.733</v>
      </c>
      <c r="AN5" s="12">
        <v>31.56</v>
      </c>
      <c r="AO5" s="12">
        <v>256.71199999999999</v>
      </c>
      <c r="AP5" s="12">
        <v>296.03800000000001</v>
      </c>
      <c r="AQ5" s="12">
        <v>616.86400000000003</v>
      </c>
      <c r="AR5" s="12">
        <v>11653.026</v>
      </c>
      <c r="AS5" s="12">
        <v>945.75099999999998</v>
      </c>
      <c r="AT5" s="12">
        <v>121.13500000000001</v>
      </c>
      <c r="AU5" s="13">
        <v>202.09399999999999</v>
      </c>
    </row>
    <row r="6" spans="1:47" x14ac:dyDescent="0.25">
      <c r="A6" s="27" t="s">
        <v>6</v>
      </c>
      <c r="B6" s="28" t="s">
        <v>7</v>
      </c>
      <c r="C6" s="11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62.017000000000003</v>
      </c>
      <c r="J6" s="12">
        <v>0</v>
      </c>
      <c r="K6" s="12">
        <v>0</v>
      </c>
      <c r="L6" s="12">
        <v>0</v>
      </c>
      <c r="M6" s="12">
        <v>2.024</v>
      </c>
      <c r="N6" s="12">
        <v>644.31200000000001</v>
      </c>
      <c r="O6" s="12">
        <v>0</v>
      </c>
      <c r="P6" s="12">
        <v>0</v>
      </c>
      <c r="Q6" s="12">
        <v>0</v>
      </c>
      <c r="R6" s="12">
        <v>0</v>
      </c>
      <c r="S6" s="12">
        <v>27.452000000000002</v>
      </c>
      <c r="T6" s="12">
        <v>2.7890000000000001</v>
      </c>
      <c r="U6" s="12">
        <v>2.9060000000000001</v>
      </c>
      <c r="V6" s="12">
        <v>10.050000000000001</v>
      </c>
      <c r="W6" s="12">
        <v>64.076999999999998</v>
      </c>
      <c r="X6" s="12">
        <v>0</v>
      </c>
      <c r="Y6" s="12">
        <v>3.0990000000000002</v>
      </c>
      <c r="Z6" s="12">
        <v>5.016</v>
      </c>
      <c r="AA6" s="12">
        <v>1.2649999999999999</v>
      </c>
      <c r="AB6" s="12">
        <v>2588.069</v>
      </c>
      <c r="AC6" s="12">
        <v>1.2350000000000001</v>
      </c>
      <c r="AD6" s="12">
        <v>4.0149999999999997</v>
      </c>
      <c r="AE6" s="12">
        <v>0</v>
      </c>
      <c r="AF6" s="12">
        <v>0.106</v>
      </c>
      <c r="AG6" s="12">
        <v>0</v>
      </c>
      <c r="AH6" s="12">
        <v>0</v>
      </c>
      <c r="AI6" s="12">
        <v>24.535</v>
      </c>
      <c r="AJ6" s="12">
        <v>6.5720000000000001</v>
      </c>
      <c r="AK6" s="12">
        <v>1421.4490000000001</v>
      </c>
      <c r="AL6" s="12">
        <v>1293.769</v>
      </c>
      <c r="AM6" s="12">
        <v>0</v>
      </c>
      <c r="AN6" s="12">
        <v>142.59</v>
      </c>
      <c r="AO6" s="12">
        <v>0</v>
      </c>
      <c r="AP6" s="12">
        <v>0</v>
      </c>
      <c r="AQ6" s="12">
        <v>6.8390000000000004</v>
      </c>
      <c r="AR6" s="12">
        <v>2.2210000000000001</v>
      </c>
      <c r="AS6" s="12">
        <v>42.470999999999997</v>
      </c>
      <c r="AT6" s="12">
        <v>24.802</v>
      </c>
      <c r="AU6" s="13">
        <v>2.38</v>
      </c>
    </row>
    <row r="7" spans="1:47" x14ac:dyDescent="0.25">
      <c r="A7" s="27" t="s">
        <v>28</v>
      </c>
      <c r="B7" s="28" t="s">
        <v>29</v>
      </c>
      <c r="C7" s="11">
        <v>0</v>
      </c>
      <c r="D7" s="12">
        <v>0</v>
      </c>
      <c r="E7" s="12">
        <v>0.158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0.127</v>
      </c>
      <c r="S7" s="12">
        <v>19.454000000000001</v>
      </c>
      <c r="T7" s="12">
        <v>0</v>
      </c>
      <c r="U7" s="12">
        <v>18</v>
      </c>
      <c r="V7" s="12">
        <v>0</v>
      </c>
      <c r="W7" s="12">
        <v>566.55999999999995</v>
      </c>
      <c r="X7" s="12">
        <v>0</v>
      </c>
      <c r="Y7" s="12">
        <v>5.3470000000000004</v>
      </c>
      <c r="Z7" s="12">
        <v>917.82</v>
      </c>
      <c r="AA7" s="12">
        <v>29.803999999999998</v>
      </c>
      <c r="AB7" s="12">
        <v>8.44</v>
      </c>
      <c r="AC7" s="12">
        <v>0.70799999999999996</v>
      </c>
      <c r="AD7" s="12">
        <v>0</v>
      </c>
      <c r="AE7" s="12">
        <v>0</v>
      </c>
      <c r="AF7" s="12">
        <v>0</v>
      </c>
      <c r="AG7" s="12">
        <v>779.66899999999998</v>
      </c>
      <c r="AH7" s="12">
        <v>0</v>
      </c>
      <c r="AI7" s="12">
        <v>205.35300000000001</v>
      </c>
      <c r="AJ7" s="12">
        <v>10.477</v>
      </c>
      <c r="AK7" s="12">
        <v>809.42200000000003</v>
      </c>
      <c r="AL7" s="12">
        <v>211.86799999999999</v>
      </c>
      <c r="AM7" s="12">
        <v>4.47</v>
      </c>
      <c r="AN7" s="12">
        <v>190.887</v>
      </c>
      <c r="AO7" s="12">
        <v>361.22899999999998</v>
      </c>
      <c r="AP7" s="12">
        <v>0</v>
      </c>
      <c r="AQ7" s="12">
        <v>1338.1510000000001</v>
      </c>
      <c r="AR7" s="12">
        <v>0</v>
      </c>
      <c r="AS7" s="12">
        <v>382.80900000000003</v>
      </c>
      <c r="AT7" s="12">
        <v>159.959</v>
      </c>
      <c r="AU7" s="13">
        <v>18.902000000000001</v>
      </c>
    </row>
    <row r="8" spans="1:47" x14ac:dyDescent="0.25">
      <c r="A8" s="27" t="s">
        <v>10</v>
      </c>
      <c r="B8" s="28" t="s">
        <v>11</v>
      </c>
      <c r="C8" s="11">
        <v>0</v>
      </c>
      <c r="D8" s="12">
        <v>0</v>
      </c>
      <c r="E8" s="12">
        <v>0</v>
      </c>
      <c r="F8" s="12">
        <v>0</v>
      </c>
      <c r="G8" s="12">
        <v>0.191</v>
      </c>
      <c r="H8" s="12">
        <v>0</v>
      </c>
      <c r="I8" s="12">
        <v>0</v>
      </c>
      <c r="J8" s="12">
        <v>0</v>
      </c>
      <c r="K8" s="12">
        <v>25.195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12.077999999999999</v>
      </c>
      <c r="S8" s="12">
        <v>10.805</v>
      </c>
      <c r="T8" s="12">
        <v>0</v>
      </c>
      <c r="U8" s="12">
        <v>0</v>
      </c>
      <c r="V8" s="12">
        <v>0.23200000000000001</v>
      </c>
      <c r="W8" s="12">
        <v>0</v>
      </c>
      <c r="X8" s="12">
        <v>0</v>
      </c>
      <c r="Y8" s="12">
        <v>0</v>
      </c>
      <c r="Z8" s="12">
        <v>13.36</v>
      </c>
      <c r="AA8" s="12">
        <v>0</v>
      </c>
      <c r="AB8" s="12">
        <v>0</v>
      </c>
      <c r="AC8" s="12">
        <v>0</v>
      </c>
      <c r="AD8" s="12">
        <v>0</v>
      </c>
      <c r="AE8" s="12">
        <v>191.149</v>
      </c>
      <c r="AF8" s="12">
        <v>3.0339999999999998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217.851</v>
      </c>
      <c r="AN8" s="12">
        <v>0</v>
      </c>
      <c r="AO8" s="12">
        <v>0</v>
      </c>
      <c r="AP8" s="12">
        <v>0</v>
      </c>
      <c r="AQ8" s="12">
        <v>0</v>
      </c>
      <c r="AR8" s="12">
        <v>5.8129999999999997</v>
      </c>
      <c r="AS8" s="12">
        <v>0</v>
      </c>
      <c r="AT8" s="12">
        <v>0.77300000000000002</v>
      </c>
      <c r="AU8" s="13">
        <v>1.839</v>
      </c>
    </row>
    <row r="9" spans="1:47" x14ac:dyDescent="0.25">
      <c r="A9" s="27" t="s">
        <v>12</v>
      </c>
      <c r="B9" s="28" t="s">
        <v>13</v>
      </c>
      <c r="C9" s="11">
        <v>0</v>
      </c>
      <c r="D9" s="12">
        <v>899.67</v>
      </c>
      <c r="E9" s="12">
        <v>0</v>
      </c>
      <c r="F9" s="12">
        <v>0</v>
      </c>
      <c r="G9" s="12">
        <v>0</v>
      </c>
      <c r="H9" s="12">
        <v>19.126000000000001</v>
      </c>
      <c r="I9" s="12">
        <v>0</v>
      </c>
      <c r="J9" s="12">
        <v>97.745999999999995</v>
      </c>
      <c r="K9" s="12">
        <v>15.603999999999999</v>
      </c>
      <c r="L9" s="12">
        <v>0</v>
      </c>
      <c r="M9" s="12">
        <v>0</v>
      </c>
      <c r="N9" s="12">
        <v>0</v>
      </c>
      <c r="O9" s="12">
        <v>11.023</v>
      </c>
      <c r="P9" s="12">
        <v>0</v>
      </c>
      <c r="Q9" s="12">
        <v>0</v>
      </c>
      <c r="R9" s="12">
        <v>0</v>
      </c>
      <c r="S9" s="12">
        <v>95.680999999999997</v>
      </c>
      <c r="T9" s="12">
        <v>5792.0219999999999</v>
      </c>
      <c r="U9" s="12">
        <v>136.99700000000001</v>
      </c>
      <c r="V9" s="12">
        <v>0</v>
      </c>
      <c r="W9" s="12">
        <v>1034.1869999999999</v>
      </c>
      <c r="X9" s="12">
        <v>54.712000000000003</v>
      </c>
      <c r="Y9" s="12">
        <v>5424.1390000000001</v>
      </c>
      <c r="Z9" s="12">
        <v>0</v>
      </c>
      <c r="AA9" s="12">
        <v>0</v>
      </c>
      <c r="AB9" s="12">
        <v>0</v>
      </c>
      <c r="AC9" s="12">
        <v>679.11400000000003</v>
      </c>
      <c r="AD9" s="12">
        <v>278.98500000000001</v>
      </c>
      <c r="AE9" s="12">
        <v>53.378999999999998</v>
      </c>
      <c r="AF9" s="12">
        <v>535.72900000000004</v>
      </c>
      <c r="AG9" s="12">
        <v>873.04700000000003</v>
      </c>
      <c r="AH9" s="12">
        <v>0</v>
      </c>
      <c r="AI9" s="12">
        <v>51.195999999999998</v>
      </c>
      <c r="AJ9" s="12">
        <v>1111.8979999999999</v>
      </c>
      <c r="AK9" s="12">
        <v>18.667000000000002</v>
      </c>
      <c r="AL9" s="12">
        <v>0</v>
      </c>
      <c r="AM9" s="12">
        <v>69.724999999999994</v>
      </c>
      <c r="AN9" s="12">
        <v>744.53300000000002</v>
      </c>
      <c r="AO9" s="12">
        <v>158.79400000000001</v>
      </c>
      <c r="AP9" s="12">
        <v>0</v>
      </c>
      <c r="AQ9" s="12">
        <v>183.148</v>
      </c>
      <c r="AR9" s="12">
        <v>686.89400000000001</v>
      </c>
      <c r="AS9" s="12">
        <v>79.34</v>
      </c>
      <c r="AT9" s="12">
        <v>21.594999999999999</v>
      </c>
      <c r="AU9" s="13">
        <v>2624.989</v>
      </c>
    </row>
    <row r="10" spans="1:47" x14ac:dyDescent="0.25">
      <c r="A10" s="27" t="s">
        <v>16</v>
      </c>
      <c r="B10" s="28" t="s">
        <v>17</v>
      </c>
      <c r="C10" s="11">
        <v>0</v>
      </c>
      <c r="D10" s="12">
        <v>849.529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314.45600000000002</v>
      </c>
      <c r="N10" s="12">
        <v>0.311</v>
      </c>
      <c r="O10" s="12">
        <v>1125.694</v>
      </c>
      <c r="P10" s="12">
        <v>10.177</v>
      </c>
      <c r="Q10" s="12">
        <v>0</v>
      </c>
      <c r="R10" s="12">
        <v>5.3079999999999998</v>
      </c>
      <c r="S10" s="12">
        <v>0</v>
      </c>
      <c r="T10" s="12">
        <v>0</v>
      </c>
      <c r="U10" s="12">
        <v>0</v>
      </c>
      <c r="V10" s="12">
        <v>4257.7240000000002</v>
      </c>
      <c r="W10" s="12">
        <v>97.927000000000007</v>
      </c>
      <c r="X10" s="12">
        <v>0</v>
      </c>
      <c r="Y10" s="12">
        <v>0</v>
      </c>
      <c r="Z10" s="12">
        <v>0</v>
      </c>
      <c r="AA10" s="12">
        <v>0.61099999999999999</v>
      </c>
      <c r="AB10" s="12">
        <v>6.0620000000000003</v>
      </c>
      <c r="AC10" s="12">
        <v>66.885000000000005</v>
      </c>
      <c r="AD10" s="12">
        <v>106.563</v>
      </c>
      <c r="AE10" s="12">
        <v>0</v>
      </c>
      <c r="AF10" s="12">
        <v>0</v>
      </c>
      <c r="AG10" s="12">
        <v>119.337</v>
      </c>
      <c r="AH10" s="12">
        <v>922.61500000000001</v>
      </c>
      <c r="AI10" s="12">
        <v>0</v>
      </c>
      <c r="AJ10" s="12">
        <v>1046.345</v>
      </c>
      <c r="AK10" s="12">
        <v>91.144000000000005</v>
      </c>
      <c r="AL10" s="12">
        <v>0</v>
      </c>
      <c r="AM10" s="12">
        <v>0</v>
      </c>
      <c r="AN10" s="12">
        <v>0</v>
      </c>
      <c r="AO10" s="12">
        <v>91.119</v>
      </c>
      <c r="AP10" s="12">
        <v>0</v>
      </c>
      <c r="AQ10" s="12">
        <v>61.83</v>
      </c>
      <c r="AR10" s="12">
        <v>0</v>
      </c>
      <c r="AS10" s="12">
        <v>4.4729999999999999</v>
      </c>
      <c r="AT10" s="12">
        <v>168.79</v>
      </c>
      <c r="AU10" s="13">
        <v>0</v>
      </c>
    </row>
    <row r="11" spans="1:47" x14ac:dyDescent="0.25">
      <c r="A11" s="27" t="s">
        <v>18</v>
      </c>
      <c r="B11" s="28" t="s">
        <v>19</v>
      </c>
      <c r="C11" s="11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16.231000000000002</v>
      </c>
      <c r="X11" s="12">
        <v>0</v>
      </c>
      <c r="Y11" s="12">
        <v>0</v>
      </c>
      <c r="Z11" s="12">
        <v>20.751000000000001</v>
      </c>
      <c r="AA11" s="12">
        <v>0</v>
      </c>
      <c r="AB11" s="12">
        <v>251.52199999999999</v>
      </c>
      <c r="AC11" s="12">
        <v>0</v>
      </c>
      <c r="AD11" s="12">
        <v>0</v>
      </c>
      <c r="AE11" s="12">
        <v>0</v>
      </c>
      <c r="AF11" s="12">
        <v>0</v>
      </c>
      <c r="AG11" s="12">
        <v>59.634999999999998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3.95</v>
      </c>
      <c r="AU11" s="13">
        <v>0</v>
      </c>
    </row>
    <row r="12" spans="1:47" x14ac:dyDescent="0.25">
      <c r="A12" s="27" t="s">
        <v>24</v>
      </c>
      <c r="B12" s="28" t="s">
        <v>25</v>
      </c>
      <c r="C12" s="11">
        <v>0</v>
      </c>
      <c r="D12" s="12">
        <v>0</v>
      </c>
      <c r="E12" s="12">
        <v>0</v>
      </c>
      <c r="F12" s="12">
        <v>0</v>
      </c>
      <c r="G12" s="12">
        <v>371.62099999999998</v>
      </c>
      <c r="H12" s="12">
        <v>0</v>
      </c>
      <c r="I12" s="12">
        <v>0</v>
      </c>
      <c r="J12" s="12">
        <v>1362.4860000000001</v>
      </c>
      <c r="K12" s="12">
        <v>0.53200000000000003</v>
      </c>
      <c r="L12" s="12">
        <v>0</v>
      </c>
      <c r="M12" s="12">
        <v>7.2930000000000001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22.484999999999999</v>
      </c>
      <c r="Y12" s="12">
        <v>0</v>
      </c>
      <c r="Z12" s="12">
        <v>0</v>
      </c>
      <c r="AA12" s="12">
        <v>2.3079999999999998</v>
      </c>
      <c r="AB12" s="12">
        <v>156.495</v>
      </c>
      <c r="AC12" s="12">
        <v>0.64</v>
      </c>
      <c r="AD12" s="12">
        <v>30.902999999999999</v>
      </c>
      <c r="AE12" s="12">
        <v>0</v>
      </c>
      <c r="AF12" s="12">
        <v>0</v>
      </c>
      <c r="AG12" s="12">
        <v>153.864</v>
      </c>
      <c r="AH12" s="12">
        <v>158.12700000000001</v>
      </c>
      <c r="AI12" s="12">
        <v>7.6120000000000001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98.230999999999995</v>
      </c>
      <c r="AR12" s="12">
        <v>49.844999999999999</v>
      </c>
      <c r="AS12" s="12">
        <v>0</v>
      </c>
      <c r="AT12" s="12">
        <v>0</v>
      </c>
      <c r="AU12" s="13">
        <v>0</v>
      </c>
    </row>
    <row r="13" spans="1:47" x14ac:dyDescent="0.25">
      <c r="A13" s="27" t="s">
        <v>26</v>
      </c>
      <c r="B13" s="28" t="s">
        <v>27</v>
      </c>
      <c r="C13" s="11">
        <v>164.59800000000001</v>
      </c>
      <c r="D13" s="12">
        <v>56.956000000000003</v>
      </c>
      <c r="E13" s="12">
        <v>523.19000000000005</v>
      </c>
      <c r="F13" s="12">
        <v>3569.2489999999998</v>
      </c>
      <c r="G13" s="12">
        <v>0</v>
      </c>
      <c r="H13" s="12">
        <v>407.41300000000001</v>
      </c>
      <c r="I13" s="12">
        <v>88.228999999999999</v>
      </c>
      <c r="J13" s="12">
        <v>2787.9140000000002</v>
      </c>
      <c r="K13" s="12">
        <v>1163.134</v>
      </c>
      <c r="L13" s="12">
        <v>2666.51</v>
      </c>
      <c r="M13" s="12">
        <v>5574.625</v>
      </c>
      <c r="N13" s="12">
        <v>1465.5250000000001</v>
      </c>
      <c r="O13" s="12">
        <v>1437.7380000000001</v>
      </c>
      <c r="P13" s="12">
        <v>2949.509</v>
      </c>
      <c r="Q13" s="12">
        <v>12383.075000000001</v>
      </c>
      <c r="R13" s="12">
        <v>2741.9470000000001</v>
      </c>
      <c r="S13" s="12">
        <v>1010.542</v>
      </c>
      <c r="T13" s="12">
        <v>616.15</v>
      </c>
      <c r="U13" s="12">
        <v>949.29</v>
      </c>
      <c r="V13" s="12">
        <v>19219.780999999999</v>
      </c>
      <c r="W13" s="12">
        <v>1191.5609999999999</v>
      </c>
      <c r="X13" s="12">
        <v>928.52599999999995</v>
      </c>
      <c r="Y13" s="12">
        <v>2254.9189999999999</v>
      </c>
      <c r="Z13" s="12">
        <v>6843.1620000000003</v>
      </c>
      <c r="AA13" s="12">
        <v>52.405000000000001</v>
      </c>
      <c r="AB13" s="12">
        <v>3593.64</v>
      </c>
      <c r="AC13" s="12">
        <v>256.49200000000002</v>
      </c>
      <c r="AD13" s="12">
        <v>570.75800000000004</v>
      </c>
      <c r="AE13" s="12">
        <v>538.38800000000003</v>
      </c>
      <c r="AF13" s="12">
        <v>3205.404</v>
      </c>
      <c r="AG13" s="12">
        <v>5377.3810000000003</v>
      </c>
      <c r="AH13" s="12">
        <v>2344.9749999999999</v>
      </c>
      <c r="AI13" s="12">
        <v>1709.4880000000001</v>
      </c>
      <c r="AJ13" s="12">
        <v>1918.788</v>
      </c>
      <c r="AK13" s="12">
        <v>2939.377</v>
      </c>
      <c r="AL13" s="12">
        <v>828.798</v>
      </c>
      <c r="AM13" s="12">
        <v>3060.8240000000001</v>
      </c>
      <c r="AN13" s="12">
        <v>6433.0119999999997</v>
      </c>
      <c r="AO13" s="12">
        <v>3468.4009999999998</v>
      </c>
      <c r="AP13" s="12">
        <v>6018.6059999999998</v>
      </c>
      <c r="AQ13" s="12">
        <v>4848.4040000000005</v>
      </c>
      <c r="AR13" s="12">
        <v>6203.433</v>
      </c>
      <c r="AS13" s="12">
        <v>8914.8619999999992</v>
      </c>
      <c r="AT13" s="12">
        <v>3614.0189999999998</v>
      </c>
      <c r="AU13" s="13">
        <v>1941.558</v>
      </c>
    </row>
    <row r="14" spans="1:47" x14ac:dyDescent="0.25">
      <c r="A14" s="27" t="s">
        <v>14</v>
      </c>
      <c r="B14" s="28" t="s">
        <v>15</v>
      </c>
      <c r="C14" s="11">
        <v>68.460999999999999</v>
      </c>
      <c r="D14" s="12">
        <v>471.83800000000002</v>
      </c>
      <c r="E14" s="12">
        <v>14.98</v>
      </c>
      <c r="F14" s="12">
        <v>259.73899999999998</v>
      </c>
      <c r="G14" s="12">
        <v>4093.1759999999999</v>
      </c>
      <c r="H14" s="12">
        <v>1204.1849999999999</v>
      </c>
      <c r="I14" s="12">
        <v>70.397000000000006</v>
      </c>
      <c r="J14" s="12">
        <v>88.692999999999998</v>
      </c>
      <c r="K14" s="12">
        <v>173.83600000000001</v>
      </c>
      <c r="L14" s="12">
        <v>125.396</v>
      </c>
      <c r="M14" s="12">
        <v>7304.442</v>
      </c>
      <c r="N14" s="12">
        <v>122.779</v>
      </c>
      <c r="O14" s="12">
        <v>342.26499999999999</v>
      </c>
      <c r="P14" s="12">
        <v>1915.7829999999999</v>
      </c>
      <c r="Q14" s="12">
        <v>2349.1179999999999</v>
      </c>
      <c r="R14" s="12">
        <v>701.93499999999995</v>
      </c>
      <c r="S14" s="12">
        <v>349.14299999999997</v>
      </c>
      <c r="T14" s="12">
        <v>746.80799999999999</v>
      </c>
      <c r="U14" s="12">
        <v>474.30399999999997</v>
      </c>
      <c r="V14" s="12">
        <v>4063.7220000000002</v>
      </c>
      <c r="W14" s="12">
        <v>424.64299999999997</v>
      </c>
      <c r="X14" s="12">
        <v>1056.9880000000001</v>
      </c>
      <c r="Y14" s="12">
        <v>23446.805</v>
      </c>
      <c r="Z14" s="12">
        <v>2651.2730000000001</v>
      </c>
      <c r="AA14" s="12">
        <v>1565.1420000000001</v>
      </c>
      <c r="AB14" s="12">
        <v>1885.0940000000001</v>
      </c>
      <c r="AC14" s="12">
        <v>1251.9870000000001</v>
      </c>
      <c r="AD14" s="12">
        <v>6541.7709999999997</v>
      </c>
      <c r="AE14" s="12">
        <v>2930.2040000000002</v>
      </c>
      <c r="AF14" s="12">
        <v>1382.8130000000001</v>
      </c>
      <c r="AG14" s="12">
        <v>6176.3530000000001</v>
      </c>
      <c r="AH14" s="12">
        <v>1060.107</v>
      </c>
      <c r="AI14" s="12">
        <v>163.22499999999999</v>
      </c>
      <c r="AJ14" s="12">
        <v>15775.298000000001</v>
      </c>
      <c r="AK14" s="12">
        <v>3270.2170000000001</v>
      </c>
      <c r="AL14" s="12">
        <v>3043.9380000000001</v>
      </c>
      <c r="AM14" s="12">
        <v>4060.7460000000001</v>
      </c>
      <c r="AN14" s="12">
        <v>5884.5119999999997</v>
      </c>
      <c r="AO14" s="12">
        <v>10456.921</v>
      </c>
      <c r="AP14" s="12">
        <v>8513.0429999999997</v>
      </c>
      <c r="AQ14" s="12">
        <v>1661.203</v>
      </c>
      <c r="AR14" s="12">
        <v>40137.928999999996</v>
      </c>
      <c r="AS14" s="12">
        <v>11314.261</v>
      </c>
      <c r="AT14" s="12">
        <v>2229.7950000000001</v>
      </c>
      <c r="AU14" s="13">
        <v>5130.2240000000002</v>
      </c>
    </row>
    <row r="15" spans="1:47" x14ac:dyDescent="0.25">
      <c r="A15" s="27" t="s">
        <v>20</v>
      </c>
      <c r="B15" s="28" t="s">
        <v>21</v>
      </c>
      <c r="C15" s="11">
        <v>22.652999999999999</v>
      </c>
      <c r="D15" s="12">
        <v>2509.7840000000001</v>
      </c>
      <c r="E15" s="12">
        <v>0</v>
      </c>
      <c r="F15" s="12">
        <v>19.245000000000001</v>
      </c>
      <c r="G15" s="12">
        <v>13.701000000000001</v>
      </c>
      <c r="H15" s="12">
        <v>2.8639999999999999</v>
      </c>
      <c r="I15" s="12">
        <v>406.32</v>
      </c>
      <c r="J15" s="12">
        <v>835.06100000000004</v>
      </c>
      <c r="K15" s="12">
        <v>6.0430000000000001</v>
      </c>
      <c r="L15" s="12">
        <v>0</v>
      </c>
      <c r="M15" s="12">
        <v>4202.6880000000001</v>
      </c>
      <c r="N15" s="12">
        <v>0</v>
      </c>
      <c r="O15" s="12">
        <v>0.23400000000000001</v>
      </c>
      <c r="P15" s="12">
        <v>14.705</v>
      </c>
      <c r="Q15" s="12">
        <v>707.84</v>
      </c>
      <c r="R15" s="12">
        <v>1416.549</v>
      </c>
      <c r="S15" s="12">
        <v>2.2210000000000001</v>
      </c>
      <c r="T15" s="12">
        <v>206.114</v>
      </c>
      <c r="U15" s="12">
        <v>948.43499999999995</v>
      </c>
      <c r="V15" s="12">
        <v>5939.21</v>
      </c>
      <c r="W15" s="12">
        <v>5.7060000000000004</v>
      </c>
      <c r="X15" s="12">
        <v>89.781000000000006</v>
      </c>
      <c r="Y15" s="12">
        <v>40.066000000000003</v>
      </c>
      <c r="Z15" s="12">
        <v>1527.952</v>
      </c>
      <c r="AA15" s="12">
        <v>374.56799999999998</v>
      </c>
      <c r="AB15" s="12">
        <v>0</v>
      </c>
      <c r="AC15" s="12">
        <v>493.51900000000001</v>
      </c>
      <c r="AD15" s="12">
        <v>1558.6130000000001</v>
      </c>
      <c r="AE15" s="12">
        <v>12.74</v>
      </c>
      <c r="AF15" s="12">
        <v>94.977999999999994</v>
      </c>
      <c r="AG15" s="12">
        <v>1.343</v>
      </c>
      <c r="AH15" s="12">
        <v>0</v>
      </c>
      <c r="AI15" s="12">
        <v>8.9999999999999993E-3</v>
      </c>
      <c r="AJ15" s="12">
        <v>34.256999999999998</v>
      </c>
      <c r="AK15" s="12">
        <v>180.85499999999999</v>
      </c>
      <c r="AL15" s="12">
        <v>482.13299999999998</v>
      </c>
      <c r="AM15" s="12">
        <v>58.325000000000003</v>
      </c>
      <c r="AN15" s="12">
        <v>339.483</v>
      </c>
      <c r="AO15" s="12">
        <v>79.281000000000006</v>
      </c>
      <c r="AP15" s="12">
        <v>334.49299999999999</v>
      </c>
      <c r="AQ15" s="12">
        <v>1169.115</v>
      </c>
      <c r="AR15" s="12">
        <v>705.79899999999998</v>
      </c>
      <c r="AS15" s="12">
        <v>21.577000000000002</v>
      </c>
      <c r="AT15" s="12">
        <v>3996.3539999999998</v>
      </c>
      <c r="AU15" s="13">
        <v>340.964</v>
      </c>
    </row>
    <row r="16" spans="1:47" x14ac:dyDescent="0.25">
      <c r="A16" s="27" t="s">
        <v>30</v>
      </c>
      <c r="B16" s="28" t="s">
        <v>31</v>
      </c>
      <c r="C16" s="11">
        <v>0</v>
      </c>
      <c r="D16" s="12">
        <v>0</v>
      </c>
      <c r="E16" s="12">
        <v>0</v>
      </c>
      <c r="F16" s="12">
        <v>0</v>
      </c>
      <c r="G16" s="12">
        <v>0</v>
      </c>
      <c r="H16" s="12">
        <v>4.6420000000000003</v>
      </c>
      <c r="I16" s="12">
        <v>3151.7080000000001</v>
      </c>
      <c r="J16" s="12">
        <v>0</v>
      </c>
      <c r="K16" s="12">
        <v>0</v>
      </c>
      <c r="L16" s="12">
        <v>8.3450000000000006</v>
      </c>
      <c r="M16" s="12">
        <v>0</v>
      </c>
      <c r="N16" s="12">
        <v>0</v>
      </c>
      <c r="O16" s="12">
        <v>1697.172</v>
      </c>
      <c r="P16" s="12">
        <v>0</v>
      </c>
      <c r="Q16" s="12">
        <v>0</v>
      </c>
      <c r="R16" s="12">
        <v>0.55800000000000005</v>
      </c>
      <c r="S16" s="12">
        <v>0</v>
      </c>
      <c r="T16" s="12">
        <v>23.684000000000001</v>
      </c>
      <c r="U16" s="12">
        <v>57.182000000000002</v>
      </c>
      <c r="V16" s="12">
        <v>1301.3150000000001</v>
      </c>
      <c r="W16" s="12">
        <v>141.17699999999999</v>
      </c>
      <c r="X16" s="12">
        <v>417.83199999999999</v>
      </c>
      <c r="Y16" s="12">
        <v>55.436999999999998</v>
      </c>
      <c r="Z16" s="12">
        <v>794.75099999999998</v>
      </c>
      <c r="AA16" s="12">
        <v>5.7039999999999997</v>
      </c>
      <c r="AB16" s="12">
        <v>128.36199999999999</v>
      </c>
      <c r="AC16" s="12">
        <v>885.21199999999999</v>
      </c>
      <c r="AD16" s="12">
        <v>0</v>
      </c>
      <c r="AE16" s="12">
        <v>0</v>
      </c>
      <c r="AF16" s="12">
        <v>0</v>
      </c>
      <c r="AG16" s="12">
        <v>1290.098</v>
      </c>
      <c r="AH16" s="12">
        <v>48.411999999999999</v>
      </c>
      <c r="AI16" s="12">
        <v>34.902999999999999</v>
      </c>
      <c r="AJ16" s="12">
        <v>44.866999999999997</v>
      </c>
      <c r="AK16" s="12">
        <v>28.669</v>
      </c>
      <c r="AL16" s="12">
        <v>33.817</v>
      </c>
      <c r="AM16" s="12">
        <v>11.456</v>
      </c>
      <c r="AN16" s="12">
        <v>29.416</v>
      </c>
      <c r="AO16" s="12">
        <v>8.1959999999999997</v>
      </c>
      <c r="AP16" s="12">
        <v>14.06</v>
      </c>
      <c r="AQ16" s="12">
        <v>13.976000000000001</v>
      </c>
      <c r="AR16" s="12">
        <v>35.51</v>
      </c>
      <c r="AS16" s="12">
        <v>2528.84</v>
      </c>
      <c r="AT16" s="12">
        <v>31.498999999999999</v>
      </c>
      <c r="AU16" s="13">
        <v>21.757000000000001</v>
      </c>
    </row>
    <row r="17" spans="1:47" x14ac:dyDescent="0.25">
      <c r="A17" s="27" t="s">
        <v>34</v>
      </c>
      <c r="B17" s="28" t="s">
        <v>35</v>
      </c>
      <c r="C17" s="11">
        <v>0.92</v>
      </c>
      <c r="D17" s="12">
        <v>0</v>
      </c>
      <c r="E17" s="12">
        <v>0</v>
      </c>
      <c r="F17" s="12">
        <v>1.5980000000000001</v>
      </c>
      <c r="G17" s="12">
        <v>1.8779999999999999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10.039999999999999</v>
      </c>
      <c r="S17" s="12">
        <v>50.48</v>
      </c>
      <c r="T17" s="12">
        <v>0</v>
      </c>
      <c r="U17" s="12">
        <v>0</v>
      </c>
      <c r="V17" s="12">
        <v>0</v>
      </c>
      <c r="W17" s="12">
        <v>54.35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3.198</v>
      </c>
      <c r="AD17" s="12">
        <v>0</v>
      </c>
      <c r="AE17" s="12">
        <v>106.783</v>
      </c>
      <c r="AF17" s="12">
        <v>0</v>
      </c>
      <c r="AG17" s="12">
        <v>73.808000000000007</v>
      </c>
      <c r="AH17" s="12">
        <v>65.936000000000007</v>
      </c>
      <c r="AI17" s="12">
        <v>3.4239999999999999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72.241</v>
      </c>
      <c r="AU17" s="13">
        <v>0</v>
      </c>
    </row>
    <row r="18" spans="1:47" x14ac:dyDescent="0.25">
      <c r="A18" s="27" t="s">
        <v>32</v>
      </c>
      <c r="B18" s="28" t="s">
        <v>33</v>
      </c>
      <c r="C18" s="11">
        <v>23.207000000000001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30.303999999999998</v>
      </c>
      <c r="J18" s="12">
        <v>0</v>
      </c>
      <c r="K18" s="12">
        <v>179.85599999999999</v>
      </c>
      <c r="L18" s="12">
        <v>0</v>
      </c>
      <c r="M18" s="12">
        <v>206.78100000000001</v>
      </c>
      <c r="N18" s="12">
        <v>6.4729999999999999</v>
      </c>
      <c r="O18" s="12">
        <v>0</v>
      </c>
      <c r="P18" s="12">
        <v>71.253</v>
      </c>
      <c r="Q18" s="12">
        <v>316.05</v>
      </c>
      <c r="R18" s="12">
        <v>25.861000000000001</v>
      </c>
      <c r="S18" s="12">
        <v>1.6120000000000001</v>
      </c>
      <c r="T18" s="12">
        <v>60.298000000000002</v>
      </c>
      <c r="U18" s="12">
        <v>7.9000000000000001E-2</v>
      </c>
      <c r="V18" s="12">
        <v>175.49299999999999</v>
      </c>
      <c r="W18" s="12">
        <v>188.81899999999999</v>
      </c>
      <c r="X18" s="12">
        <v>0</v>
      </c>
      <c r="Y18" s="12">
        <v>105.136</v>
      </c>
      <c r="Z18" s="12">
        <v>0</v>
      </c>
      <c r="AA18" s="12">
        <v>68.483999999999995</v>
      </c>
      <c r="AB18" s="12">
        <v>0</v>
      </c>
      <c r="AC18" s="12">
        <v>3.601</v>
      </c>
      <c r="AD18" s="12">
        <v>0.55700000000000005</v>
      </c>
      <c r="AE18" s="12">
        <v>121.191</v>
      </c>
      <c r="AF18" s="12">
        <v>309.56299999999999</v>
      </c>
      <c r="AG18" s="12">
        <v>0</v>
      </c>
      <c r="AH18" s="12">
        <v>322.423</v>
      </c>
      <c r="AI18" s="12">
        <v>0</v>
      </c>
      <c r="AJ18" s="12">
        <v>120.441</v>
      </c>
      <c r="AK18" s="12">
        <v>923.56399999999996</v>
      </c>
      <c r="AL18" s="12">
        <v>455.291</v>
      </c>
      <c r="AM18" s="12">
        <v>0</v>
      </c>
      <c r="AN18" s="12">
        <v>310.62</v>
      </c>
      <c r="AO18" s="12">
        <v>45.026000000000003</v>
      </c>
      <c r="AP18" s="12">
        <v>53.463000000000001</v>
      </c>
      <c r="AQ18" s="12">
        <v>221.613</v>
      </c>
      <c r="AR18" s="12">
        <v>0</v>
      </c>
      <c r="AS18" s="12">
        <v>0</v>
      </c>
      <c r="AT18" s="12">
        <v>272.17</v>
      </c>
      <c r="AU18" s="13">
        <v>213.78399999999999</v>
      </c>
    </row>
    <row r="19" spans="1:47" x14ac:dyDescent="0.25">
      <c r="A19" s="27" t="s">
        <v>36</v>
      </c>
      <c r="B19" s="28" t="s">
        <v>37</v>
      </c>
      <c r="C19" s="11">
        <v>58587.285000000003</v>
      </c>
      <c r="D19" s="12">
        <v>1244.905</v>
      </c>
      <c r="E19" s="12">
        <v>7910.1180000000004</v>
      </c>
      <c r="F19" s="12">
        <v>787.31299999999999</v>
      </c>
      <c r="G19" s="12">
        <v>529.697</v>
      </c>
      <c r="H19" s="12">
        <v>365.60300000000001</v>
      </c>
      <c r="I19" s="12">
        <v>593.87599999999998</v>
      </c>
      <c r="J19" s="12">
        <v>4562.076</v>
      </c>
      <c r="K19" s="12">
        <v>39.167999999999999</v>
      </c>
      <c r="L19" s="12">
        <v>13.518000000000001</v>
      </c>
      <c r="M19" s="12">
        <v>2352.7350000000001</v>
      </c>
      <c r="N19" s="12">
        <v>573.48400000000004</v>
      </c>
      <c r="O19" s="12">
        <v>2395.9360000000001</v>
      </c>
      <c r="P19" s="12">
        <v>1005.721</v>
      </c>
      <c r="Q19" s="12">
        <v>5314.942</v>
      </c>
      <c r="R19" s="12">
        <v>636.10699999999997</v>
      </c>
      <c r="S19" s="12">
        <v>808.61800000000005</v>
      </c>
      <c r="T19" s="12">
        <v>10352.831</v>
      </c>
      <c r="U19" s="12">
        <v>77.832999999999998</v>
      </c>
      <c r="V19" s="12">
        <v>1123.8040000000001</v>
      </c>
      <c r="W19" s="12">
        <v>15531.42</v>
      </c>
      <c r="X19" s="12">
        <v>582.85299999999995</v>
      </c>
      <c r="Y19" s="12">
        <v>3360.1590000000001</v>
      </c>
      <c r="Z19" s="12">
        <v>8753.3310000000001</v>
      </c>
      <c r="AA19" s="12">
        <v>796.85400000000004</v>
      </c>
      <c r="AB19" s="12">
        <v>837.01300000000003</v>
      </c>
      <c r="AC19" s="12">
        <v>585.83699999999999</v>
      </c>
      <c r="AD19" s="12">
        <v>204.63300000000001</v>
      </c>
      <c r="AE19" s="12">
        <v>820.88499999999999</v>
      </c>
      <c r="AF19" s="12">
        <v>13872.505999999999</v>
      </c>
      <c r="AG19" s="12">
        <v>1457.1890000000001</v>
      </c>
      <c r="AH19" s="12">
        <v>2598.953</v>
      </c>
      <c r="AI19" s="12">
        <v>18757.019</v>
      </c>
      <c r="AJ19" s="12">
        <v>2169.5250000000001</v>
      </c>
      <c r="AK19" s="12">
        <v>2394.3820000000001</v>
      </c>
      <c r="AL19" s="12">
        <v>3940.4259999999999</v>
      </c>
      <c r="AM19" s="12">
        <v>9523.8610000000008</v>
      </c>
      <c r="AN19" s="12">
        <v>13616.615</v>
      </c>
      <c r="AO19" s="12">
        <v>5981.2979999999998</v>
      </c>
      <c r="AP19" s="12">
        <v>5409.0050000000001</v>
      </c>
      <c r="AQ19" s="12">
        <v>2791.5920000000001</v>
      </c>
      <c r="AR19" s="12">
        <v>703.39300000000003</v>
      </c>
      <c r="AS19" s="12">
        <v>18113.598999999998</v>
      </c>
      <c r="AT19" s="12">
        <v>16071.789000000001</v>
      </c>
      <c r="AU19" s="13">
        <v>5971.5330000000004</v>
      </c>
    </row>
    <row r="20" spans="1:47" x14ac:dyDescent="0.25">
      <c r="A20" s="27" t="s">
        <v>44</v>
      </c>
      <c r="B20" s="28" t="s">
        <v>45</v>
      </c>
      <c r="C20" s="11">
        <v>0</v>
      </c>
      <c r="D20" s="12">
        <v>83.177999999999997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1.3120000000000001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543.28800000000001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7.3140000000000001</v>
      </c>
      <c r="AK20" s="12">
        <v>0</v>
      </c>
      <c r="AL20" s="12">
        <v>0</v>
      </c>
      <c r="AM20" s="12">
        <v>0</v>
      </c>
      <c r="AN20" s="12">
        <v>495.82900000000001</v>
      </c>
      <c r="AO20" s="12">
        <v>121.289</v>
      </c>
      <c r="AP20" s="12">
        <v>0</v>
      </c>
      <c r="AQ20" s="12">
        <v>0.114</v>
      </c>
      <c r="AR20" s="12">
        <v>0</v>
      </c>
      <c r="AS20" s="12">
        <v>3.5999999999999997E-2</v>
      </c>
      <c r="AT20" s="12">
        <v>17.651</v>
      </c>
      <c r="AU20" s="13">
        <v>31.751999999999999</v>
      </c>
    </row>
    <row r="21" spans="1:47" x14ac:dyDescent="0.25">
      <c r="A21" s="27" t="s">
        <v>38</v>
      </c>
      <c r="B21" s="28" t="s">
        <v>39</v>
      </c>
      <c r="C21" s="11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21.195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1.099</v>
      </c>
      <c r="AR21" s="12">
        <v>0</v>
      </c>
      <c r="AS21" s="12">
        <v>0</v>
      </c>
      <c r="AT21" s="12">
        <v>0</v>
      </c>
      <c r="AU21" s="13">
        <v>0</v>
      </c>
    </row>
    <row r="22" spans="1:47" x14ac:dyDescent="0.25">
      <c r="A22" s="27" t="s">
        <v>40</v>
      </c>
      <c r="B22" s="28" t="s">
        <v>41</v>
      </c>
      <c r="C22" s="11">
        <v>0</v>
      </c>
      <c r="D22" s="12">
        <v>44.171999999999997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765.89400000000001</v>
      </c>
      <c r="P22" s="12">
        <v>42.786000000000001</v>
      </c>
      <c r="Q22" s="12">
        <v>9.8989999999999991</v>
      </c>
      <c r="R22" s="12">
        <v>0</v>
      </c>
      <c r="S22" s="12">
        <v>0</v>
      </c>
      <c r="T22" s="12">
        <v>0</v>
      </c>
      <c r="U22" s="12">
        <v>0</v>
      </c>
      <c r="V22" s="12">
        <v>1.48</v>
      </c>
      <c r="W22" s="12">
        <v>0</v>
      </c>
      <c r="X22" s="12">
        <v>0</v>
      </c>
      <c r="Y22" s="12">
        <v>9.4090000000000007</v>
      </c>
      <c r="Z22" s="12">
        <v>0</v>
      </c>
      <c r="AA22" s="12">
        <v>0</v>
      </c>
      <c r="AB22" s="12">
        <v>57.66</v>
      </c>
      <c r="AC22" s="12">
        <v>359.661</v>
      </c>
      <c r="AD22" s="12">
        <v>0</v>
      </c>
      <c r="AE22" s="12">
        <v>0</v>
      </c>
      <c r="AF22" s="12">
        <v>0</v>
      </c>
      <c r="AG22" s="12">
        <v>5.7290000000000001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0.23300000000000001</v>
      </c>
      <c r="AN22" s="12">
        <v>1179.077</v>
      </c>
      <c r="AO22" s="12">
        <v>0</v>
      </c>
      <c r="AP22" s="12">
        <v>0</v>
      </c>
      <c r="AQ22" s="12">
        <v>0</v>
      </c>
      <c r="AR22" s="12">
        <v>0</v>
      </c>
      <c r="AS22" s="12">
        <v>0.65</v>
      </c>
      <c r="AT22" s="12">
        <v>481.63200000000001</v>
      </c>
      <c r="AU22" s="13">
        <v>9.9930000000000003</v>
      </c>
    </row>
    <row r="23" spans="1:47" x14ac:dyDescent="0.25">
      <c r="A23" s="27" t="s">
        <v>42</v>
      </c>
      <c r="B23" s="28" t="s">
        <v>43</v>
      </c>
      <c r="C23" s="11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847.46299999999997</v>
      </c>
      <c r="N23" s="12">
        <v>0</v>
      </c>
      <c r="O23" s="12">
        <v>0</v>
      </c>
      <c r="P23" s="12">
        <v>21.18</v>
      </c>
      <c r="Q23" s="12">
        <v>0</v>
      </c>
      <c r="R23" s="12">
        <v>18.692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35.57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61.728999999999999</v>
      </c>
      <c r="AN23" s="12">
        <v>0</v>
      </c>
      <c r="AO23" s="12">
        <v>6.681</v>
      </c>
      <c r="AP23" s="12">
        <v>171.72399999999999</v>
      </c>
      <c r="AQ23" s="12">
        <v>21.699000000000002</v>
      </c>
      <c r="AR23" s="12">
        <v>199.81399999999999</v>
      </c>
      <c r="AS23" s="12">
        <v>0</v>
      </c>
      <c r="AT23" s="12">
        <v>0</v>
      </c>
      <c r="AU23" s="13">
        <v>24.763999999999999</v>
      </c>
    </row>
    <row r="24" spans="1:47" x14ac:dyDescent="0.25">
      <c r="A24" s="27" t="s">
        <v>46</v>
      </c>
      <c r="B24" s="28" t="s">
        <v>47</v>
      </c>
      <c r="C24" s="11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51.078000000000003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1.403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28.192</v>
      </c>
      <c r="AQ24" s="12">
        <v>0</v>
      </c>
      <c r="AR24" s="12">
        <v>0</v>
      </c>
      <c r="AS24" s="12">
        <v>0</v>
      </c>
      <c r="AT24" s="12">
        <v>1.893</v>
      </c>
      <c r="AU24" s="13">
        <v>0</v>
      </c>
    </row>
    <row r="25" spans="1:47" x14ac:dyDescent="0.25">
      <c r="A25" s="27" t="s">
        <v>48</v>
      </c>
      <c r="B25" s="28" t="s">
        <v>49</v>
      </c>
      <c r="C25" s="11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3280.25</v>
      </c>
      <c r="N25" s="12">
        <v>0</v>
      </c>
      <c r="O25" s="12">
        <v>397.93099999999998</v>
      </c>
      <c r="P25" s="12">
        <v>237.34299999999999</v>
      </c>
      <c r="Q25" s="12">
        <v>3.4689999999999999</v>
      </c>
      <c r="R25" s="12">
        <v>1732.8340000000001</v>
      </c>
      <c r="S25" s="12">
        <v>0</v>
      </c>
      <c r="T25" s="12">
        <v>0</v>
      </c>
      <c r="U25" s="12">
        <v>1000.752</v>
      </c>
      <c r="V25" s="12">
        <v>0</v>
      </c>
      <c r="W25" s="12">
        <v>0</v>
      </c>
      <c r="X25" s="12">
        <v>0</v>
      </c>
      <c r="Y25" s="12">
        <v>489.65899999999999</v>
      </c>
      <c r="Z25" s="12">
        <v>0.77100000000000002</v>
      </c>
      <c r="AA25" s="12">
        <v>64.320999999999998</v>
      </c>
      <c r="AB25" s="12">
        <v>129.578</v>
      </c>
      <c r="AC25" s="12">
        <v>0</v>
      </c>
      <c r="AD25" s="12">
        <v>674.84900000000005</v>
      </c>
      <c r="AE25" s="12">
        <v>114.88</v>
      </c>
      <c r="AF25" s="12">
        <v>154.17500000000001</v>
      </c>
      <c r="AG25" s="12">
        <v>0</v>
      </c>
      <c r="AH25" s="12">
        <v>101.34399999999999</v>
      </c>
      <c r="AI25" s="12">
        <v>0</v>
      </c>
      <c r="AJ25" s="12">
        <v>293.714</v>
      </c>
      <c r="AK25" s="12">
        <v>117.56699999999999</v>
      </c>
      <c r="AL25" s="12">
        <v>414.38299999999998</v>
      </c>
      <c r="AM25" s="12">
        <v>1090.3440000000001</v>
      </c>
      <c r="AN25" s="12">
        <v>0</v>
      </c>
      <c r="AO25" s="12">
        <v>855.84699999999998</v>
      </c>
      <c r="AP25" s="12">
        <v>49.625999999999998</v>
      </c>
      <c r="AQ25" s="12">
        <v>566.99099999999999</v>
      </c>
      <c r="AR25" s="12">
        <v>846.58699999999999</v>
      </c>
      <c r="AS25" s="12">
        <v>821.95600000000002</v>
      </c>
      <c r="AT25" s="12">
        <v>119.37</v>
      </c>
      <c r="AU25" s="13">
        <v>56.372</v>
      </c>
    </row>
    <row r="26" spans="1:47" x14ac:dyDescent="0.25">
      <c r="A26" s="27" t="s">
        <v>71</v>
      </c>
      <c r="B26" s="28" t="s">
        <v>72</v>
      </c>
      <c r="C26" s="11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5.1109999999999998</v>
      </c>
      <c r="AC26" s="12">
        <v>0</v>
      </c>
      <c r="AD26" s="12">
        <v>0</v>
      </c>
      <c r="AE26" s="12">
        <v>0</v>
      </c>
      <c r="AF26" s="12">
        <v>0</v>
      </c>
      <c r="AG26" s="12">
        <v>29.114999999999998</v>
      </c>
      <c r="AH26" s="12">
        <v>0</v>
      </c>
      <c r="AI26" s="12">
        <v>11.548999999999999</v>
      </c>
      <c r="AJ26" s="12">
        <v>0</v>
      </c>
      <c r="AK26" s="12">
        <v>0</v>
      </c>
      <c r="AL26" s="12">
        <v>0</v>
      </c>
      <c r="AM26" s="12">
        <v>1.476</v>
      </c>
      <c r="AN26" s="12">
        <v>0</v>
      </c>
      <c r="AO26" s="12">
        <v>3.851</v>
      </c>
      <c r="AP26" s="12">
        <v>0</v>
      </c>
      <c r="AQ26" s="12">
        <v>0</v>
      </c>
      <c r="AR26" s="12">
        <v>0</v>
      </c>
      <c r="AS26" s="12">
        <v>0.48599999999999999</v>
      </c>
      <c r="AT26" s="12">
        <v>0</v>
      </c>
      <c r="AU26" s="13">
        <v>34.975999999999999</v>
      </c>
    </row>
    <row r="27" spans="1:47" x14ac:dyDescent="0.25">
      <c r="A27" s="27" t="s">
        <v>73</v>
      </c>
      <c r="B27" s="28" t="s">
        <v>74</v>
      </c>
      <c r="C27" s="11">
        <v>0</v>
      </c>
      <c r="D27" s="12">
        <v>0</v>
      </c>
      <c r="E27" s="12">
        <v>0</v>
      </c>
      <c r="F27" s="12">
        <v>1.2589999999999999</v>
      </c>
      <c r="G27" s="12">
        <v>0</v>
      </c>
      <c r="H27" s="12">
        <v>5.383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25.382999999999999</v>
      </c>
      <c r="Q27" s="12">
        <v>89.795000000000002</v>
      </c>
      <c r="R27" s="12">
        <v>463.78300000000002</v>
      </c>
      <c r="S27" s="12">
        <v>0</v>
      </c>
      <c r="T27" s="12">
        <v>0</v>
      </c>
      <c r="U27" s="12">
        <v>0</v>
      </c>
      <c r="V27" s="12">
        <v>0</v>
      </c>
      <c r="W27" s="12">
        <v>35.151000000000003</v>
      </c>
      <c r="X27" s="12">
        <v>0</v>
      </c>
      <c r="Y27" s="12">
        <v>0</v>
      </c>
      <c r="Z27" s="12">
        <v>0</v>
      </c>
      <c r="AA27" s="12">
        <v>28.614000000000001</v>
      </c>
      <c r="AB27" s="12">
        <v>0</v>
      </c>
      <c r="AC27" s="12">
        <v>0</v>
      </c>
      <c r="AD27" s="12">
        <v>0</v>
      </c>
      <c r="AE27" s="12">
        <v>0</v>
      </c>
      <c r="AF27" s="12">
        <v>2.4140000000000001</v>
      </c>
      <c r="AG27" s="12">
        <v>49.911000000000001</v>
      </c>
      <c r="AH27" s="12">
        <v>0</v>
      </c>
      <c r="AI27" s="12">
        <v>0</v>
      </c>
      <c r="AJ27" s="12">
        <v>16.84</v>
      </c>
      <c r="AK27" s="12">
        <v>0</v>
      </c>
      <c r="AL27" s="12">
        <v>31.765999999999998</v>
      </c>
      <c r="AM27" s="12">
        <v>105.111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3">
        <v>81.308999999999997</v>
      </c>
    </row>
    <row r="28" spans="1:47" x14ac:dyDescent="0.25">
      <c r="A28" s="27" t="s">
        <v>50</v>
      </c>
      <c r="B28" s="28" t="s">
        <v>51</v>
      </c>
      <c r="C28" s="11">
        <v>11.452999999999999</v>
      </c>
      <c r="D28" s="12">
        <v>28.518000000000001</v>
      </c>
      <c r="E28" s="12">
        <v>14.898999999999999</v>
      </c>
      <c r="F28" s="12">
        <v>32.088000000000001</v>
      </c>
      <c r="G28" s="12">
        <v>0</v>
      </c>
      <c r="H28" s="12">
        <v>7.8129999999999997</v>
      </c>
      <c r="I28" s="12">
        <v>0</v>
      </c>
      <c r="J28" s="12">
        <v>427.95800000000003</v>
      </c>
      <c r="K28" s="12">
        <v>63.627000000000002</v>
      </c>
      <c r="L28" s="12">
        <v>24.91</v>
      </c>
      <c r="M28" s="12">
        <v>242.738</v>
      </c>
      <c r="N28" s="12">
        <v>0</v>
      </c>
      <c r="O28" s="12">
        <v>717.76499999999999</v>
      </c>
      <c r="P28" s="12">
        <v>87.331000000000003</v>
      </c>
      <c r="Q28" s="12">
        <v>56.225000000000001</v>
      </c>
      <c r="R28" s="12">
        <v>505.36900000000003</v>
      </c>
      <c r="S28" s="12">
        <v>42.106000000000002</v>
      </c>
      <c r="T28" s="12">
        <v>0</v>
      </c>
      <c r="U28" s="12">
        <v>0</v>
      </c>
      <c r="V28" s="12">
        <v>0</v>
      </c>
      <c r="W28" s="12">
        <v>74.421000000000006</v>
      </c>
      <c r="X28" s="12">
        <v>26.756</v>
      </c>
      <c r="Y28" s="12">
        <v>0</v>
      </c>
      <c r="Z28" s="12">
        <v>15.108000000000001</v>
      </c>
      <c r="AA28" s="12">
        <v>6.4429999999999996</v>
      </c>
      <c r="AB28" s="12">
        <v>172.14400000000001</v>
      </c>
      <c r="AC28" s="12">
        <v>37.970999999999997</v>
      </c>
      <c r="AD28" s="12">
        <v>21.902999999999999</v>
      </c>
      <c r="AE28" s="12">
        <v>13.468</v>
      </c>
      <c r="AF28" s="12">
        <v>2.1850000000000001</v>
      </c>
      <c r="AG28" s="12">
        <v>5.3159999999999998</v>
      </c>
      <c r="AH28" s="12">
        <v>262.98899999999998</v>
      </c>
      <c r="AI28" s="12">
        <v>85.007999999999996</v>
      </c>
      <c r="AJ28" s="12">
        <v>202.666</v>
      </c>
      <c r="AK28" s="12">
        <v>52.902000000000001</v>
      </c>
      <c r="AL28" s="12">
        <v>178.125</v>
      </c>
      <c r="AM28" s="12">
        <v>146.49</v>
      </c>
      <c r="AN28" s="12">
        <v>131.78899999999999</v>
      </c>
      <c r="AO28" s="12">
        <v>79.403000000000006</v>
      </c>
      <c r="AP28" s="12">
        <v>83.174000000000007</v>
      </c>
      <c r="AQ28" s="12">
        <v>164.916</v>
      </c>
      <c r="AR28" s="12">
        <v>103.123</v>
      </c>
      <c r="AS28" s="12">
        <v>57.591999999999999</v>
      </c>
      <c r="AT28" s="12">
        <v>585.23800000000006</v>
      </c>
      <c r="AU28" s="13">
        <v>65.97</v>
      </c>
    </row>
    <row r="29" spans="1:47" x14ac:dyDescent="0.25">
      <c r="A29" s="27" t="s">
        <v>52</v>
      </c>
      <c r="B29" s="28" t="s">
        <v>53</v>
      </c>
      <c r="C29" s="11">
        <v>3165.5610000000001</v>
      </c>
      <c r="D29" s="12">
        <v>0</v>
      </c>
      <c r="E29" s="12">
        <v>896.79300000000001</v>
      </c>
      <c r="F29" s="12">
        <v>334.82499999999999</v>
      </c>
      <c r="G29" s="12">
        <v>0</v>
      </c>
      <c r="H29" s="12">
        <v>1695.5429999999999</v>
      </c>
      <c r="I29" s="12">
        <v>4.2560000000000002</v>
      </c>
      <c r="J29" s="12">
        <v>836.77800000000002</v>
      </c>
      <c r="K29" s="12">
        <v>0</v>
      </c>
      <c r="L29" s="12">
        <v>0</v>
      </c>
      <c r="M29" s="12">
        <v>324.32499999999999</v>
      </c>
      <c r="N29" s="12">
        <v>23.728000000000002</v>
      </c>
      <c r="O29" s="12">
        <v>0</v>
      </c>
      <c r="P29" s="12">
        <v>0</v>
      </c>
      <c r="Q29" s="12">
        <v>2.5110000000000001</v>
      </c>
      <c r="R29" s="12">
        <v>4.03</v>
      </c>
      <c r="S29" s="12">
        <v>0</v>
      </c>
      <c r="T29" s="12">
        <v>7711.616</v>
      </c>
      <c r="U29" s="12">
        <v>1.03</v>
      </c>
      <c r="V29" s="12">
        <v>21.63</v>
      </c>
      <c r="W29" s="12">
        <v>0</v>
      </c>
      <c r="X29" s="12">
        <v>1752.931</v>
      </c>
      <c r="Y29" s="12">
        <v>5.9470000000000001</v>
      </c>
      <c r="Z29" s="12">
        <v>624.64200000000005</v>
      </c>
      <c r="AA29" s="12">
        <v>344.61700000000002</v>
      </c>
      <c r="AB29" s="12">
        <v>9.4459999999999997</v>
      </c>
      <c r="AC29" s="12">
        <v>62.679000000000002</v>
      </c>
      <c r="AD29" s="12">
        <v>118.22199999999999</v>
      </c>
      <c r="AE29" s="12">
        <v>108.49</v>
      </c>
      <c r="AF29" s="12">
        <v>118.809</v>
      </c>
      <c r="AG29" s="12">
        <v>5248.3180000000002</v>
      </c>
      <c r="AH29" s="12">
        <v>0</v>
      </c>
      <c r="AI29" s="12">
        <v>7.0030000000000001</v>
      </c>
      <c r="AJ29" s="12">
        <v>14.688000000000001</v>
      </c>
      <c r="AK29" s="12">
        <v>9.4120000000000008</v>
      </c>
      <c r="AL29" s="12">
        <v>7.5650000000000004</v>
      </c>
      <c r="AM29" s="12">
        <v>0</v>
      </c>
      <c r="AN29" s="12">
        <v>86.825999999999993</v>
      </c>
      <c r="AO29" s="12">
        <v>966.24699999999996</v>
      </c>
      <c r="AP29" s="12">
        <v>0</v>
      </c>
      <c r="AQ29" s="12">
        <v>451.04599999999999</v>
      </c>
      <c r="AR29" s="12">
        <v>32.774999999999999</v>
      </c>
      <c r="AS29" s="12">
        <v>0.82299999999999995</v>
      </c>
      <c r="AT29" s="12">
        <v>0.60699999999999998</v>
      </c>
      <c r="AU29" s="13">
        <v>2938.2629999999999</v>
      </c>
    </row>
    <row r="30" spans="1:47" x14ac:dyDescent="0.25">
      <c r="A30" s="27" t="s">
        <v>54</v>
      </c>
      <c r="B30" s="28" t="s">
        <v>55</v>
      </c>
      <c r="C30" s="11">
        <v>17.547000000000001</v>
      </c>
      <c r="D30" s="12">
        <v>0</v>
      </c>
      <c r="E30" s="12">
        <v>2.4089999999999998</v>
      </c>
      <c r="F30" s="12">
        <v>876.43399999999997</v>
      </c>
      <c r="G30" s="12">
        <v>0</v>
      </c>
      <c r="H30" s="12">
        <v>410.49299999999999</v>
      </c>
      <c r="I30" s="12">
        <v>0</v>
      </c>
      <c r="J30" s="12">
        <v>0</v>
      </c>
      <c r="K30" s="12">
        <v>5.9340000000000002</v>
      </c>
      <c r="L30" s="12">
        <v>6.0990000000000002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126.69199999999999</v>
      </c>
      <c r="T30" s="12">
        <v>60.33</v>
      </c>
      <c r="U30" s="12">
        <v>125.051</v>
      </c>
      <c r="V30" s="12">
        <v>0</v>
      </c>
      <c r="W30" s="12">
        <v>0</v>
      </c>
      <c r="X30" s="12">
        <v>0</v>
      </c>
      <c r="Y30" s="12">
        <v>0</v>
      </c>
      <c r="Z30" s="12">
        <v>5005.6170000000002</v>
      </c>
      <c r="AA30" s="12">
        <v>1685.117</v>
      </c>
      <c r="AB30" s="12">
        <v>2023.194</v>
      </c>
      <c r="AC30" s="12">
        <v>0</v>
      </c>
      <c r="AD30" s="12">
        <v>0</v>
      </c>
      <c r="AE30" s="12">
        <v>0</v>
      </c>
      <c r="AF30" s="12">
        <v>44.75</v>
      </c>
      <c r="AG30" s="12">
        <v>1639.1010000000001</v>
      </c>
      <c r="AH30" s="12">
        <v>0</v>
      </c>
      <c r="AI30" s="12">
        <v>0</v>
      </c>
      <c r="AJ30" s="12">
        <v>760.36699999999996</v>
      </c>
      <c r="AK30" s="12">
        <v>0</v>
      </c>
      <c r="AL30" s="12">
        <v>6.8979999999999997</v>
      </c>
      <c r="AM30" s="12">
        <v>289.93</v>
      </c>
      <c r="AN30" s="12">
        <v>2380.1610000000001</v>
      </c>
      <c r="AO30" s="12">
        <v>188.738</v>
      </c>
      <c r="AP30" s="12">
        <v>636.92100000000005</v>
      </c>
      <c r="AQ30" s="12">
        <v>105.785</v>
      </c>
      <c r="AR30" s="12">
        <v>3.0870000000000002</v>
      </c>
      <c r="AS30" s="12">
        <v>1242.3219999999999</v>
      </c>
      <c r="AT30" s="12">
        <v>43.350999999999999</v>
      </c>
      <c r="AU30" s="13">
        <v>121.506</v>
      </c>
    </row>
    <row r="31" spans="1:47" x14ac:dyDescent="0.25">
      <c r="A31" s="27" t="s">
        <v>56</v>
      </c>
      <c r="B31" s="28" t="s">
        <v>57</v>
      </c>
      <c r="C31" s="11">
        <v>0</v>
      </c>
      <c r="D31" s="12">
        <v>0.81</v>
      </c>
      <c r="E31" s="12">
        <v>0</v>
      </c>
      <c r="F31" s="12">
        <v>0</v>
      </c>
      <c r="G31" s="12">
        <v>0</v>
      </c>
      <c r="H31" s="12">
        <v>0</v>
      </c>
      <c r="I31" s="12">
        <v>3069.5079999999998</v>
      </c>
      <c r="J31" s="12">
        <v>0</v>
      </c>
      <c r="K31" s="12">
        <v>0</v>
      </c>
      <c r="L31" s="12">
        <v>0</v>
      </c>
      <c r="M31" s="12">
        <v>138.64599999999999</v>
      </c>
      <c r="N31" s="12">
        <v>476.548</v>
      </c>
      <c r="O31" s="12">
        <v>0</v>
      </c>
      <c r="P31" s="12">
        <v>0</v>
      </c>
      <c r="Q31" s="12">
        <v>14.196</v>
      </c>
      <c r="R31" s="12">
        <v>49.198</v>
      </c>
      <c r="S31" s="12">
        <v>51.101999999999997</v>
      </c>
      <c r="T31" s="12">
        <v>492.94</v>
      </c>
      <c r="U31" s="12">
        <v>542.23800000000006</v>
      </c>
      <c r="V31" s="12">
        <v>1061.7339999999999</v>
      </c>
      <c r="W31" s="12">
        <v>3488.393</v>
      </c>
      <c r="X31" s="12">
        <v>890.01300000000003</v>
      </c>
      <c r="Y31" s="12">
        <v>1.2210000000000001</v>
      </c>
      <c r="Z31" s="12">
        <v>1303.6949999999999</v>
      </c>
      <c r="AA31" s="12">
        <v>106.684</v>
      </c>
      <c r="AB31" s="12">
        <v>4283.2309999999998</v>
      </c>
      <c r="AC31" s="12">
        <v>857.10599999999999</v>
      </c>
      <c r="AD31" s="12">
        <v>384.089</v>
      </c>
      <c r="AE31" s="12">
        <v>679.50800000000004</v>
      </c>
      <c r="AF31" s="12">
        <v>0</v>
      </c>
      <c r="AG31" s="12">
        <v>1625.7940000000001</v>
      </c>
      <c r="AH31" s="12">
        <v>0</v>
      </c>
      <c r="AI31" s="12">
        <v>33.366999999999997</v>
      </c>
      <c r="AJ31" s="12">
        <v>23.812999999999999</v>
      </c>
      <c r="AK31" s="12">
        <v>928.25300000000004</v>
      </c>
      <c r="AL31" s="12">
        <v>3976.7620000000002</v>
      </c>
      <c r="AM31" s="12">
        <v>0</v>
      </c>
      <c r="AN31" s="12">
        <v>44.08</v>
      </c>
      <c r="AO31" s="12">
        <v>503.88299999999998</v>
      </c>
      <c r="AP31" s="12">
        <v>0</v>
      </c>
      <c r="AQ31" s="12">
        <v>523.08699999999999</v>
      </c>
      <c r="AR31" s="12">
        <v>34.917999999999999</v>
      </c>
      <c r="AS31" s="12">
        <v>1247.0170000000001</v>
      </c>
      <c r="AT31" s="12">
        <v>16.914000000000001</v>
      </c>
      <c r="AU31" s="13">
        <v>399.75200000000001</v>
      </c>
    </row>
    <row r="32" spans="1:47" x14ac:dyDescent="0.25">
      <c r="A32" s="27" t="s">
        <v>62</v>
      </c>
      <c r="B32" s="28" t="s">
        <v>63</v>
      </c>
      <c r="C32" s="11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3.6589999999999998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39.264000000000003</v>
      </c>
      <c r="Q32" s="12">
        <v>0</v>
      </c>
      <c r="R32" s="12">
        <v>0</v>
      </c>
      <c r="S32" s="12">
        <v>30.856999999999999</v>
      </c>
      <c r="T32" s="12">
        <v>201.25299999999999</v>
      </c>
      <c r="U32" s="12">
        <v>117.41800000000001</v>
      </c>
      <c r="V32" s="12">
        <v>526.74300000000005</v>
      </c>
      <c r="W32" s="12">
        <v>0</v>
      </c>
      <c r="X32" s="12">
        <v>29.138000000000002</v>
      </c>
      <c r="Y32" s="12">
        <v>81.343999999999994</v>
      </c>
      <c r="Z32" s="12">
        <v>295.28100000000001</v>
      </c>
      <c r="AA32" s="12">
        <v>690.577</v>
      </c>
      <c r="AB32" s="12">
        <v>1.016</v>
      </c>
      <c r="AC32" s="12">
        <v>79.338999999999999</v>
      </c>
      <c r="AD32" s="12">
        <v>0.68600000000000005</v>
      </c>
      <c r="AE32" s="12">
        <v>0.505</v>
      </c>
      <c r="AF32" s="12">
        <v>0</v>
      </c>
      <c r="AG32" s="12">
        <v>48.829000000000001</v>
      </c>
      <c r="AH32" s="12">
        <v>0</v>
      </c>
      <c r="AI32" s="12">
        <v>0</v>
      </c>
      <c r="AJ32" s="12">
        <v>15.481999999999999</v>
      </c>
      <c r="AK32" s="12">
        <v>0</v>
      </c>
      <c r="AL32" s="12">
        <v>0</v>
      </c>
      <c r="AM32" s="12">
        <v>0</v>
      </c>
      <c r="AN32" s="12">
        <v>0</v>
      </c>
      <c r="AO32" s="12">
        <v>86.114999999999995</v>
      </c>
      <c r="AP32" s="12">
        <v>33.875</v>
      </c>
      <c r="AQ32" s="12">
        <v>21.59</v>
      </c>
      <c r="AR32" s="12">
        <v>41.473999999999997</v>
      </c>
      <c r="AS32" s="12">
        <v>87.753</v>
      </c>
      <c r="AT32" s="12">
        <v>20.945</v>
      </c>
      <c r="AU32" s="13">
        <v>114.121</v>
      </c>
    </row>
    <row r="33" spans="1:47" x14ac:dyDescent="0.25">
      <c r="A33" s="27" t="s">
        <v>60</v>
      </c>
      <c r="B33" s="28" t="s">
        <v>61</v>
      </c>
      <c r="C33" s="11">
        <v>0</v>
      </c>
      <c r="D33" s="12">
        <v>0</v>
      </c>
      <c r="E33" s="12">
        <v>0.51800000000000002</v>
      </c>
      <c r="F33" s="12">
        <v>0</v>
      </c>
      <c r="G33" s="12">
        <v>0.57799999999999996</v>
      </c>
      <c r="H33" s="12">
        <v>0</v>
      </c>
      <c r="I33" s="12">
        <v>97.366</v>
      </c>
      <c r="J33" s="12">
        <v>0</v>
      </c>
      <c r="K33" s="12">
        <v>0</v>
      </c>
      <c r="L33" s="12">
        <v>0</v>
      </c>
      <c r="M33" s="12">
        <v>2040.508</v>
      </c>
      <c r="N33" s="12">
        <v>23.068999999999999</v>
      </c>
      <c r="O33" s="12">
        <v>437.23500000000001</v>
      </c>
      <c r="P33" s="12">
        <v>422.36799999999999</v>
      </c>
      <c r="Q33" s="12">
        <v>112.738</v>
      </c>
      <c r="R33" s="12">
        <v>88.230999999999995</v>
      </c>
      <c r="S33" s="12">
        <v>0</v>
      </c>
      <c r="T33" s="12">
        <v>103.309</v>
      </c>
      <c r="U33" s="12">
        <v>386.86700000000002</v>
      </c>
      <c r="V33" s="12">
        <v>27.41</v>
      </c>
      <c r="W33" s="12">
        <v>167.03899999999999</v>
      </c>
      <c r="X33" s="12">
        <v>104.01300000000001</v>
      </c>
      <c r="Y33" s="12">
        <v>0</v>
      </c>
      <c r="Z33" s="12">
        <v>230.006</v>
      </c>
      <c r="AA33" s="12">
        <v>113.371</v>
      </c>
      <c r="AB33" s="12">
        <v>84.748000000000005</v>
      </c>
      <c r="AC33" s="12">
        <v>76.838999999999999</v>
      </c>
      <c r="AD33" s="12">
        <v>453.46100000000001</v>
      </c>
      <c r="AE33" s="12">
        <v>149.227</v>
      </c>
      <c r="AF33" s="12">
        <v>34.779000000000003</v>
      </c>
      <c r="AG33" s="12">
        <v>346.29599999999999</v>
      </c>
      <c r="AH33" s="12">
        <v>0</v>
      </c>
      <c r="AI33" s="12">
        <v>672.12</v>
      </c>
      <c r="AJ33" s="12">
        <v>0</v>
      </c>
      <c r="AK33" s="12">
        <v>1488.1510000000001</v>
      </c>
      <c r="AL33" s="12">
        <v>0</v>
      </c>
      <c r="AM33" s="12">
        <v>0</v>
      </c>
      <c r="AN33" s="12">
        <v>224.33500000000001</v>
      </c>
      <c r="AO33" s="12">
        <v>0</v>
      </c>
      <c r="AP33" s="12">
        <v>207.411</v>
      </c>
      <c r="AQ33" s="12">
        <v>9.5220000000000002</v>
      </c>
      <c r="AR33" s="12">
        <v>0.115</v>
      </c>
      <c r="AS33" s="12">
        <v>172.65100000000001</v>
      </c>
      <c r="AT33" s="12">
        <v>10242.857</v>
      </c>
      <c r="AU33" s="13">
        <v>33.393000000000001</v>
      </c>
    </row>
    <row r="34" spans="1:47" x14ac:dyDescent="0.25">
      <c r="A34" s="27" t="s">
        <v>77</v>
      </c>
      <c r="B34" s="28" t="s">
        <v>78</v>
      </c>
      <c r="C34" s="11">
        <v>16.071000000000002</v>
      </c>
      <c r="D34" s="12">
        <v>86.405000000000001</v>
      </c>
      <c r="E34" s="12">
        <v>0.22600000000000001</v>
      </c>
      <c r="F34" s="12">
        <v>10.657</v>
      </c>
      <c r="G34" s="12">
        <v>13.398999999999999</v>
      </c>
      <c r="H34" s="12">
        <v>13.382</v>
      </c>
      <c r="I34" s="12">
        <v>0.26600000000000001</v>
      </c>
      <c r="J34" s="12">
        <v>0.49399999999999999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0.77800000000000002</v>
      </c>
      <c r="V34" s="12">
        <v>291.17899999999997</v>
      </c>
      <c r="W34" s="12">
        <v>841.34500000000003</v>
      </c>
      <c r="X34" s="12">
        <v>0</v>
      </c>
      <c r="Y34" s="12">
        <v>0</v>
      </c>
      <c r="Z34" s="12">
        <v>0</v>
      </c>
      <c r="AA34" s="12">
        <v>0</v>
      </c>
      <c r="AB34" s="12">
        <v>121.39</v>
      </c>
      <c r="AC34" s="12">
        <v>63.398000000000003</v>
      </c>
      <c r="AD34" s="12">
        <v>1336.7380000000001</v>
      </c>
      <c r="AE34" s="12">
        <v>0</v>
      </c>
      <c r="AF34" s="12">
        <v>35.308999999999997</v>
      </c>
      <c r="AG34" s="12">
        <v>734.25599999999997</v>
      </c>
      <c r="AH34" s="12">
        <v>752.88099999999997</v>
      </c>
      <c r="AI34" s="12">
        <v>4493.8599999999997</v>
      </c>
      <c r="AJ34" s="12">
        <v>0</v>
      </c>
      <c r="AK34" s="12">
        <v>1807.0550000000001</v>
      </c>
      <c r="AL34" s="12">
        <v>18.594000000000001</v>
      </c>
      <c r="AM34" s="12">
        <v>213.965</v>
      </c>
      <c r="AN34" s="12">
        <v>1978.5350000000001</v>
      </c>
      <c r="AO34" s="12">
        <v>5.9269999999999996</v>
      </c>
      <c r="AP34" s="12">
        <v>38.119</v>
      </c>
      <c r="AQ34" s="12">
        <v>67.448999999999998</v>
      </c>
      <c r="AR34" s="12">
        <v>11.093</v>
      </c>
      <c r="AS34" s="12">
        <v>1082.0319999999999</v>
      </c>
      <c r="AT34" s="12">
        <v>344.93599999999998</v>
      </c>
      <c r="AU34" s="13">
        <v>1065.288</v>
      </c>
    </row>
    <row r="35" spans="1:47" x14ac:dyDescent="0.25">
      <c r="A35" s="27" t="s">
        <v>22</v>
      </c>
      <c r="B35" s="28" t="s">
        <v>23</v>
      </c>
      <c r="C35" s="11">
        <v>3915.2350000000001</v>
      </c>
      <c r="D35" s="12">
        <v>4035.5680000000002</v>
      </c>
      <c r="E35" s="12">
        <v>3608.5630000000001</v>
      </c>
      <c r="F35" s="12">
        <v>15456.414000000001</v>
      </c>
      <c r="G35" s="12">
        <v>4052.7</v>
      </c>
      <c r="H35" s="12">
        <v>81.22</v>
      </c>
      <c r="I35" s="12">
        <v>50.201999999999998</v>
      </c>
      <c r="J35" s="12">
        <v>2689.5929999999998</v>
      </c>
      <c r="K35" s="12">
        <v>1256.0070000000001</v>
      </c>
      <c r="L35" s="12">
        <v>2705.9259999999999</v>
      </c>
      <c r="M35" s="12">
        <v>6803.1419999999998</v>
      </c>
      <c r="N35" s="12">
        <v>123.35</v>
      </c>
      <c r="O35" s="12">
        <v>286.93</v>
      </c>
      <c r="P35" s="12">
        <v>174.71700000000001</v>
      </c>
      <c r="Q35" s="12">
        <v>430.09500000000003</v>
      </c>
      <c r="R35" s="12">
        <v>2402.5630000000001</v>
      </c>
      <c r="S35" s="12">
        <v>1667.91</v>
      </c>
      <c r="T35" s="12">
        <v>474.68799999999999</v>
      </c>
      <c r="U35" s="12">
        <v>221.33099999999999</v>
      </c>
      <c r="V35" s="12">
        <v>6149.4489999999996</v>
      </c>
      <c r="W35" s="12">
        <v>1210.933</v>
      </c>
      <c r="X35" s="12">
        <v>363.10700000000003</v>
      </c>
      <c r="Y35" s="12">
        <v>244.197</v>
      </c>
      <c r="Z35" s="12">
        <v>1210.153</v>
      </c>
      <c r="AA35" s="12">
        <v>101.24299999999999</v>
      </c>
      <c r="AB35" s="12">
        <v>2898.4349999999999</v>
      </c>
      <c r="AC35" s="12">
        <v>960.93499999999995</v>
      </c>
      <c r="AD35" s="12">
        <v>583.83100000000002</v>
      </c>
      <c r="AE35" s="12">
        <v>80.513999999999996</v>
      </c>
      <c r="AF35" s="12">
        <v>1978.6179999999999</v>
      </c>
      <c r="AG35" s="12">
        <v>1393.4459999999999</v>
      </c>
      <c r="AH35" s="12">
        <v>1703.1569999999999</v>
      </c>
      <c r="AI35" s="12">
        <v>382.33199999999999</v>
      </c>
      <c r="AJ35" s="12">
        <v>51.448</v>
      </c>
      <c r="AK35" s="12">
        <v>34.253</v>
      </c>
      <c r="AL35" s="12">
        <v>258.59300000000002</v>
      </c>
      <c r="AM35" s="12">
        <v>524.52800000000002</v>
      </c>
      <c r="AN35" s="12">
        <v>459.90899999999999</v>
      </c>
      <c r="AO35" s="12">
        <v>2262.4949999999999</v>
      </c>
      <c r="AP35" s="12">
        <v>5279.0550000000003</v>
      </c>
      <c r="AQ35" s="12">
        <v>2512.7620000000002</v>
      </c>
      <c r="AR35" s="12">
        <v>4082.0990000000002</v>
      </c>
      <c r="AS35" s="12">
        <v>11574.097</v>
      </c>
      <c r="AT35" s="12">
        <v>7346.2209999999995</v>
      </c>
      <c r="AU35" s="13">
        <v>18220.144</v>
      </c>
    </row>
    <row r="36" spans="1:47" x14ac:dyDescent="0.25">
      <c r="A36" s="27" t="s">
        <v>58</v>
      </c>
      <c r="B36" s="28" t="s">
        <v>59</v>
      </c>
      <c r="C36" s="11">
        <v>0</v>
      </c>
      <c r="D36" s="12">
        <v>0</v>
      </c>
      <c r="E36" s="12">
        <v>0</v>
      </c>
      <c r="F36" s="12">
        <v>0</v>
      </c>
      <c r="G36" s="12">
        <v>0</v>
      </c>
      <c r="H36" s="12">
        <v>9.8979999999999997</v>
      </c>
      <c r="I36" s="12">
        <v>0</v>
      </c>
      <c r="J36" s="12">
        <v>0</v>
      </c>
      <c r="K36" s="12">
        <v>0</v>
      </c>
      <c r="L36" s="12">
        <v>0</v>
      </c>
      <c r="M36" s="12">
        <v>11.657999999999999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4.8550000000000004</v>
      </c>
      <c r="U36" s="12">
        <v>0</v>
      </c>
      <c r="V36" s="12">
        <v>212.46199999999999</v>
      </c>
      <c r="W36" s="12">
        <v>10.897</v>
      </c>
      <c r="X36" s="12">
        <v>0</v>
      </c>
      <c r="Y36" s="12">
        <v>0.84199999999999997</v>
      </c>
      <c r="Z36" s="12">
        <v>0</v>
      </c>
      <c r="AA36" s="12">
        <v>14.955</v>
      </c>
      <c r="AB36" s="12">
        <v>2767.2539999999999</v>
      </c>
      <c r="AC36" s="12">
        <v>0.55100000000000005</v>
      </c>
      <c r="AD36" s="12">
        <v>0</v>
      </c>
      <c r="AE36" s="12">
        <v>0.46</v>
      </c>
      <c r="AF36" s="12">
        <v>0</v>
      </c>
      <c r="AG36" s="12">
        <v>0</v>
      </c>
      <c r="AH36" s="12">
        <v>0</v>
      </c>
      <c r="AI36" s="12">
        <v>0</v>
      </c>
      <c r="AJ36" s="12">
        <v>113.82299999999999</v>
      </c>
      <c r="AK36" s="12">
        <v>203.47900000000001</v>
      </c>
      <c r="AL36" s="12">
        <v>17.13</v>
      </c>
      <c r="AM36" s="12">
        <v>0</v>
      </c>
      <c r="AN36" s="12">
        <v>0</v>
      </c>
      <c r="AO36" s="12">
        <v>96.558999999999997</v>
      </c>
      <c r="AP36" s="12">
        <v>154.16</v>
      </c>
      <c r="AQ36" s="12">
        <v>69.344999999999999</v>
      </c>
      <c r="AR36" s="12">
        <v>47.683999999999997</v>
      </c>
      <c r="AS36" s="12">
        <v>0</v>
      </c>
      <c r="AT36" s="12">
        <v>95.126999999999995</v>
      </c>
      <c r="AU36" s="13">
        <v>0</v>
      </c>
    </row>
    <row r="37" spans="1:47" x14ac:dyDescent="0.25">
      <c r="A37" s="27" t="s">
        <v>8</v>
      </c>
      <c r="B37" s="28" t="s">
        <v>83</v>
      </c>
      <c r="C37" s="11">
        <v>0</v>
      </c>
      <c r="D37" s="12">
        <v>10.092000000000001</v>
      </c>
      <c r="E37" s="12">
        <v>45.77</v>
      </c>
      <c r="F37" s="12">
        <v>30.931999999999999</v>
      </c>
      <c r="G37" s="12">
        <v>82.828999999999994</v>
      </c>
      <c r="H37" s="12">
        <v>61.73</v>
      </c>
      <c r="I37" s="12">
        <v>516.32100000000003</v>
      </c>
      <c r="J37" s="12">
        <v>3702.2429999999999</v>
      </c>
      <c r="K37" s="12">
        <v>232.29499999999999</v>
      </c>
      <c r="L37" s="12">
        <v>1.37</v>
      </c>
      <c r="M37" s="12">
        <v>924.32399999999996</v>
      </c>
      <c r="N37" s="12">
        <v>0</v>
      </c>
      <c r="O37" s="12">
        <v>246.209</v>
      </c>
      <c r="P37" s="12">
        <v>841.81500000000005</v>
      </c>
      <c r="Q37" s="12">
        <v>296.52499999999998</v>
      </c>
      <c r="R37" s="12">
        <v>2.3330000000000002</v>
      </c>
      <c r="S37" s="12">
        <v>0</v>
      </c>
      <c r="T37" s="12">
        <v>185.86199999999999</v>
      </c>
      <c r="U37" s="12">
        <v>88.772000000000006</v>
      </c>
      <c r="V37" s="12">
        <v>5142.1639999999998</v>
      </c>
      <c r="W37" s="12">
        <v>939.82299999999998</v>
      </c>
      <c r="X37" s="12">
        <v>37.18</v>
      </c>
      <c r="Y37" s="12">
        <v>507.72199999999998</v>
      </c>
      <c r="Z37" s="12">
        <v>460.29399999999998</v>
      </c>
      <c r="AA37" s="12">
        <v>18.506</v>
      </c>
      <c r="AB37" s="12">
        <v>4997.6589999999997</v>
      </c>
      <c r="AC37" s="12">
        <v>46.981000000000002</v>
      </c>
      <c r="AD37" s="12">
        <v>939.06399999999996</v>
      </c>
      <c r="AE37" s="12">
        <v>0.71399999999999997</v>
      </c>
      <c r="AF37" s="12">
        <v>1178.3209999999999</v>
      </c>
      <c r="AG37" s="12">
        <v>48.228000000000002</v>
      </c>
      <c r="AH37" s="12">
        <v>104.60599999999999</v>
      </c>
      <c r="AI37" s="12">
        <v>0.22800000000000001</v>
      </c>
      <c r="AJ37" s="12">
        <v>374.05799999999999</v>
      </c>
      <c r="AK37" s="12">
        <v>108.67</v>
      </c>
      <c r="AL37" s="12">
        <v>9.1219999999999999</v>
      </c>
      <c r="AM37" s="12">
        <v>66.724000000000004</v>
      </c>
      <c r="AN37" s="12">
        <v>418.05900000000003</v>
      </c>
      <c r="AO37" s="12">
        <v>161.93899999999999</v>
      </c>
      <c r="AP37" s="12">
        <v>195.65899999999999</v>
      </c>
      <c r="AQ37" s="12">
        <v>144.73500000000001</v>
      </c>
      <c r="AR37" s="12">
        <v>389.18900000000002</v>
      </c>
      <c r="AS37" s="12">
        <v>19.166</v>
      </c>
      <c r="AT37" s="12">
        <v>465.19600000000003</v>
      </c>
      <c r="AU37" s="13">
        <v>384.90899999999999</v>
      </c>
    </row>
    <row r="38" spans="1:47" x14ac:dyDescent="0.25">
      <c r="A38" s="27" t="s">
        <v>64</v>
      </c>
      <c r="B38" s="28" t="s">
        <v>65</v>
      </c>
      <c r="C38" s="11">
        <v>34.79</v>
      </c>
      <c r="D38" s="12">
        <v>0</v>
      </c>
      <c r="E38" s="12">
        <v>0.02</v>
      </c>
      <c r="F38" s="12">
        <v>73.465999999999994</v>
      </c>
      <c r="G38" s="12">
        <v>18.417000000000002</v>
      </c>
      <c r="H38" s="12">
        <v>3.1669999999999998</v>
      </c>
      <c r="I38" s="12">
        <v>17.922999999999998</v>
      </c>
      <c r="J38" s="12">
        <v>0</v>
      </c>
      <c r="K38" s="12">
        <v>1.6E-2</v>
      </c>
      <c r="L38" s="12">
        <v>2.7120000000000002</v>
      </c>
      <c r="M38" s="12">
        <v>271.05399999999997</v>
      </c>
      <c r="N38" s="12">
        <v>50.832000000000001</v>
      </c>
      <c r="O38" s="12">
        <v>1569.0150000000001</v>
      </c>
      <c r="P38" s="12">
        <v>0</v>
      </c>
      <c r="Q38" s="12">
        <v>1.7999999999999999E-2</v>
      </c>
      <c r="R38" s="12">
        <v>627.58000000000004</v>
      </c>
      <c r="S38" s="12">
        <v>53.923999999999999</v>
      </c>
      <c r="T38" s="12">
        <v>7.0999999999999994E-2</v>
      </c>
      <c r="U38" s="12">
        <v>3558.674</v>
      </c>
      <c r="V38" s="12">
        <v>26738.618999999999</v>
      </c>
      <c r="W38" s="12">
        <v>60.762999999999998</v>
      </c>
      <c r="X38" s="12">
        <v>47.292000000000002</v>
      </c>
      <c r="Y38" s="12">
        <v>202.619</v>
      </c>
      <c r="Z38" s="12">
        <v>172.852</v>
      </c>
      <c r="AA38" s="12">
        <v>4.12</v>
      </c>
      <c r="AB38" s="12">
        <v>30.003</v>
      </c>
      <c r="AC38" s="12">
        <v>404.03800000000001</v>
      </c>
      <c r="AD38" s="12">
        <v>7.59</v>
      </c>
      <c r="AE38" s="12">
        <v>0.34300000000000003</v>
      </c>
      <c r="AF38" s="12">
        <v>1320.9480000000001</v>
      </c>
      <c r="AG38" s="12">
        <v>15.287000000000001</v>
      </c>
      <c r="AH38" s="12">
        <v>1420.6780000000001</v>
      </c>
      <c r="AI38" s="12">
        <v>63.817</v>
      </c>
      <c r="AJ38" s="12">
        <v>12.093</v>
      </c>
      <c r="AK38" s="12">
        <v>5.923</v>
      </c>
      <c r="AL38" s="12">
        <v>16.411999999999999</v>
      </c>
      <c r="AM38" s="12">
        <v>0</v>
      </c>
      <c r="AN38" s="12">
        <v>709.73</v>
      </c>
      <c r="AO38" s="12">
        <v>12.795</v>
      </c>
      <c r="AP38" s="12">
        <v>185.08099999999999</v>
      </c>
      <c r="AQ38" s="12">
        <v>1104.7739999999999</v>
      </c>
      <c r="AR38" s="12">
        <v>822.95299999999997</v>
      </c>
      <c r="AS38" s="12">
        <v>389.625</v>
      </c>
      <c r="AT38" s="12">
        <v>88222.631999999998</v>
      </c>
      <c r="AU38" s="13">
        <v>34.78</v>
      </c>
    </row>
    <row r="39" spans="1:47" x14ac:dyDescent="0.25">
      <c r="A39" s="29" t="s">
        <v>79</v>
      </c>
      <c r="B39" s="30" t="s">
        <v>80</v>
      </c>
      <c r="C39" s="14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2.8860000000000001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0.27700000000000002</v>
      </c>
      <c r="AI39" s="15">
        <v>0</v>
      </c>
      <c r="AJ39" s="15">
        <v>0</v>
      </c>
      <c r="AK39" s="15">
        <v>1.6140000000000001</v>
      </c>
      <c r="AL39" s="15">
        <v>1.9610000000000001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0.99399999999999999</v>
      </c>
      <c r="AS39" s="15">
        <v>0</v>
      </c>
      <c r="AT39" s="15">
        <v>14.486000000000001</v>
      </c>
      <c r="AU39" s="16">
        <v>2.2370000000000001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089A2C896BC941903B1B853AEED257" ma:contentTypeVersion="14" ma:contentTypeDescription="Creare un nuovo documento." ma:contentTypeScope="" ma:versionID="3a7f16f3274eafcbb1aa42755d34bae9">
  <xsd:schema xmlns:xsd="http://www.w3.org/2001/XMLSchema" xmlns:xs="http://www.w3.org/2001/XMLSchema" xmlns:p="http://schemas.microsoft.com/office/2006/metadata/properties" xmlns:ns2="20912362-bf21-460c-9dd2-47f7a60b9dca" xmlns:ns3="a8dcb262-2592-46ce-8dc6-dbb2fb614b8a" targetNamespace="http://schemas.microsoft.com/office/2006/metadata/properties" ma:root="true" ma:fieldsID="60213cfc4ac64db6b4a45df1d9575320" ns2:_="" ns3:_="">
    <xsd:import namespace="20912362-bf21-460c-9dd2-47f7a60b9dca"/>
    <xsd:import namespace="a8dcb262-2592-46ce-8dc6-dbb2fb614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12362-bf21-460c-9dd2-47f7a60b9d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be26f059-a100-4a06-81f8-6042079323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b262-2592-46ce-8dc6-dbb2fb614b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af58577-1427-4286-b566-5c8b07720efe}" ma:internalName="TaxCatchAll" ma:showField="CatchAllData" ma:web="a8dcb262-2592-46ce-8dc6-dbb2fb614b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dcb262-2592-46ce-8dc6-dbb2fb614b8a" xsi:nil="true"/>
    <lcf76f155ced4ddcb4097134ff3c332f xmlns="20912362-bf21-460c-9dd2-47f7a60b9dc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E2A2FB-2FBB-4A7A-BAC8-F338511149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12362-bf21-460c-9dd2-47f7a60b9dca"/>
    <ds:schemaRef ds:uri="a8dcb262-2592-46ce-8dc6-dbb2fb614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F9F558-35A1-4E81-81EE-909F05C47C62}">
  <ds:schemaRefs>
    <ds:schemaRef ds:uri="http://schemas.microsoft.com/office/2006/metadata/properties"/>
    <ds:schemaRef ds:uri="http://schemas.microsoft.com/office/infopath/2007/PartnerControls"/>
    <ds:schemaRef ds:uri="a8dcb262-2592-46ce-8dc6-dbb2fb614b8a"/>
    <ds:schemaRef ds:uri="20912362-bf21-460c-9dd2-47f7a60b9dca"/>
  </ds:schemaRefs>
</ds:datastoreItem>
</file>

<file path=customXml/itemProps3.xml><?xml version="1.0" encoding="utf-8"?>
<ds:datastoreItem xmlns:ds="http://schemas.openxmlformats.org/officeDocument/2006/customXml" ds:itemID="{5113AD62-D97A-4D03-B201-F4B1B07664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Coutry_type</vt:lpstr>
      <vt:lpstr>Country_year</vt:lpstr>
      <vt:lpstr>Hazard exposure</vt:lpstr>
      <vt:lpstr>perc_loss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Pérez Fontan</dc:creator>
  <cp:keywords/>
  <dc:description/>
  <cp:lastModifiedBy>Giorgio Cesare Carluccio</cp:lastModifiedBy>
  <cp:revision/>
  <dcterms:created xsi:type="dcterms:W3CDTF">2015-06-05T18:19:34Z</dcterms:created>
  <dcterms:modified xsi:type="dcterms:W3CDTF">2026-01-30T16:47:46Z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1db192e1cd214507b2a066cf74b1f2cf</vt:lpwstr>
  </property>
  <property fmtid="{D5CDD505-2E9C-101B-9397-08002B2CF9AE}" pid="3" name="ContentTypeId">
    <vt:lpwstr>0x01010002089A2C896BC941903B1B853AEED257</vt:lpwstr>
  </property>
  <property fmtid="{D5CDD505-2E9C-101B-9397-08002B2CF9AE}" pid="4" name="MediaServiceImageTags">
    <vt:lpwstr/>
  </property>
</Properties>
</file>