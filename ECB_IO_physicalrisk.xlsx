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openeconomics-my.sharepoint.com/personal/giorgio_carluccio_openeconomics_eu/Documents/GitHub/Physical-Climate-Risk/"/>
    </mc:Choice>
  </mc:AlternateContent>
  <xr:revisionPtr revIDLastSave="1824" documentId="8_{2CB43A3D-1D5A-4710-936C-2945251EE909}" xr6:coauthVersionLast="47" xr6:coauthVersionMax="47" xr10:uidLastSave="{AB4D1391-1F23-4BB6-A4A7-96AE5AF9B09F}"/>
  <bookViews>
    <workbookView minimized="1" xWindow="3675" yWindow="3675" windowWidth="21600" windowHeight="11295" activeTab="1" xr2:uid="{AFBBCD39-DF5F-4F17-A062-8245C494084C}"/>
  </bookViews>
  <sheets>
    <sheet name="IO_sub_model" sheetId="2" r:id="rId1"/>
    <sheet name="IO_sub_model - t+1" sheetId="7" r:id="rId2"/>
    <sheet name="IO_sub_model - t+2" sheetId="8" r:id="rId3"/>
    <sheet name="IO_sub_model - t+3" sheetId="9" r:id="rId4"/>
    <sheet name="IO_sub_model (2)" sheetId="3" r:id="rId5"/>
    <sheet name="IO_sub_model (3)" sheetId="4" r:id="rId6"/>
    <sheet name="IO_sub_model (4)" sheetId="5" r:id="rId7"/>
    <sheet name="IO_sub_model (5)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7" l="1" a="1"/>
  <c r="G47" i="7" s="1"/>
  <c r="D221" i="9"/>
  <c r="D218" i="9"/>
  <c r="D217" i="9"/>
  <c r="D220" i="9" s="1"/>
  <c r="D216" i="9"/>
  <c r="D219" i="9" s="1"/>
  <c r="D205" i="9"/>
  <c r="D208" i="9" s="1"/>
  <c r="D204" i="9"/>
  <c r="D207" i="9" s="1"/>
  <c r="D203" i="9"/>
  <c r="D206" i="9" s="1"/>
  <c r="L167" i="9"/>
  <c r="H167" i="9"/>
  <c r="D158" i="9"/>
  <c r="D155" i="9"/>
  <c r="D154" i="9"/>
  <c r="D153" i="9"/>
  <c r="D156" i="9" s="1"/>
  <c r="D145" i="9"/>
  <c r="D144" i="9"/>
  <c r="D142" i="9"/>
  <c r="D141" i="9"/>
  <c r="D140" i="9"/>
  <c r="D143" i="9" s="1"/>
  <c r="D125" i="9"/>
  <c r="D123" i="9"/>
  <c r="D126" i="9" s="1"/>
  <c r="D122" i="9"/>
  <c r="D121" i="9"/>
  <c r="N118" i="9"/>
  <c r="N118" i="9" a="1"/>
  <c r="D114" i="9"/>
  <c r="D112" i="9"/>
  <c r="D111" i="9"/>
  <c r="D110" i="9"/>
  <c r="D113" i="9" s="1"/>
  <c r="D109" i="9"/>
  <c r="D101" i="9"/>
  <c r="D99" i="9"/>
  <c r="D102" i="9" s="1"/>
  <c r="D98" i="9"/>
  <c r="D97" i="9"/>
  <c r="D100" i="9" s="1"/>
  <c r="D83" i="9"/>
  <c r="D86" i="9" s="1"/>
  <c r="D82" i="9"/>
  <c r="D85" i="9" s="1"/>
  <c r="D81" i="9"/>
  <c r="D84" i="9" s="1"/>
  <c r="E73" i="9" a="1"/>
  <c r="E73" i="9" s="1"/>
  <c r="D67" i="9"/>
  <c r="D65" i="9"/>
  <c r="D68" i="9" s="1"/>
  <c r="D64" i="9"/>
  <c r="D63" i="9"/>
  <c r="D66" i="9" s="1"/>
  <c r="L55" i="9"/>
  <c r="M55" i="9" s="1"/>
  <c r="D55" i="9"/>
  <c r="L54" i="9"/>
  <c r="M54" i="9" s="1"/>
  <c r="L53" i="9"/>
  <c r="M53" i="9" s="1"/>
  <c r="M52" i="9"/>
  <c r="L52" i="9"/>
  <c r="K52" i="9"/>
  <c r="K55" i="9" s="1"/>
  <c r="D52" i="9"/>
  <c r="L51" i="9"/>
  <c r="M51" i="9" s="1"/>
  <c r="K51" i="9"/>
  <c r="K54" i="9" s="1"/>
  <c r="D51" i="9"/>
  <c r="D54" i="9" s="1"/>
  <c r="M50" i="9"/>
  <c r="L50" i="9"/>
  <c r="K50" i="9"/>
  <c r="K53" i="9" s="1"/>
  <c r="D50" i="9"/>
  <c r="D53" i="9" s="1"/>
  <c r="L49" i="9"/>
  <c r="M49" i="9" s="1"/>
  <c r="M48" i="9"/>
  <c r="L48" i="9"/>
  <c r="L47" i="9"/>
  <c r="M47" i="9" s="1"/>
  <c r="G47" i="9" a="1"/>
  <c r="D41" i="9"/>
  <c r="D44" i="9" s="1"/>
  <c r="D40" i="9"/>
  <c r="D43" i="9" s="1"/>
  <c r="D39" i="9"/>
  <c r="M30" i="9"/>
  <c r="L30" i="9"/>
  <c r="H30" i="9"/>
  <c r="M29" i="9"/>
  <c r="L29" i="9"/>
  <c r="K29" i="9"/>
  <c r="J29" i="9"/>
  <c r="H29" i="9"/>
  <c r="L28" i="9"/>
  <c r="H28" i="9"/>
  <c r="M27" i="9"/>
  <c r="J27" i="9"/>
  <c r="H27" i="9"/>
  <c r="D27" i="9"/>
  <c r="M26" i="9"/>
  <c r="K26" i="9"/>
  <c r="H26" i="9"/>
  <c r="D26" i="9"/>
  <c r="D29" i="9" s="1"/>
  <c r="M25" i="9"/>
  <c r="L25" i="9"/>
  <c r="D25" i="9"/>
  <c r="D28" i="9" s="1"/>
  <c r="M24" i="9"/>
  <c r="L24" i="9"/>
  <c r="K24" i="9"/>
  <c r="J24" i="9"/>
  <c r="D24" i="9"/>
  <c r="M23" i="9"/>
  <c r="L23" i="9"/>
  <c r="K23" i="9"/>
  <c r="J23" i="9"/>
  <c r="I23" i="9"/>
  <c r="H23" i="9"/>
  <c r="M22" i="9"/>
  <c r="L22" i="9"/>
  <c r="H22" i="9"/>
  <c r="M21" i="9"/>
  <c r="K21" i="9"/>
  <c r="J21" i="9"/>
  <c r="I21" i="9"/>
  <c r="H21" i="9"/>
  <c r="M15" i="9"/>
  <c r="L15" i="9"/>
  <c r="K15" i="9"/>
  <c r="J15" i="9"/>
  <c r="I15" i="9"/>
  <c r="H15" i="9"/>
  <c r="H24" i="9" s="1"/>
  <c r="G15" i="9"/>
  <c r="F15" i="9"/>
  <c r="E15" i="9"/>
  <c r="N14" i="9"/>
  <c r="O13" i="9"/>
  <c r="O12" i="9"/>
  <c r="D12" i="9"/>
  <c r="O11" i="9"/>
  <c r="O10" i="9"/>
  <c r="D10" i="9"/>
  <c r="D13" i="9" s="1"/>
  <c r="O9" i="9"/>
  <c r="D9" i="9"/>
  <c r="O8" i="9"/>
  <c r="D8" i="9"/>
  <c r="D11" i="9" s="1"/>
  <c r="O7" i="9"/>
  <c r="O6" i="9"/>
  <c r="O5" i="9"/>
  <c r="I196" i="2"/>
  <c r="I195" i="2"/>
  <c r="I194" i="2"/>
  <c r="I193" i="2"/>
  <c r="I192" i="2"/>
  <c r="I191" i="2"/>
  <c r="I190" i="2"/>
  <c r="I189" i="2"/>
  <c r="I188" i="2"/>
  <c r="D218" i="8"/>
  <c r="D221" i="8" s="1"/>
  <c r="D217" i="8"/>
  <c r="D220" i="8" s="1"/>
  <c r="D216" i="8"/>
  <c r="D219" i="8" s="1"/>
  <c r="D207" i="8"/>
  <c r="D205" i="8"/>
  <c r="D208" i="8" s="1"/>
  <c r="D204" i="8"/>
  <c r="D203" i="8"/>
  <c r="D206" i="8" s="1"/>
  <c r="D171" i="8" a="1"/>
  <c r="D171" i="8" s="1"/>
  <c r="M167" i="8"/>
  <c r="L167" i="8"/>
  <c r="F167" i="8"/>
  <c r="D158" i="8"/>
  <c r="D157" i="8"/>
  <c r="D177" i="8" s="1" a="1"/>
  <c r="D156" i="8"/>
  <c r="D155" i="8"/>
  <c r="D154" i="8"/>
  <c r="D153" i="8"/>
  <c r="D145" i="8"/>
  <c r="D142" i="8"/>
  <c r="D141" i="8"/>
  <c r="D144" i="8" s="1"/>
  <c r="D140" i="8"/>
  <c r="D143" i="8" s="1"/>
  <c r="D126" i="8"/>
  <c r="D124" i="8"/>
  <c r="D123" i="8"/>
  <c r="D122" i="8"/>
  <c r="D121" i="8"/>
  <c r="N118" i="8"/>
  <c r="N118" i="8" a="1"/>
  <c r="D111" i="8"/>
  <c r="D114" i="8" s="1"/>
  <c r="D110" i="8"/>
  <c r="D113" i="8" s="1"/>
  <c r="D109" i="8"/>
  <c r="D112" i="8" s="1"/>
  <c r="D102" i="8"/>
  <c r="D101" i="8"/>
  <c r="D100" i="8"/>
  <c r="D99" i="8"/>
  <c r="D98" i="8"/>
  <c r="D97" i="8"/>
  <c r="D84" i="8"/>
  <c r="D83" i="8"/>
  <c r="D86" i="8" s="1"/>
  <c r="D82" i="8"/>
  <c r="D85" i="8" s="1"/>
  <c r="D81" i="8"/>
  <c r="D66" i="8"/>
  <c r="D65" i="8"/>
  <c r="D68" i="8" s="1"/>
  <c r="D64" i="8"/>
  <c r="D67" i="8" s="1"/>
  <c r="D63" i="8"/>
  <c r="M55" i="8"/>
  <c r="L55" i="8"/>
  <c r="D55" i="8"/>
  <c r="L54" i="8"/>
  <c r="M54" i="8" s="1"/>
  <c r="L53" i="8"/>
  <c r="M53" i="8" s="1"/>
  <c r="K53" i="8"/>
  <c r="M52" i="8"/>
  <c r="L52" i="8"/>
  <c r="K52" i="8"/>
  <c r="K55" i="8" s="1"/>
  <c r="D52" i="8"/>
  <c r="L51" i="8"/>
  <c r="M51" i="8" s="1"/>
  <c r="K51" i="8"/>
  <c r="K54" i="8" s="1"/>
  <c r="D51" i="8"/>
  <c r="D54" i="8" s="1"/>
  <c r="L50" i="8"/>
  <c r="M50" i="8" s="1"/>
  <c r="K50" i="8"/>
  <c r="D50" i="8"/>
  <c r="D53" i="8" s="1"/>
  <c r="M49" i="8"/>
  <c r="L49" i="8"/>
  <c r="M48" i="8"/>
  <c r="L48" i="8"/>
  <c r="M47" i="8"/>
  <c r="L47" i="8"/>
  <c r="G47" i="8" a="1"/>
  <c r="D41" i="8"/>
  <c r="D44" i="8" s="1"/>
  <c r="D40" i="8"/>
  <c r="D43" i="8" s="1"/>
  <c r="D39" i="8"/>
  <c r="M30" i="8"/>
  <c r="L30" i="8"/>
  <c r="J30" i="8"/>
  <c r="I30" i="8"/>
  <c r="H30" i="8"/>
  <c r="E30" i="8"/>
  <c r="M29" i="8"/>
  <c r="F29" i="8"/>
  <c r="E29" i="8"/>
  <c r="D29" i="8"/>
  <c r="L28" i="8"/>
  <c r="F28" i="8"/>
  <c r="E28" i="8"/>
  <c r="M27" i="8"/>
  <c r="H27" i="8"/>
  <c r="G27" i="8"/>
  <c r="E27" i="8"/>
  <c r="L26" i="8"/>
  <c r="J26" i="8"/>
  <c r="H26" i="8"/>
  <c r="F26" i="8"/>
  <c r="E26" i="8"/>
  <c r="D26" i="8"/>
  <c r="H25" i="8"/>
  <c r="F25" i="8"/>
  <c r="E25" i="8"/>
  <c r="D25" i="8"/>
  <c r="D28" i="8" s="1"/>
  <c r="M24" i="8"/>
  <c r="L24" i="8"/>
  <c r="K24" i="8"/>
  <c r="F24" i="8"/>
  <c r="D24" i="8"/>
  <c r="D27" i="8" s="1"/>
  <c r="J23" i="8"/>
  <c r="I23" i="8"/>
  <c r="H23" i="8"/>
  <c r="F23" i="8"/>
  <c r="E23" i="8"/>
  <c r="J22" i="8"/>
  <c r="I22" i="8"/>
  <c r="H22" i="8"/>
  <c r="F22" i="8"/>
  <c r="E22" i="8"/>
  <c r="M21" i="8"/>
  <c r="F21" i="8"/>
  <c r="E21" i="8"/>
  <c r="M15" i="8"/>
  <c r="L15" i="8"/>
  <c r="K15" i="8"/>
  <c r="J15" i="8"/>
  <c r="I15" i="8"/>
  <c r="H15" i="8"/>
  <c r="G15" i="8"/>
  <c r="F15" i="8"/>
  <c r="E15" i="8"/>
  <c r="E167" i="8" s="1"/>
  <c r="N14" i="8"/>
  <c r="O13" i="8"/>
  <c r="O12" i="8"/>
  <c r="N47" i="8" s="1" a="1"/>
  <c r="O11" i="8"/>
  <c r="O10" i="8"/>
  <c r="D10" i="8"/>
  <c r="D13" i="8" s="1"/>
  <c r="O9" i="8"/>
  <c r="D9" i="8"/>
  <c r="D12" i="8" s="1"/>
  <c r="O8" i="8"/>
  <c r="D8" i="8"/>
  <c r="D11" i="8" s="1"/>
  <c r="O7" i="8"/>
  <c r="O6" i="8"/>
  <c r="O5" i="8"/>
  <c r="L55" i="7"/>
  <c r="M55" i="7" s="1"/>
  <c r="L54" i="7"/>
  <c r="L53" i="7"/>
  <c r="L52" i="7"/>
  <c r="L51" i="7"/>
  <c r="L50" i="7"/>
  <c r="M50" i="7" s="1"/>
  <c r="L49" i="7"/>
  <c r="M49" i="7" s="1"/>
  <c r="L48" i="7"/>
  <c r="L47" i="7"/>
  <c r="M47" i="7" s="1"/>
  <c r="D221" i="7"/>
  <c r="D218" i="7"/>
  <c r="D217" i="7"/>
  <c r="D220" i="7" s="1"/>
  <c r="D216" i="7"/>
  <c r="D219" i="7" s="1"/>
  <c r="D205" i="7"/>
  <c r="D208" i="7" s="1"/>
  <c r="D204" i="7"/>
  <c r="D207" i="7" s="1"/>
  <c r="D203" i="7"/>
  <c r="D206" i="7" s="1"/>
  <c r="J167" i="7"/>
  <c r="I167" i="7"/>
  <c r="H167" i="7"/>
  <c r="D157" i="7"/>
  <c r="D155" i="7"/>
  <c r="D158" i="7" s="1"/>
  <c r="D154" i="7"/>
  <c r="D153" i="7"/>
  <c r="D144" i="7"/>
  <c r="D142" i="7"/>
  <c r="D145" i="7" s="1"/>
  <c r="D141" i="7"/>
  <c r="D140" i="7"/>
  <c r="D143" i="7" s="1"/>
  <c r="D125" i="7"/>
  <c r="D124" i="7"/>
  <c r="D123" i="7"/>
  <c r="D126" i="7" s="1"/>
  <c r="D122" i="7"/>
  <c r="D121" i="7"/>
  <c r="N118" i="7" a="1"/>
  <c r="N118" i="7" s="1"/>
  <c r="D113" i="7"/>
  <c r="D112" i="7"/>
  <c r="D111" i="7"/>
  <c r="D114" i="7" s="1"/>
  <c r="D110" i="7"/>
  <c r="D109" i="7"/>
  <c r="D102" i="7"/>
  <c r="D99" i="7"/>
  <c r="D98" i="7"/>
  <c r="D101" i="7" s="1"/>
  <c r="D97" i="7"/>
  <c r="D100" i="7" s="1"/>
  <c r="D86" i="7"/>
  <c r="D83" i="7"/>
  <c r="D82" i="7"/>
  <c r="D85" i="7" s="1"/>
  <c r="D81" i="7"/>
  <c r="D84" i="7" s="1"/>
  <c r="D68" i="7"/>
  <c r="D67" i="7"/>
  <c r="D65" i="7"/>
  <c r="D64" i="7"/>
  <c r="D63" i="7"/>
  <c r="D66" i="7" s="1"/>
  <c r="K55" i="7"/>
  <c r="M54" i="7"/>
  <c r="M53" i="7"/>
  <c r="K53" i="7"/>
  <c r="D53" i="7"/>
  <c r="M52" i="7"/>
  <c r="K52" i="7"/>
  <c r="D52" i="7"/>
  <c r="D55" i="7" s="1"/>
  <c r="M51" i="7"/>
  <c r="K51" i="7"/>
  <c r="K54" i="7" s="1"/>
  <c r="D51" i="7"/>
  <c r="D54" i="7" s="1"/>
  <c r="K50" i="7"/>
  <c r="D50" i="7"/>
  <c r="M48" i="7"/>
  <c r="D43" i="7"/>
  <c r="D42" i="7"/>
  <c r="D41" i="7"/>
  <c r="D40" i="7"/>
  <c r="D39" i="7"/>
  <c r="H30" i="7"/>
  <c r="F30" i="7"/>
  <c r="E30" i="7"/>
  <c r="K29" i="7"/>
  <c r="J29" i="7"/>
  <c r="I29" i="7"/>
  <c r="H29" i="7"/>
  <c r="F29" i="7"/>
  <c r="E29" i="7"/>
  <c r="I28" i="7"/>
  <c r="H28" i="7"/>
  <c r="G28" i="7"/>
  <c r="F28" i="7"/>
  <c r="E28" i="7"/>
  <c r="D28" i="7"/>
  <c r="M27" i="7"/>
  <c r="F27" i="7"/>
  <c r="E27" i="7"/>
  <c r="J26" i="7"/>
  <c r="I26" i="7"/>
  <c r="E26" i="7"/>
  <c r="D26" i="7"/>
  <c r="D29" i="7" s="1"/>
  <c r="J25" i="7"/>
  <c r="I25" i="7"/>
  <c r="H25" i="7"/>
  <c r="F25" i="7"/>
  <c r="D25" i="7"/>
  <c r="H24" i="7"/>
  <c r="G24" i="7"/>
  <c r="F24" i="7"/>
  <c r="E24" i="7"/>
  <c r="D24" i="7"/>
  <c r="D27" i="7" s="1"/>
  <c r="K23" i="7"/>
  <c r="J23" i="7"/>
  <c r="H23" i="7"/>
  <c r="F23" i="7"/>
  <c r="E23" i="7"/>
  <c r="I22" i="7"/>
  <c r="H22" i="7"/>
  <c r="G22" i="7"/>
  <c r="F22" i="7"/>
  <c r="M21" i="7"/>
  <c r="I21" i="7"/>
  <c r="H21" i="7"/>
  <c r="F21" i="7"/>
  <c r="E21" i="7"/>
  <c r="M15" i="7"/>
  <c r="M22" i="7" s="1"/>
  <c r="L15" i="7"/>
  <c r="K15" i="7"/>
  <c r="J15" i="7"/>
  <c r="I15" i="7"/>
  <c r="H15" i="7"/>
  <c r="H27" i="7" s="1"/>
  <c r="G15" i="7"/>
  <c r="F15" i="7"/>
  <c r="E15" i="7"/>
  <c r="N14" i="7"/>
  <c r="O13" i="7"/>
  <c r="D13" i="7"/>
  <c r="O12" i="7"/>
  <c r="D12" i="7"/>
  <c r="O11" i="7"/>
  <c r="O10" i="7"/>
  <c r="D10" i="7"/>
  <c r="O9" i="7"/>
  <c r="D9" i="7"/>
  <c r="O8" i="7"/>
  <c r="D8" i="7"/>
  <c r="D11" i="7" s="1"/>
  <c r="O7" i="7"/>
  <c r="O6" i="7"/>
  <c r="O5" i="7"/>
  <c r="N14" i="2"/>
  <c r="D219" i="6"/>
  <c r="D218" i="6"/>
  <c r="D221" i="6" s="1"/>
  <c r="D217" i="6"/>
  <c r="D216" i="6"/>
  <c r="D207" i="6"/>
  <c r="D206" i="6"/>
  <c r="D205" i="6"/>
  <c r="D208" i="6" s="1"/>
  <c r="D204" i="6"/>
  <c r="D203" i="6"/>
  <c r="M173" i="6"/>
  <c r="L173" i="6"/>
  <c r="K173" i="6"/>
  <c r="J173" i="6"/>
  <c r="I173" i="6"/>
  <c r="H173" i="6"/>
  <c r="G173" i="6"/>
  <c r="F173" i="6"/>
  <c r="E173" i="6"/>
  <c r="M172" i="6"/>
  <c r="L172" i="6"/>
  <c r="K172" i="6"/>
  <c r="J172" i="6"/>
  <c r="I172" i="6"/>
  <c r="H172" i="6"/>
  <c r="G172" i="6"/>
  <c r="F172" i="6"/>
  <c r="E172" i="6"/>
  <c r="M171" i="6"/>
  <c r="L171" i="6"/>
  <c r="K171" i="6"/>
  <c r="J171" i="6"/>
  <c r="I171" i="6"/>
  <c r="H171" i="6"/>
  <c r="G171" i="6"/>
  <c r="F171" i="6"/>
  <c r="E171" i="6"/>
  <c r="D156" i="6"/>
  <c r="D155" i="6"/>
  <c r="D158" i="6" s="1"/>
  <c r="D154" i="6"/>
  <c r="D157" i="6" s="1"/>
  <c r="D153" i="6"/>
  <c r="D144" i="6"/>
  <c r="D142" i="6"/>
  <c r="D145" i="6" s="1"/>
  <c r="D141" i="6"/>
  <c r="D140" i="6"/>
  <c r="D143" i="6" s="1"/>
  <c r="D126" i="6"/>
  <c r="D124" i="6"/>
  <c r="D123" i="6"/>
  <c r="D122" i="6"/>
  <c r="D125" i="6" s="1"/>
  <c r="D121" i="6"/>
  <c r="D113" i="6"/>
  <c r="D111" i="6"/>
  <c r="D114" i="6" s="1"/>
  <c r="D110" i="6"/>
  <c r="D109" i="6"/>
  <c r="D112" i="6" s="1"/>
  <c r="D100" i="6"/>
  <c r="D99" i="6"/>
  <c r="D102" i="6" s="1"/>
  <c r="D98" i="6"/>
  <c r="D101" i="6" s="1"/>
  <c r="D97" i="6"/>
  <c r="D86" i="6"/>
  <c r="D83" i="6"/>
  <c r="D82" i="6"/>
  <c r="D85" i="6" s="1"/>
  <c r="D81" i="6"/>
  <c r="D84" i="6" s="1"/>
  <c r="D68" i="6"/>
  <c r="D67" i="6"/>
  <c r="D65" i="6"/>
  <c r="D64" i="6"/>
  <c r="D63" i="6"/>
  <c r="D66" i="6" s="1"/>
  <c r="G56" i="6"/>
  <c r="M55" i="6"/>
  <c r="K55" i="6"/>
  <c r="D55" i="6"/>
  <c r="M54" i="6"/>
  <c r="M53" i="6"/>
  <c r="D53" i="6"/>
  <c r="M52" i="6"/>
  <c r="K52" i="6"/>
  <c r="D52" i="6"/>
  <c r="M51" i="6"/>
  <c r="K51" i="6"/>
  <c r="K54" i="6" s="1"/>
  <c r="D51" i="6"/>
  <c r="D54" i="6" s="1"/>
  <c r="M50" i="6"/>
  <c r="K50" i="6"/>
  <c r="K53" i="6" s="1"/>
  <c r="D50" i="6"/>
  <c r="M49" i="6"/>
  <c r="M48" i="6"/>
  <c r="M47" i="6"/>
  <c r="D44" i="6"/>
  <c r="D43" i="6"/>
  <c r="D41" i="6"/>
  <c r="D40" i="6"/>
  <c r="D39" i="6"/>
  <c r="D42" i="6" s="1"/>
  <c r="D27" i="6"/>
  <c r="D26" i="6"/>
  <c r="D29" i="6" s="1"/>
  <c r="D25" i="6"/>
  <c r="D28" i="6" s="1"/>
  <c r="D24" i="6"/>
  <c r="D13" i="6"/>
  <c r="D10" i="6"/>
  <c r="D9" i="6"/>
  <c r="D12" i="6" s="1"/>
  <c r="D8" i="6"/>
  <c r="D11" i="6" s="1"/>
  <c r="D219" i="5"/>
  <c r="D218" i="5"/>
  <c r="D221" i="5" s="1"/>
  <c r="D217" i="5"/>
  <c r="D216" i="5"/>
  <c r="D207" i="5"/>
  <c r="D206" i="5"/>
  <c r="D205" i="5"/>
  <c r="D208" i="5" s="1"/>
  <c r="D204" i="5"/>
  <c r="D203" i="5"/>
  <c r="M173" i="5"/>
  <c r="L173" i="5"/>
  <c r="K173" i="5"/>
  <c r="J173" i="5"/>
  <c r="I173" i="5"/>
  <c r="H173" i="5"/>
  <c r="G173" i="5"/>
  <c r="F173" i="5"/>
  <c r="E173" i="5"/>
  <c r="M172" i="5"/>
  <c r="L172" i="5"/>
  <c r="K172" i="5"/>
  <c r="J172" i="5"/>
  <c r="I172" i="5"/>
  <c r="H172" i="5"/>
  <c r="G172" i="5"/>
  <c r="F172" i="5"/>
  <c r="E172" i="5"/>
  <c r="M171" i="5"/>
  <c r="L171" i="5"/>
  <c r="K171" i="5"/>
  <c r="J171" i="5"/>
  <c r="I171" i="5"/>
  <c r="H171" i="5"/>
  <c r="G171" i="5"/>
  <c r="F171" i="5"/>
  <c r="E171" i="5"/>
  <c r="D157" i="5"/>
  <c r="D156" i="5"/>
  <c r="D177" i="5" s="1" a="1"/>
  <c r="D155" i="5"/>
  <c r="D158" i="5" s="1"/>
  <c r="D154" i="5"/>
  <c r="D153" i="5"/>
  <c r="D144" i="5"/>
  <c r="D143" i="5"/>
  <c r="D142" i="5"/>
  <c r="D145" i="5" s="1"/>
  <c r="D141" i="5"/>
  <c r="D140" i="5"/>
  <c r="D126" i="5"/>
  <c r="D124" i="5"/>
  <c r="D123" i="5"/>
  <c r="D122" i="5"/>
  <c r="D121" i="5"/>
  <c r="D113" i="5"/>
  <c r="D111" i="5"/>
  <c r="D114" i="5" s="1"/>
  <c r="D110" i="5"/>
  <c r="D109" i="5"/>
  <c r="D112" i="5" s="1"/>
  <c r="D100" i="5"/>
  <c r="D99" i="5"/>
  <c r="D102" i="5" s="1"/>
  <c r="D98" i="5"/>
  <c r="D101" i="5" s="1"/>
  <c r="D97" i="5"/>
  <c r="D85" i="5"/>
  <c r="D84" i="5"/>
  <c r="D83" i="5"/>
  <c r="D86" i="5" s="1"/>
  <c r="D82" i="5"/>
  <c r="D81" i="5"/>
  <c r="D65" i="5"/>
  <c r="D68" i="5" s="1"/>
  <c r="D64" i="5"/>
  <c r="D67" i="5" s="1"/>
  <c r="D63" i="5"/>
  <c r="D66" i="5" s="1"/>
  <c r="G56" i="5"/>
  <c r="M55" i="5"/>
  <c r="K55" i="5"/>
  <c r="D55" i="5"/>
  <c r="M54" i="5"/>
  <c r="M53" i="5"/>
  <c r="D53" i="5"/>
  <c r="M52" i="5"/>
  <c r="K52" i="5"/>
  <c r="D52" i="5"/>
  <c r="M51" i="5"/>
  <c r="K51" i="5"/>
  <c r="K54" i="5" s="1"/>
  <c r="D51" i="5"/>
  <c r="D54" i="5" s="1"/>
  <c r="M50" i="5"/>
  <c r="E73" i="5" s="1" a="1"/>
  <c r="E73" i="5" s="1"/>
  <c r="K50" i="5"/>
  <c r="K53" i="5" s="1"/>
  <c r="D50" i="5"/>
  <c r="M49" i="5"/>
  <c r="M48" i="5"/>
  <c r="M47" i="5"/>
  <c r="D43" i="5"/>
  <c r="D41" i="5"/>
  <c r="D44" i="5" s="1"/>
  <c r="D40" i="5"/>
  <c r="D39" i="5"/>
  <c r="D42" i="5" s="1"/>
  <c r="D28" i="5"/>
  <c r="D26" i="5"/>
  <c r="D29" i="5" s="1"/>
  <c r="D25" i="5"/>
  <c r="D24" i="5"/>
  <c r="D27" i="5" s="1"/>
  <c r="D13" i="5"/>
  <c r="D10" i="5"/>
  <c r="D9" i="5"/>
  <c r="D12" i="5" s="1"/>
  <c r="D8" i="5"/>
  <c r="D11" i="5" s="1"/>
  <c r="D219" i="4"/>
  <c r="D218" i="4"/>
  <c r="D221" i="4" s="1"/>
  <c r="D217" i="4"/>
  <c r="D220" i="4" s="1"/>
  <c r="D216" i="4"/>
  <c r="D205" i="4"/>
  <c r="D208" i="4" s="1"/>
  <c r="D204" i="4"/>
  <c r="D207" i="4" s="1"/>
  <c r="D203" i="4"/>
  <c r="D206" i="4" s="1"/>
  <c r="M173" i="4"/>
  <c r="L173" i="4"/>
  <c r="K173" i="4"/>
  <c r="J173" i="4"/>
  <c r="I173" i="4"/>
  <c r="H173" i="4"/>
  <c r="G173" i="4"/>
  <c r="F173" i="4"/>
  <c r="E173" i="4"/>
  <c r="M172" i="4"/>
  <c r="L172" i="4"/>
  <c r="K172" i="4"/>
  <c r="J172" i="4"/>
  <c r="I172" i="4"/>
  <c r="H172" i="4"/>
  <c r="G172" i="4"/>
  <c r="F172" i="4"/>
  <c r="E172" i="4"/>
  <c r="M171" i="4"/>
  <c r="L171" i="4"/>
  <c r="K171" i="4"/>
  <c r="J171" i="4"/>
  <c r="I171" i="4"/>
  <c r="H171" i="4"/>
  <c r="G171" i="4"/>
  <c r="F171" i="4"/>
  <c r="E171" i="4"/>
  <c r="D158" i="4"/>
  <c r="D155" i="4"/>
  <c r="D154" i="4"/>
  <c r="D157" i="4" s="1"/>
  <c r="D153" i="4"/>
  <c r="D145" i="4"/>
  <c r="D144" i="4"/>
  <c r="D142" i="4"/>
  <c r="D141" i="4"/>
  <c r="D140" i="4"/>
  <c r="D143" i="4" s="1"/>
  <c r="D125" i="4"/>
  <c r="D123" i="4"/>
  <c r="D126" i="4" s="1"/>
  <c r="D122" i="4"/>
  <c r="D121" i="4"/>
  <c r="D112" i="4"/>
  <c r="D111" i="4"/>
  <c r="D114" i="4" s="1"/>
  <c r="D110" i="4"/>
  <c r="D113" i="4" s="1"/>
  <c r="D109" i="4"/>
  <c r="D101" i="4"/>
  <c r="D100" i="4"/>
  <c r="D99" i="4"/>
  <c r="D102" i="4" s="1"/>
  <c r="D98" i="4"/>
  <c r="D97" i="4"/>
  <c r="D85" i="4"/>
  <c r="D83" i="4"/>
  <c r="D86" i="4" s="1"/>
  <c r="D82" i="4"/>
  <c r="D81" i="4"/>
  <c r="D84" i="4" s="1"/>
  <c r="D68" i="4"/>
  <c r="D66" i="4"/>
  <c r="D65" i="4"/>
  <c r="D64" i="4"/>
  <c r="D67" i="4" s="1"/>
  <c r="D63" i="4"/>
  <c r="G56" i="4"/>
  <c r="M55" i="4"/>
  <c r="M54" i="4"/>
  <c r="M53" i="4"/>
  <c r="K53" i="4"/>
  <c r="D53" i="4"/>
  <c r="M52" i="4"/>
  <c r="K52" i="4"/>
  <c r="K55" i="4" s="1"/>
  <c r="D52" i="4"/>
  <c r="D55" i="4" s="1"/>
  <c r="M51" i="4"/>
  <c r="K51" i="4"/>
  <c r="K54" i="4" s="1"/>
  <c r="D51" i="4"/>
  <c r="D54" i="4" s="1"/>
  <c r="M50" i="4"/>
  <c r="K50" i="4"/>
  <c r="D50" i="4"/>
  <c r="M49" i="4"/>
  <c r="M48" i="4"/>
  <c r="E73" i="4" s="1" a="1"/>
  <c r="E73" i="4" s="1"/>
  <c r="M47" i="4"/>
  <c r="D44" i="4"/>
  <c r="D41" i="4"/>
  <c r="D40" i="4"/>
  <c r="D43" i="4" s="1"/>
  <c r="D39" i="4"/>
  <c r="D42" i="4" s="1"/>
  <c r="D29" i="4"/>
  <c r="D27" i="4"/>
  <c r="D26" i="4"/>
  <c r="D25" i="4"/>
  <c r="D28" i="4" s="1"/>
  <c r="D24" i="4"/>
  <c r="D13" i="4"/>
  <c r="D12" i="4"/>
  <c r="D10" i="4"/>
  <c r="D9" i="4"/>
  <c r="D8" i="4"/>
  <c r="D11" i="4" s="1"/>
  <c r="M48" i="3"/>
  <c r="M49" i="3"/>
  <c r="M50" i="3"/>
  <c r="M51" i="3"/>
  <c r="M52" i="3"/>
  <c r="M53" i="3"/>
  <c r="M54" i="3"/>
  <c r="M55" i="3"/>
  <c r="M47" i="3"/>
  <c r="O14" i="2"/>
  <c r="O47" i="2"/>
  <c r="O117" i="2" a="1"/>
  <c r="O117" i="2" s="1"/>
  <c r="N118" i="2" a="1"/>
  <c r="N118" i="2" s="1"/>
  <c r="E36" i="2" a="1"/>
  <c r="E36" i="2" s="1"/>
  <c r="P5" i="2" a="1"/>
  <c r="P5" i="2" s="1"/>
  <c r="M173" i="3"/>
  <c r="L173" i="3"/>
  <c r="K173" i="3"/>
  <c r="J173" i="3"/>
  <c r="I173" i="3"/>
  <c r="H173" i="3"/>
  <c r="G173" i="3"/>
  <c r="F173" i="3"/>
  <c r="E173" i="3"/>
  <c r="M172" i="3"/>
  <c r="L172" i="3"/>
  <c r="K172" i="3"/>
  <c r="J172" i="3"/>
  <c r="I172" i="3"/>
  <c r="H172" i="3"/>
  <c r="G172" i="3"/>
  <c r="F172" i="3"/>
  <c r="E172" i="3"/>
  <c r="M171" i="3"/>
  <c r="L171" i="3"/>
  <c r="K171" i="3"/>
  <c r="J171" i="3"/>
  <c r="I171" i="3"/>
  <c r="H171" i="3"/>
  <c r="G171" i="3"/>
  <c r="F171" i="3"/>
  <c r="E171" i="3"/>
  <c r="D39" i="3"/>
  <c r="D40" i="3"/>
  <c r="D41" i="3"/>
  <c r="D42" i="3"/>
  <c r="D43" i="3"/>
  <c r="D44" i="3"/>
  <c r="D220" i="3"/>
  <c r="D218" i="3"/>
  <c r="D221" i="3" s="1"/>
  <c r="D217" i="3"/>
  <c r="D216" i="3"/>
  <c r="D219" i="3" s="1"/>
  <c r="D205" i="3"/>
  <c r="D208" i="3" s="1"/>
  <c r="D204" i="3"/>
  <c r="D207" i="3" s="1"/>
  <c r="D203" i="3"/>
  <c r="D206" i="3" s="1"/>
  <c r="D155" i="3"/>
  <c r="D158" i="3" s="1"/>
  <c r="D154" i="3"/>
  <c r="D157" i="3" s="1"/>
  <c r="D153" i="3"/>
  <c r="D145" i="3"/>
  <c r="D142" i="3"/>
  <c r="D141" i="3"/>
  <c r="D144" i="3" s="1"/>
  <c r="D140" i="3"/>
  <c r="D143" i="3" s="1"/>
  <c r="D123" i="3"/>
  <c r="D126" i="3" s="1"/>
  <c r="D122" i="3"/>
  <c r="D125" i="3" s="1"/>
  <c r="D121" i="3"/>
  <c r="D114" i="3"/>
  <c r="D113" i="3"/>
  <c r="D111" i="3"/>
  <c r="D110" i="3"/>
  <c r="D109" i="3"/>
  <c r="D112" i="3" s="1"/>
  <c r="D102" i="3"/>
  <c r="D99" i="3"/>
  <c r="D98" i="3"/>
  <c r="D101" i="3" s="1"/>
  <c r="D97" i="3"/>
  <c r="D100" i="3" s="1"/>
  <c r="D86" i="3"/>
  <c r="D85" i="3"/>
  <c r="D84" i="3"/>
  <c r="D83" i="3"/>
  <c r="D82" i="3"/>
  <c r="D81" i="3"/>
  <c r="D65" i="3"/>
  <c r="D68" i="3" s="1"/>
  <c r="D64" i="3"/>
  <c r="D67" i="3" s="1"/>
  <c r="D63" i="3"/>
  <c r="D66" i="3" s="1"/>
  <c r="K55" i="3"/>
  <c r="D54" i="3"/>
  <c r="K52" i="3"/>
  <c r="D52" i="3"/>
  <c r="D55" i="3" s="1"/>
  <c r="K51" i="3"/>
  <c r="K54" i="3" s="1"/>
  <c r="D51" i="3"/>
  <c r="K50" i="3"/>
  <c r="K53" i="3" s="1"/>
  <c r="D50" i="3"/>
  <c r="D53" i="3" s="1"/>
  <c r="D27" i="3"/>
  <c r="D26" i="3"/>
  <c r="D29" i="3" s="1"/>
  <c r="D25" i="3"/>
  <c r="D28" i="3" s="1"/>
  <c r="D24" i="3"/>
  <c r="D12" i="3"/>
  <c r="D10" i="3"/>
  <c r="D13" i="3" s="1"/>
  <c r="D9" i="3"/>
  <c r="D8" i="3"/>
  <c r="D11" i="3" s="1"/>
  <c r="D218" i="2"/>
  <c r="D221" i="2" s="1"/>
  <c r="D217" i="2"/>
  <c r="D220" i="2" s="1"/>
  <c r="D216" i="2"/>
  <c r="D219" i="2" s="1"/>
  <c r="D208" i="2"/>
  <c r="D207" i="2"/>
  <c r="D206" i="2"/>
  <c r="D205" i="2"/>
  <c r="D204" i="2"/>
  <c r="D203" i="2"/>
  <c r="D177" i="2"/>
  <c r="D177" i="2" a="1"/>
  <c r="D171" i="2" a="1"/>
  <c r="D171" i="2" s="1"/>
  <c r="D164" i="2" a="1"/>
  <c r="D164" i="2" s="1"/>
  <c r="D155" i="2"/>
  <c r="D158" i="2" s="1"/>
  <c r="D154" i="2"/>
  <c r="D157" i="2" s="1"/>
  <c r="D153" i="2"/>
  <c r="D156" i="2" s="1"/>
  <c r="D145" i="2"/>
  <c r="D144" i="2"/>
  <c r="D143" i="2"/>
  <c r="D142" i="2"/>
  <c r="D141" i="2"/>
  <c r="D140" i="2"/>
  <c r="D131" i="2" a="1"/>
  <c r="D131" i="2" s="1"/>
  <c r="D123" i="2"/>
  <c r="D126" i="2" s="1"/>
  <c r="D122" i="2"/>
  <c r="D125" i="2" s="1"/>
  <c r="D121" i="2"/>
  <c r="D124" i="2" s="1"/>
  <c r="D111" i="2"/>
  <c r="D114" i="2" s="1"/>
  <c r="D110" i="2"/>
  <c r="D113" i="2" s="1"/>
  <c r="D109" i="2"/>
  <c r="D112" i="2" s="1"/>
  <c r="D99" i="2"/>
  <c r="D102" i="2" s="1"/>
  <c r="D98" i="2"/>
  <c r="D101" i="2" s="1"/>
  <c r="D97" i="2"/>
  <c r="D100" i="2" s="1"/>
  <c r="D83" i="2"/>
  <c r="D86" i="2" s="1"/>
  <c r="D82" i="2"/>
  <c r="D85" i="2" s="1"/>
  <c r="D81" i="2"/>
  <c r="D84" i="2" s="1"/>
  <c r="D68" i="2"/>
  <c r="D65" i="2"/>
  <c r="D64" i="2"/>
  <c r="D67" i="2" s="1"/>
  <c r="D63" i="2"/>
  <c r="D66" i="2" s="1"/>
  <c r="K52" i="2"/>
  <c r="K55" i="2" s="1"/>
  <c r="K51" i="2"/>
  <c r="K54" i="2" s="1"/>
  <c r="K50" i="2"/>
  <c r="K53" i="2" s="1"/>
  <c r="D52" i="2"/>
  <c r="D55" i="2" s="1"/>
  <c r="D51" i="2"/>
  <c r="D54" i="2" s="1"/>
  <c r="D50" i="2"/>
  <c r="D53" i="2" s="1"/>
  <c r="D41" i="2"/>
  <c r="D44" i="2" s="1"/>
  <c r="D40" i="2"/>
  <c r="D43" i="2" s="1"/>
  <c r="D39" i="2"/>
  <c r="D42" i="2" s="1"/>
  <c r="D26" i="2"/>
  <c r="D29" i="2" s="1"/>
  <c r="D25" i="2"/>
  <c r="D28" i="2" s="1"/>
  <c r="D24" i="2"/>
  <c r="D27" i="2" s="1"/>
  <c r="M15" i="2"/>
  <c r="M167" i="2" s="1"/>
  <c r="F49" i="2"/>
  <c r="F48" i="2"/>
  <c r="F47" i="2"/>
  <c r="M47" i="2"/>
  <c r="M55" i="2"/>
  <c r="M54" i="2"/>
  <c r="M53" i="2"/>
  <c r="M50" i="2"/>
  <c r="M49" i="2"/>
  <c r="M48" i="2"/>
  <c r="F55" i="2"/>
  <c r="F54" i="2"/>
  <c r="F53" i="2"/>
  <c r="F52" i="2"/>
  <c r="F51" i="2"/>
  <c r="F50" i="2"/>
  <c r="M52" i="2"/>
  <c r="M51" i="2"/>
  <c r="G47" i="2" a="1"/>
  <c r="G47" i="2" s="1"/>
  <c r="O5" i="2"/>
  <c r="O6" i="2"/>
  <c r="O7" i="2"/>
  <c r="O9" i="2"/>
  <c r="O10" i="2"/>
  <c r="O11" i="2"/>
  <c r="O12" i="2"/>
  <c r="O13" i="2"/>
  <c r="O8" i="2"/>
  <c r="D9" i="2"/>
  <c r="D12" i="2" s="1"/>
  <c r="D10" i="2"/>
  <c r="D13" i="2" s="1"/>
  <c r="D8" i="2"/>
  <c r="D11" i="2" s="1"/>
  <c r="G167" i="9" l="1"/>
  <c r="G30" i="9"/>
  <c r="G25" i="9"/>
  <c r="G27" i="9"/>
  <c r="G21" i="9"/>
  <c r="G28" i="9"/>
  <c r="G22" i="9"/>
  <c r="F29" i="9"/>
  <c r="F23" i="9"/>
  <c r="F167" i="9"/>
  <c r="F30" i="9"/>
  <c r="F24" i="9"/>
  <c r="F27" i="9"/>
  <c r="F21" i="9"/>
  <c r="F25" i="9"/>
  <c r="F26" i="9"/>
  <c r="F22" i="9"/>
  <c r="F28" i="9"/>
  <c r="I167" i="9"/>
  <c r="I30" i="9"/>
  <c r="I26" i="9"/>
  <c r="I25" i="9"/>
  <c r="I28" i="9"/>
  <c r="I22" i="9"/>
  <c r="M31" i="9"/>
  <c r="G24" i="9"/>
  <c r="I29" i="9"/>
  <c r="D42" i="9"/>
  <c r="I24" i="9"/>
  <c r="E167" i="9"/>
  <c r="E24" i="9"/>
  <c r="E27" i="9"/>
  <c r="E25" i="9"/>
  <c r="E30" i="9"/>
  <c r="E21" i="9"/>
  <c r="E26" i="9"/>
  <c r="E22" i="9"/>
  <c r="E28" i="9"/>
  <c r="D124" i="9"/>
  <c r="O117" i="9" s="1" a="1"/>
  <c r="I118" i="9" a="1"/>
  <c r="D131" i="9" a="1"/>
  <c r="N47" i="9" a="1"/>
  <c r="E16" i="9" a="1"/>
  <c r="I17" i="9" s="1"/>
  <c r="E29" i="9"/>
  <c r="G26" i="9"/>
  <c r="G29" i="9"/>
  <c r="H31" i="9"/>
  <c r="E23" i="9"/>
  <c r="O14" i="9"/>
  <c r="G23" i="9"/>
  <c r="I27" i="9"/>
  <c r="D157" i="9"/>
  <c r="D171" i="9" s="1" a="1"/>
  <c r="D171" i="9" s="1"/>
  <c r="D164" i="9" a="1"/>
  <c r="J167" i="9"/>
  <c r="J25" i="9"/>
  <c r="J26" i="9"/>
  <c r="L26" i="9"/>
  <c r="L21" i="9"/>
  <c r="L27" i="9"/>
  <c r="K167" i="9"/>
  <c r="K27" i="9"/>
  <c r="G47" i="9"/>
  <c r="M167" i="9"/>
  <c r="M28" i="9"/>
  <c r="J22" i="9"/>
  <c r="J28" i="9"/>
  <c r="K22" i="9"/>
  <c r="K31" i="9" s="1"/>
  <c r="K25" i="9"/>
  <c r="K28" i="9"/>
  <c r="J30" i="9"/>
  <c r="K30" i="9"/>
  <c r="H25" i="9"/>
  <c r="O55" i="8"/>
  <c r="O52" i="8"/>
  <c r="O49" i="8"/>
  <c r="O53" i="8"/>
  <c r="O51" i="8"/>
  <c r="O48" i="8"/>
  <c r="O50" i="8"/>
  <c r="O54" i="8"/>
  <c r="N47" i="8"/>
  <c r="D177" i="8"/>
  <c r="E73" i="8" a="1"/>
  <c r="E73" i="8" s="1"/>
  <c r="K167" i="8"/>
  <c r="K27" i="8"/>
  <c r="K25" i="8"/>
  <c r="K29" i="8"/>
  <c r="K21" i="8"/>
  <c r="K23" i="8"/>
  <c r="K30" i="8"/>
  <c r="K22" i="8"/>
  <c r="K17" i="8"/>
  <c r="K26" i="8"/>
  <c r="K28" i="8"/>
  <c r="D42" i="8"/>
  <c r="E16" i="8" a="1"/>
  <c r="G30" i="8"/>
  <c r="G25" i="8"/>
  <c r="G23" i="8"/>
  <c r="G28" i="8"/>
  <c r="G24" i="8"/>
  <c r="G167" i="8"/>
  <c r="G17" i="8"/>
  <c r="G22" i="8"/>
  <c r="G29" i="8"/>
  <c r="D164" i="8" a="1"/>
  <c r="H167" i="8"/>
  <c r="H17" i="8"/>
  <c r="H24" i="8"/>
  <c r="H21" i="8"/>
  <c r="H28" i="8"/>
  <c r="H29" i="8"/>
  <c r="F31" i="8"/>
  <c r="I26" i="8"/>
  <c r="I21" i="8"/>
  <c r="I167" i="8"/>
  <c r="I28" i="8"/>
  <c r="I29" i="8"/>
  <c r="I24" i="8"/>
  <c r="I27" i="8"/>
  <c r="I25" i="8"/>
  <c r="G21" i="8"/>
  <c r="G47" i="8"/>
  <c r="J167" i="8"/>
  <c r="J24" i="8"/>
  <c r="J29" i="8"/>
  <c r="J21" i="8"/>
  <c r="J25" i="8"/>
  <c r="J27" i="8"/>
  <c r="G26" i="8"/>
  <c r="J28" i="8"/>
  <c r="O14" i="8"/>
  <c r="L22" i="8"/>
  <c r="L29" i="8"/>
  <c r="L21" i="8"/>
  <c r="L25" i="8"/>
  <c r="D125" i="8"/>
  <c r="I118" i="8" s="1" a="1"/>
  <c r="O117" i="8" a="1"/>
  <c r="M28" i="8"/>
  <c r="M25" i="8"/>
  <c r="M26" i="8"/>
  <c r="M22" i="8"/>
  <c r="L23" i="8"/>
  <c r="M23" i="8"/>
  <c r="L27" i="8"/>
  <c r="F30" i="8"/>
  <c r="F17" i="8"/>
  <c r="F27" i="8"/>
  <c r="E24" i="8"/>
  <c r="E73" i="7" a="1"/>
  <c r="E73" i="7" s="1"/>
  <c r="H31" i="7"/>
  <c r="D156" i="7"/>
  <c r="D164" i="7" s="1" a="1"/>
  <c r="K28" i="7"/>
  <c r="K30" i="7"/>
  <c r="K27" i="7"/>
  <c r="K24" i="7"/>
  <c r="K21" i="7"/>
  <c r="K22" i="7"/>
  <c r="K26" i="7"/>
  <c r="K167" i="7"/>
  <c r="L167" i="7"/>
  <c r="L29" i="7"/>
  <c r="L23" i="7"/>
  <c r="L27" i="7"/>
  <c r="L24" i="7"/>
  <c r="L21" i="7"/>
  <c r="L28" i="7"/>
  <c r="L25" i="7"/>
  <c r="L22" i="7"/>
  <c r="L26" i="7"/>
  <c r="L30" i="7"/>
  <c r="K25" i="7"/>
  <c r="G167" i="7"/>
  <c r="G26" i="7"/>
  <c r="G21" i="7"/>
  <c r="G23" i="7"/>
  <c r="G27" i="7"/>
  <c r="G17" i="7"/>
  <c r="G30" i="7"/>
  <c r="M26" i="7"/>
  <c r="M30" i="7"/>
  <c r="D44" i="7"/>
  <c r="E36" i="7" s="1" a="1"/>
  <c r="G25" i="7"/>
  <c r="G29" i="7"/>
  <c r="O14" i="7"/>
  <c r="I27" i="7"/>
  <c r="I23" i="7"/>
  <c r="I30" i="7"/>
  <c r="I24" i="7"/>
  <c r="N47" i="7" a="1"/>
  <c r="M29" i="7"/>
  <c r="M23" i="7"/>
  <c r="M24" i="7"/>
  <c r="M167" i="7"/>
  <c r="M28" i="7"/>
  <c r="M25" i="7"/>
  <c r="E16" i="7" a="1"/>
  <c r="J17" i="7" s="1"/>
  <c r="J22" i="7"/>
  <c r="J28" i="7"/>
  <c r="J30" i="7"/>
  <c r="J27" i="7"/>
  <c r="J24" i="7"/>
  <c r="J21" i="7"/>
  <c r="I118" i="7" a="1"/>
  <c r="D131" i="7" a="1"/>
  <c r="O117" i="7" a="1"/>
  <c r="O117" i="7" s="1"/>
  <c r="E167" i="7"/>
  <c r="E25" i="7"/>
  <c r="F167" i="7"/>
  <c r="F26" i="7"/>
  <c r="H17" i="7"/>
  <c r="E22" i="7"/>
  <c r="H26" i="7"/>
  <c r="D177" i="6" a="1"/>
  <c r="I118" i="6" a="1"/>
  <c r="E73" i="6" a="1"/>
  <c r="E73" i="6" s="1"/>
  <c r="D171" i="6" a="1"/>
  <c r="D171" i="6" s="1"/>
  <c r="D220" i="6"/>
  <c r="D131" i="6" a="1"/>
  <c r="D177" i="5"/>
  <c r="D171" i="5" a="1"/>
  <c r="D171" i="5" s="1"/>
  <c r="D125" i="5"/>
  <c r="I118" i="5" s="1" a="1"/>
  <c r="D220" i="5"/>
  <c r="D124" i="4"/>
  <c r="D131" i="4" s="1" a="1"/>
  <c r="I118" i="4" a="1"/>
  <c r="D156" i="4"/>
  <c r="D171" i="4" s="1" a="1"/>
  <c r="D171" i="4" s="1"/>
  <c r="D177" i="4" a="1"/>
  <c r="D156" i="3"/>
  <c r="D171" i="3" s="1" a="1"/>
  <c r="D171" i="3" s="1"/>
  <c r="I118" i="3" a="1"/>
  <c r="D124" i="3"/>
  <c r="D131" i="3" s="1" a="1"/>
  <c r="E73" i="3" a="1"/>
  <c r="E73" i="3" s="1"/>
  <c r="E164" i="2"/>
  <c r="E171" i="2" s="1"/>
  <c r="I166" i="2"/>
  <c r="H164" i="2"/>
  <c r="J166" i="2"/>
  <c r="I164" i="2"/>
  <c r="K166" i="2"/>
  <c r="J164" i="2"/>
  <c r="E165" i="2"/>
  <c r="F165" i="2"/>
  <c r="G165" i="2"/>
  <c r="H165" i="2"/>
  <c r="K165" i="2"/>
  <c r="L165" i="2"/>
  <c r="M165" i="2"/>
  <c r="H166" i="2"/>
  <c r="K164" i="2"/>
  <c r="E166" i="2"/>
  <c r="L164" i="2"/>
  <c r="F166" i="2"/>
  <c r="M164" i="2"/>
  <c r="G166" i="2"/>
  <c r="F164" i="2"/>
  <c r="I165" i="2"/>
  <c r="L166" i="2"/>
  <c r="G164" i="2"/>
  <c r="J165" i="2"/>
  <c r="M166" i="2"/>
  <c r="I118" i="2" a="1"/>
  <c r="H47" i="2"/>
  <c r="H50" i="2"/>
  <c r="G56" i="2"/>
  <c r="H51" i="2"/>
  <c r="E73" i="2" a="1"/>
  <c r="E73" i="2" s="1"/>
  <c r="N47" i="2" a="1"/>
  <c r="N47" i="2" s="1"/>
  <c r="H54" i="2"/>
  <c r="H53" i="2"/>
  <c r="H49" i="2"/>
  <c r="H48" i="2"/>
  <c r="H55" i="2"/>
  <c r="H52" i="2"/>
  <c r="E16" i="2" a="1"/>
  <c r="E16" i="2" s="1"/>
  <c r="H15" i="2"/>
  <c r="H167" i="2" s="1"/>
  <c r="G15" i="2"/>
  <c r="G167" i="2" s="1"/>
  <c r="F15" i="2"/>
  <c r="F167" i="2" s="1"/>
  <c r="E15" i="2"/>
  <c r="E167" i="2" s="1"/>
  <c r="J15" i="2"/>
  <c r="J167" i="2" s="1"/>
  <c r="L15" i="2"/>
  <c r="L167" i="2" s="1"/>
  <c r="I15" i="2"/>
  <c r="I167" i="2" s="1"/>
  <c r="K15" i="2"/>
  <c r="K167" i="2" s="1"/>
  <c r="D131" i="9" l="1"/>
  <c r="K166" i="9"/>
  <c r="K173" i="9" s="1"/>
  <c r="H165" i="9"/>
  <c r="H172" i="9" s="1"/>
  <c r="J166" i="9"/>
  <c r="J173" i="9" s="1"/>
  <c r="G165" i="9"/>
  <c r="G172" i="9" s="1"/>
  <c r="D164" i="9"/>
  <c r="H166" i="9"/>
  <c r="H173" i="9" s="1"/>
  <c r="E165" i="9"/>
  <c r="E172" i="9" s="1"/>
  <c r="M165" i="9"/>
  <c r="M172" i="9" s="1"/>
  <c r="L165" i="9"/>
  <c r="L172" i="9" s="1"/>
  <c r="J165" i="9"/>
  <c r="J172" i="9" s="1"/>
  <c r="I165" i="9"/>
  <c r="I172" i="9" s="1"/>
  <c r="M166" i="9"/>
  <c r="M173" i="9" s="1"/>
  <c r="L166" i="9"/>
  <c r="L173" i="9" s="1"/>
  <c r="G166" i="9"/>
  <c r="G173" i="9" s="1"/>
  <c r="I166" i="9"/>
  <c r="I173" i="9" s="1"/>
  <c r="E166" i="9"/>
  <c r="E173" i="9" s="1"/>
  <c r="K165" i="9"/>
  <c r="K172" i="9" s="1"/>
  <c r="F165" i="9"/>
  <c r="F172" i="9" s="1"/>
  <c r="F166" i="9"/>
  <c r="F173" i="9" s="1"/>
  <c r="D177" i="9" a="1"/>
  <c r="G17" i="9"/>
  <c r="E31" i="9"/>
  <c r="P5" i="9" a="1"/>
  <c r="G31" i="9"/>
  <c r="E16" i="9"/>
  <c r="E17" i="9" s="1"/>
  <c r="L17" i="9"/>
  <c r="M17" i="9"/>
  <c r="H17" i="9"/>
  <c r="J17" i="9"/>
  <c r="K17" i="9"/>
  <c r="O54" i="9"/>
  <c r="O51" i="9"/>
  <c r="O55" i="9"/>
  <c r="O52" i="9"/>
  <c r="O49" i="9"/>
  <c r="O53" i="9"/>
  <c r="O50" i="9"/>
  <c r="N47" i="9"/>
  <c r="O48" i="9"/>
  <c r="F31" i="9"/>
  <c r="O117" i="9"/>
  <c r="I31" i="9"/>
  <c r="I118" i="9"/>
  <c r="G56" i="9"/>
  <c r="E36" i="9" a="1"/>
  <c r="L31" i="9"/>
  <c r="F17" i="9"/>
  <c r="J31" i="9"/>
  <c r="L31" i="8"/>
  <c r="G31" i="8"/>
  <c r="E36" i="8" a="1"/>
  <c r="H31" i="8"/>
  <c r="O47" i="8"/>
  <c r="N56" i="8"/>
  <c r="G56" i="8"/>
  <c r="M31" i="8"/>
  <c r="O117" i="8"/>
  <c r="I118" i="8"/>
  <c r="K165" i="8"/>
  <c r="K172" i="8" s="1"/>
  <c r="M166" i="8"/>
  <c r="M173" i="8" s="1"/>
  <c r="J165" i="8"/>
  <c r="J172" i="8" s="1"/>
  <c r="F166" i="8"/>
  <c r="F173" i="8" s="1"/>
  <c r="E166" i="8"/>
  <c r="E173" i="8" s="1"/>
  <c r="L165" i="8"/>
  <c r="L172" i="8" s="1"/>
  <c r="G165" i="8"/>
  <c r="G172" i="8" s="1"/>
  <c r="L166" i="8"/>
  <c r="L173" i="8" s="1"/>
  <c r="F165" i="8"/>
  <c r="F172" i="8" s="1"/>
  <c r="E165" i="8"/>
  <c r="E172" i="8" s="1"/>
  <c r="K166" i="8"/>
  <c r="K173" i="8" s="1"/>
  <c r="J166" i="8"/>
  <c r="J173" i="8" s="1"/>
  <c r="I166" i="8"/>
  <c r="I173" i="8" s="1"/>
  <c r="H166" i="8"/>
  <c r="H173" i="8" s="1"/>
  <c r="G166" i="8"/>
  <c r="G173" i="8" s="1"/>
  <c r="M165" i="8"/>
  <c r="M172" i="8" s="1"/>
  <c r="I165" i="8"/>
  <c r="I172" i="8" s="1"/>
  <c r="H165" i="8"/>
  <c r="H172" i="8" s="1"/>
  <c r="D164" i="8"/>
  <c r="D131" i="8" a="1"/>
  <c r="I31" i="8"/>
  <c r="E16" i="8"/>
  <c r="E17" i="8" s="1"/>
  <c r="M17" i="8"/>
  <c r="L17" i="8"/>
  <c r="J17" i="8"/>
  <c r="I17" i="8"/>
  <c r="K31" i="8"/>
  <c r="P5" i="8" a="1"/>
  <c r="E31" i="8"/>
  <c r="J31" i="8"/>
  <c r="C188" i="2" a="1"/>
  <c r="C188" i="2" s="1"/>
  <c r="M166" i="7"/>
  <c r="M173" i="7" s="1"/>
  <c r="J165" i="7"/>
  <c r="J172" i="7" s="1"/>
  <c r="L166" i="7"/>
  <c r="L173" i="7" s="1"/>
  <c r="I165" i="7"/>
  <c r="I172" i="7" s="1"/>
  <c r="I166" i="7"/>
  <c r="I173" i="7" s="1"/>
  <c r="F165" i="7"/>
  <c r="F172" i="7" s="1"/>
  <c r="H165" i="7"/>
  <c r="H172" i="7" s="1"/>
  <c r="G165" i="7"/>
  <c r="G172" i="7" s="1"/>
  <c r="E165" i="7"/>
  <c r="E172" i="7" s="1"/>
  <c r="K166" i="7"/>
  <c r="K173" i="7" s="1"/>
  <c r="F166" i="7"/>
  <c r="F173" i="7" s="1"/>
  <c r="E166" i="7"/>
  <c r="E173" i="7" s="1"/>
  <c r="M165" i="7"/>
  <c r="M172" i="7" s="1"/>
  <c r="L165" i="7"/>
  <c r="L172" i="7" s="1"/>
  <c r="K165" i="7"/>
  <c r="K172" i="7" s="1"/>
  <c r="J166" i="7"/>
  <c r="J173" i="7" s="1"/>
  <c r="H166" i="7"/>
  <c r="H173" i="7" s="1"/>
  <c r="D164" i="7"/>
  <c r="G166" i="7"/>
  <c r="G173" i="7" s="1"/>
  <c r="E36" i="7"/>
  <c r="N36" i="7" s="1" a="1"/>
  <c r="N36" i="7" s="1"/>
  <c r="J31" i="7"/>
  <c r="D171" i="7" a="1"/>
  <c r="D171" i="7" s="1"/>
  <c r="M17" i="7"/>
  <c r="L17" i="7"/>
  <c r="K17" i="7"/>
  <c r="E31" i="7"/>
  <c r="N47" i="7"/>
  <c r="O54" i="7"/>
  <c r="O49" i="7"/>
  <c r="O51" i="7"/>
  <c r="O48" i="7"/>
  <c r="O50" i="7"/>
  <c r="O52" i="7"/>
  <c r="O55" i="7"/>
  <c r="O53" i="7"/>
  <c r="I31" i="7"/>
  <c r="P5" i="7" a="1"/>
  <c r="G31" i="7"/>
  <c r="G56" i="7"/>
  <c r="D131" i="7"/>
  <c r="K31" i="7"/>
  <c r="D177" i="7" a="1"/>
  <c r="I118" i="7"/>
  <c r="F31" i="7"/>
  <c r="M31" i="7"/>
  <c r="L31" i="7"/>
  <c r="E16" i="7"/>
  <c r="E17" i="7" s="1"/>
  <c r="F17" i="7"/>
  <c r="I17" i="7"/>
  <c r="I118" i="6"/>
  <c r="D131" i="6"/>
  <c r="D177" i="6"/>
  <c r="I118" i="5"/>
  <c r="D131" i="5" a="1"/>
  <c r="D131" i="4"/>
  <c r="I118" i="4"/>
  <c r="D177" i="4"/>
  <c r="G56" i="3"/>
  <c r="D131" i="3"/>
  <c r="D177" i="3" a="1"/>
  <c r="I118" i="3"/>
  <c r="I173" i="2"/>
  <c r="H172" i="2"/>
  <c r="H171" i="2"/>
  <c r="F172" i="2"/>
  <c r="M172" i="2"/>
  <c r="M171" i="2"/>
  <c r="L172" i="2"/>
  <c r="L171" i="2"/>
  <c r="E173" i="2"/>
  <c r="K171" i="2"/>
  <c r="E172" i="2"/>
  <c r="G172" i="2"/>
  <c r="I118" i="2"/>
  <c r="O54" i="2"/>
  <c r="O55" i="2"/>
  <c r="O48" i="2"/>
  <c r="O51" i="2"/>
  <c r="O50" i="2"/>
  <c r="O53" i="2"/>
  <c r="O49" i="2"/>
  <c r="O52" i="2"/>
  <c r="H56" i="2"/>
  <c r="H57" i="2" s="1"/>
  <c r="I28" i="2"/>
  <c r="I24" i="2"/>
  <c r="I23" i="2"/>
  <c r="I29" i="2"/>
  <c r="I25" i="2"/>
  <c r="I21" i="2"/>
  <c r="I27" i="2"/>
  <c r="I30" i="2"/>
  <c r="I26" i="2"/>
  <c r="I22" i="2"/>
  <c r="L29" i="2"/>
  <c r="L25" i="2"/>
  <c r="L21" i="2"/>
  <c r="L30" i="2"/>
  <c r="L26" i="2"/>
  <c r="L22" i="2"/>
  <c r="L27" i="2"/>
  <c r="L23" i="2"/>
  <c r="L28" i="2"/>
  <c r="L24" i="2"/>
  <c r="J29" i="2"/>
  <c r="J25" i="2"/>
  <c r="J21" i="2"/>
  <c r="J30" i="2"/>
  <c r="J26" i="2"/>
  <c r="J22" i="2"/>
  <c r="J27" i="2"/>
  <c r="J23" i="2"/>
  <c r="J28" i="2"/>
  <c r="J24" i="2"/>
  <c r="M30" i="2"/>
  <c r="M26" i="2"/>
  <c r="M22" i="2"/>
  <c r="M27" i="2"/>
  <c r="M23" i="2"/>
  <c r="M28" i="2"/>
  <c r="M24" i="2"/>
  <c r="M29" i="2"/>
  <c r="M25" i="2"/>
  <c r="M21" i="2"/>
  <c r="F27" i="2"/>
  <c r="F23" i="2"/>
  <c r="F30" i="2"/>
  <c r="F26" i="2"/>
  <c r="F28" i="2"/>
  <c r="F24" i="2"/>
  <c r="F22" i="2"/>
  <c r="F29" i="2"/>
  <c r="F25" i="2"/>
  <c r="F21" i="2"/>
  <c r="E27" i="2"/>
  <c r="E23" i="2"/>
  <c r="E30" i="2"/>
  <c r="E22" i="2"/>
  <c r="E28" i="2"/>
  <c r="E24" i="2"/>
  <c r="E29" i="2"/>
  <c r="E25" i="2"/>
  <c r="E21" i="2"/>
  <c r="E26" i="2"/>
  <c r="G28" i="2"/>
  <c r="G24" i="2"/>
  <c r="G29" i="2"/>
  <c r="G25" i="2"/>
  <c r="G21" i="2"/>
  <c r="G30" i="2"/>
  <c r="G26" i="2"/>
  <c r="G22" i="2"/>
  <c r="G27" i="2"/>
  <c r="G23" i="2"/>
  <c r="H28" i="2"/>
  <c r="H24" i="2"/>
  <c r="H27" i="2"/>
  <c r="H29" i="2"/>
  <c r="H25" i="2"/>
  <c r="H21" i="2"/>
  <c r="H30" i="2"/>
  <c r="H26" i="2"/>
  <c r="H22" i="2"/>
  <c r="H23" i="2"/>
  <c r="K29" i="2"/>
  <c r="K25" i="2"/>
  <c r="K21" i="2"/>
  <c r="K24" i="2"/>
  <c r="K30" i="2"/>
  <c r="K26" i="2"/>
  <c r="K22" i="2"/>
  <c r="K27" i="2"/>
  <c r="K23" i="2"/>
  <c r="K28" i="2"/>
  <c r="N56" i="2"/>
  <c r="F17" i="2"/>
  <c r="G17" i="2"/>
  <c r="H17" i="2"/>
  <c r="K17" i="2"/>
  <c r="I17" i="2"/>
  <c r="L17" i="2"/>
  <c r="M17" i="2"/>
  <c r="J17" i="2"/>
  <c r="E17" i="2"/>
  <c r="D177" i="9" l="1"/>
  <c r="E164" i="9"/>
  <c r="E171" i="9" s="1"/>
  <c r="G164" i="9"/>
  <c r="G171" i="9" s="1"/>
  <c r="F164" i="9"/>
  <c r="F171" i="9" s="1"/>
  <c r="K164" i="9"/>
  <c r="K171" i="9" s="1"/>
  <c r="J164" i="9"/>
  <c r="J171" i="9" s="1"/>
  <c r="I164" i="9"/>
  <c r="I171" i="9" s="1"/>
  <c r="H164" i="9"/>
  <c r="H171" i="9" s="1"/>
  <c r="M164" i="9"/>
  <c r="M171" i="9" s="1"/>
  <c r="L164" i="9"/>
  <c r="L171" i="9" s="1"/>
  <c r="N56" i="9"/>
  <c r="O47" i="9"/>
  <c r="Q13" i="9"/>
  <c r="R13" i="9" s="1"/>
  <c r="Q10" i="9"/>
  <c r="R10" i="9" s="1"/>
  <c r="Q7" i="9"/>
  <c r="R7" i="9" s="1"/>
  <c r="Q6" i="9"/>
  <c r="R6" i="9" s="1"/>
  <c r="Q12" i="9"/>
  <c r="R12" i="9" s="1"/>
  <c r="Q8" i="9"/>
  <c r="R8" i="9" s="1"/>
  <c r="Q11" i="9"/>
  <c r="R11" i="9" s="1"/>
  <c r="P5" i="9"/>
  <c r="Q5" i="9" s="1"/>
  <c r="R5" i="9" s="1"/>
  <c r="Q9" i="9"/>
  <c r="R9" i="9" s="1"/>
  <c r="E36" i="9"/>
  <c r="N36" i="9" s="1" a="1"/>
  <c r="N36" i="9" s="1"/>
  <c r="P5" i="8"/>
  <c r="Q5" i="8" s="1"/>
  <c r="R5" i="8" s="1"/>
  <c r="Q11" i="8"/>
  <c r="R11" i="8" s="1"/>
  <c r="Q8" i="8"/>
  <c r="R8" i="8" s="1"/>
  <c r="Q13" i="8"/>
  <c r="R13" i="8" s="1"/>
  <c r="Q9" i="8"/>
  <c r="R9" i="8" s="1"/>
  <c r="Q6" i="8"/>
  <c r="R6" i="8" s="1"/>
  <c r="Q10" i="8"/>
  <c r="R10" i="8" s="1"/>
  <c r="Q7" i="8"/>
  <c r="R7" i="8" s="1"/>
  <c r="Q12" i="8"/>
  <c r="R12" i="8" s="1"/>
  <c r="F59" i="8" a="1"/>
  <c r="O56" i="8"/>
  <c r="O57" i="8" s="1"/>
  <c r="D131" i="8"/>
  <c r="E36" i="8"/>
  <c r="H164" i="8"/>
  <c r="H171" i="8" s="1"/>
  <c r="G164" i="8"/>
  <c r="G171" i="8" s="1"/>
  <c r="J164" i="8"/>
  <c r="J171" i="8" s="1"/>
  <c r="I164" i="8"/>
  <c r="I171" i="8" s="1"/>
  <c r="E164" i="8"/>
  <c r="E171" i="8" s="1"/>
  <c r="M164" i="8"/>
  <c r="M171" i="8" s="1"/>
  <c r="L164" i="8"/>
  <c r="L171" i="8" s="1"/>
  <c r="K164" i="8"/>
  <c r="K171" i="8" s="1"/>
  <c r="F164" i="8"/>
  <c r="F171" i="8" s="1"/>
  <c r="Q8" i="7"/>
  <c r="R8" i="7" s="1"/>
  <c r="Q11" i="7"/>
  <c r="R11" i="7" s="1"/>
  <c r="Q12" i="7"/>
  <c r="R12" i="7" s="1"/>
  <c r="Q6" i="7"/>
  <c r="R6" i="7" s="1"/>
  <c r="Q7" i="7"/>
  <c r="R7" i="7" s="1"/>
  <c r="Q10" i="7"/>
  <c r="R10" i="7" s="1"/>
  <c r="Q13" i="7"/>
  <c r="R13" i="7" s="1"/>
  <c r="Q9" i="7"/>
  <c r="R9" i="7" s="1"/>
  <c r="P5" i="7"/>
  <c r="Q5" i="7" s="1"/>
  <c r="R5" i="7" s="1"/>
  <c r="G164" i="7"/>
  <c r="G171" i="7" s="1"/>
  <c r="F164" i="7"/>
  <c r="F171" i="7" s="1"/>
  <c r="M164" i="7"/>
  <c r="M171" i="7" s="1"/>
  <c r="H164" i="7"/>
  <c r="H171" i="7" s="1"/>
  <c r="L164" i="7"/>
  <c r="L171" i="7" s="1"/>
  <c r="K164" i="7"/>
  <c r="K171" i="7" s="1"/>
  <c r="J164" i="7"/>
  <c r="J171" i="7" s="1"/>
  <c r="I164" i="7"/>
  <c r="I171" i="7" s="1"/>
  <c r="E164" i="7"/>
  <c r="E171" i="7" s="1"/>
  <c r="D177" i="7"/>
  <c r="O47" i="7"/>
  <c r="F59" i="7" s="1" a="1"/>
  <c r="F59" i="7" s="1"/>
  <c r="N56" i="7"/>
  <c r="D131" i="5"/>
  <c r="D177" i="3"/>
  <c r="I172" i="2"/>
  <c r="L173" i="2"/>
  <c r="G173" i="2"/>
  <c r="G171" i="2"/>
  <c r="I171" i="2"/>
  <c r="H173" i="2"/>
  <c r="M173" i="2"/>
  <c r="F173" i="2"/>
  <c r="J171" i="2"/>
  <c r="J173" i="2"/>
  <c r="J172" i="2"/>
  <c r="F171" i="2"/>
  <c r="K172" i="2"/>
  <c r="K173" i="2"/>
  <c r="I31" i="2"/>
  <c r="E31" i="2"/>
  <c r="J31" i="2"/>
  <c r="G31" i="2"/>
  <c r="H31" i="2"/>
  <c r="M31" i="2"/>
  <c r="F31" i="2"/>
  <c r="K31" i="2"/>
  <c r="O56" i="2"/>
  <c r="F59" i="2" a="1"/>
  <c r="L31" i="2"/>
  <c r="O56" i="9" l="1"/>
  <c r="O57" i="9" s="1"/>
  <c r="F59" i="9" a="1"/>
  <c r="F59" i="8"/>
  <c r="N36" i="8" a="1"/>
  <c r="N36" i="8" s="1"/>
  <c r="O56" i="7"/>
  <c r="O57" i="7" s="1"/>
  <c r="O57" i="2"/>
  <c r="E60" i="2" a="1"/>
  <c r="G63" i="2" s="1"/>
  <c r="N36" i="2" a="1"/>
  <c r="N36" i="2" s="1"/>
  <c r="Q6" i="2"/>
  <c r="R6" i="2" s="1"/>
  <c r="Q7" i="2"/>
  <c r="R7" i="2" s="1"/>
  <c r="Q8" i="2"/>
  <c r="R8" i="2" s="1"/>
  <c r="Q9" i="2"/>
  <c r="R9" i="2" s="1"/>
  <c r="Q10" i="2"/>
  <c r="R10" i="2" s="1"/>
  <c r="Q11" i="2"/>
  <c r="R11" i="2" s="1"/>
  <c r="Q12" i="2"/>
  <c r="R12" i="2" s="1"/>
  <c r="Q13" i="2"/>
  <c r="R13" i="2" s="1"/>
  <c r="F59" i="2"/>
  <c r="F59" i="9" l="1"/>
  <c r="G65" i="2"/>
  <c r="G61" i="2"/>
  <c r="G66" i="2"/>
  <c r="G62" i="2"/>
  <c r="G64" i="2"/>
  <c r="G67" i="2"/>
  <c r="G68" i="2"/>
  <c r="Q5" i="2"/>
  <c r="R5" i="2" s="1"/>
  <c r="E60" i="2"/>
  <c r="G60" i="2" s="1"/>
  <c r="I72" i="2" l="1" a="1"/>
  <c r="I72" i="2" s="1"/>
  <c r="I74" i="2" s="1"/>
  <c r="D88" i="2" a="1"/>
  <c r="L72" i="2" a="1"/>
  <c r="L72" i="2" s="1"/>
  <c r="L74" i="2" s="1"/>
  <c r="J102" i="2" l="1"/>
  <c r="G101" i="2"/>
  <c r="M99" i="2"/>
  <c r="J98" i="2"/>
  <c r="G97" i="2"/>
  <c r="M95" i="2"/>
  <c r="J94" i="2"/>
  <c r="E101" i="2"/>
  <c r="I102" i="2"/>
  <c r="F101" i="2"/>
  <c r="L99" i="2"/>
  <c r="I98" i="2"/>
  <c r="F97" i="2"/>
  <c r="L95" i="2"/>
  <c r="I94" i="2"/>
  <c r="H102" i="2"/>
  <c r="K99" i="2"/>
  <c r="H98" i="2"/>
  <c r="E97" i="2"/>
  <c r="K95" i="2"/>
  <c r="H94" i="2"/>
  <c r="F102" i="2"/>
  <c r="L100" i="2"/>
  <c r="I99" i="2"/>
  <c r="F98" i="2"/>
  <c r="L96" i="2"/>
  <c r="I95" i="2"/>
  <c r="F94" i="2"/>
  <c r="E102" i="2"/>
  <c r="K100" i="2"/>
  <c r="H99" i="2"/>
  <c r="E98" i="2"/>
  <c r="K96" i="2"/>
  <c r="H95" i="2"/>
  <c r="E94" i="2"/>
  <c r="M101" i="2"/>
  <c r="J100" i="2"/>
  <c r="G99" i="2"/>
  <c r="M97" i="2"/>
  <c r="J96" i="2"/>
  <c r="G95" i="2"/>
  <c r="L101" i="2"/>
  <c r="I100" i="2"/>
  <c r="F99" i="2"/>
  <c r="L97" i="2"/>
  <c r="I96" i="2"/>
  <c r="F95" i="2"/>
  <c r="G102" i="2"/>
  <c r="M100" i="2"/>
  <c r="J99" i="2"/>
  <c r="G98" i="2"/>
  <c r="M96" i="2"/>
  <c r="J95" i="2"/>
  <c r="G94" i="2"/>
  <c r="I101" i="2"/>
  <c r="I97" i="2"/>
  <c r="H101" i="2"/>
  <c r="H97" i="2"/>
  <c r="H100" i="2"/>
  <c r="H96" i="2"/>
  <c r="F100" i="2"/>
  <c r="F96" i="2"/>
  <c r="E100" i="2"/>
  <c r="E96" i="2"/>
  <c r="E99" i="2"/>
  <c r="E95" i="2"/>
  <c r="M102" i="2"/>
  <c r="M98" i="2"/>
  <c r="M94" i="2"/>
  <c r="L94" i="2"/>
  <c r="K102" i="2"/>
  <c r="K98" i="2"/>
  <c r="K94" i="2"/>
  <c r="K101" i="2"/>
  <c r="J101" i="2"/>
  <c r="J97" i="2"/>
  <c r="G100" i="2"/>
  <c r="G96" i="2"/>
  <c r="L102" i="2"/>
  <c r="L98" i="2"/>
  <c r="K97" i="2"/>
  <c r="E90" i="2"/>
  <c r="F72" i="2" a="1"/>
  <c r="F72" i="2" s="1"/>
  <c r="F74" i="2" s="1"/>
  <c r="M72" i="2" a="1"/>
  <c r="M72" i="2" s="1"/>
  <c r="M74" i="2" s="1"/>
  <c r="J72" i="2" a="1"/>
  <c r="J72" i="2" s="1"/>
  <c r="J74" i="2" s="1"/>
  <c r="D88" i="2"/>
  <c r="L90" i="2"/>
  <c r="M90" i="2"/>
  <c r="F90" i="2"/>
  <c r="G90" i="2"/>
  <c r="K72" i="2" a="1"/>
  <c r="K72" i="2" s="1"/>
  <c r="K74" i="2" s="1"/>
  <c r="H72" i="2" a="1"/>
  <c r="H72" i="2" s="1"/>
  <c r="H74" i="2" s="1"/>
  <c r="E72" i="2" a="1"/>
  <c r="E72" i="2" s="1"/>
  <c r="E74" i="2" s="1"/>
  <c r="J90" i="2"/>
  <c r="G72" i="2" a="1"/>
  <c r="G72" i="2" s="1"/>
  <c r="G74" i="2" s="1"/>
  <c r="H90" i="2"/>
  <c r="I90" i="2"/>
  <c r="K90" i="2"/>
  <c r="N90" i="2" l="1"/>
  <c r="B78" i="2" a="1"/>
  <c r="N103" i="2" l="1"/>
  <c r="K85" i="2"/>
  <c r="H84" i="2"/>
  <c r="E83" i="2"/>
  <c r="K81" i="2"/>
  <c r="H80" i="2"/>
  <c r="E79" i="2"/>
  <c r="J83" i="2"/>
  <c r="F86" i="2"/>
  <c r="L80" i="2"/>
  <c r="M86" i="2"/>
  <c r="J85" i="2"/>
  <c r="G84" i="2"/>
  <c r="M82" i="2"/>
  <c r="J81" i="2"/>
  <c r="G80" i="2"/>
  <c r="K86" i="2"/>
  <c r="H81" i="2"/>
  <c r="J86" i="2"/>
  <c r="G85" i="2"/>
  <c r="M83" i="2"/>
  <c r="J82" i="2"/>
  <c r="G81" i="2"/>
  <c r="M79" i="2"/>
  <c r="I86" i="2"/>
  <c r="F85" i="2"/>
  <c r="L83" i="2"/>
  <c r="I82" i="2"/>
  <c r="F81" i="2"/>
  <c r="L79" i="2"/>
  <c r="H86" i="2"/>
  <c r="E85" i="2"/>
  <c r="K83" i="2"/>
  <c r="H82" i="2"/>
  <c r="K79" i="2"/>
  <c r="E86" i="2"/>
  <c r="K84" i="2"/>
  <c r="H83" i="2"/>
  <c r="E82" i="2"/>
  <c r="K80" i="2"/>
  <c r="H79" i="2"/>
  <c r="M85" i="2"/>
  <c r="J84" i="2"/>
  <c r="G83" i="2"/>
  <c r="M81" i="2"/>
  <c r="J80" i="2"/>
  <c r="G79" i="2"/>
  <c r="L86" i="2"/>
  <c r="I85" i="2"/>
  <c r="F84" i="2"/>
  <c r="L82" i="2"/>
  <c r="I81" i="2"/>
  <c r="F80" i="2"/>
  <c r="H85" i="2"/>
  <c r="E84" i="2"/>
  <c r="K82" i="2"/>
  <c r="E80" i="2"/>
  <c r="E81" i="2"/>
  <c r="G86" i="2"/>
  <c r="M84" i="2"/>
  <c r="G82" i="2"/>
  <c r="M80" i="2"/>
  <c r="J79" i="2"/>
  <c r="L84" i="2"/>
  <c r="I83" i="2"/>
  <c r="F82" i="2"/>
  <c r="I79" i="2"/>
  <c r="L85" i="2"/>
  <c r="I84" i="2"/>
  <c r="F83" i="2"/>
  <c r="L81" i="2"/>
  <c r="I80" i="2"/>
  <c r="F79" i="2"/>
  <c r="F113" i="2"/>
  <c r="B78" i="2"/>
  <c r="F107" i="2" l="1"/>
  <c r="G110" i="2"/>
  <c r="I113" i="2"/>
  <c r="K112" i="2"/>
  <c r="I114" i="2"/>
  <c r="G112" i="2"/>
  <c r="I108" i="2"/>
  <c r="M112" i="2"/>
  <c r="L114" i="2"/>
  <c r="E114" i="2"/>
  <c r="M107" i="2"/>
  <c r="M132" i="2" s="1"/>
  <c r="J113" i="2"/>
  <c r="L109" i="2"/>
  <c r="G114" i="2"/>
  <c r="G107" i="2"/>
  <c r="K107" i="2"/>
  <c r="G109" i="2"/>
  <c r="M114" i="2"/>
  <c r="F111" i="2"/>
  <c r="E109" i="2"/>
  <c r="J108" i="2"/>
  <c r="H110" i="2"/>
  <c r="J110" i="2"/>
  <c r="L108" i="2"/>
  <c r="I112" i="2"/>
  <c r="E108" i="2"/>
  <c r="M109" i="2"/>
  <c r="K111" i="2"/>
  <c r="M111" i="2"/>
  <c r="F114" i="2"/>
  <c r="L113" i="2"/>
  <c r="K110" i="2"/>
  <c r="G111" i="2"/>
  <c r="E113" i="2"/>
  <c r="G113" i="2"/>
  <c r="G132" i="2" s="1"/>
  <c r="J111" i="2"/>
  <c r="I107" i="2"/>
  <c r="E112" i="2"/>
  <c r="J112" i="2"/>
  <c r="H114" i="2"/>
  <c r="J114" i="2"/>
  <c r="E107" i="2"/>
  <c r="F110" i="2"/>
  <c r="F132" i="2" s="1"/>
  <c r="H113" i="2"/>
  <c r="M113" i="2"/>
  <c r="L107" i="2"/>
  <c r="L132" i="2" s="1"/>
  <c r="H109" i="2"/>
  <c r="H108" i="2"/>
  <c r="I111" i="2"/>
  <c r="F108" i="2"/>
  <c r="H107" i="2"/>
  <c r="F109" i="2"/>
  <c r="K114" i="2"/>
  <c r="K109" i="2"/>
  <c r="L112" i="2"/>
  <c r="I109" i="2"/>
  <c r="K108" i="2"/>
  <c r="I110" i="2"/>
  <c r="G108" i="2"/>
  <c r="G133" i="2" s="1"/>
  <c r="E111" i="2"/>
  <c r="J107" i="2"/>
  <c r="L110" i="2"/>
  <c r="E110" i="2"/>
  <c r="L111" i="2"/>
  <c r="J109" i="2"/>
  <c r="H112" i="2"/>
  <c r="M108" i="2"/>
  <c r="F112" i="2"/>
  <c r="H111" i="2"/>
  <c r="M110" i="2"/>
  <c r="K113" i="2"/>
  <c r="K132" i="2" s="1"/>
  <c r="M78" i="2"/>
  <c r="J78" i="2"/>
  <c r="I78" i="2"/>
  <c r="H78" i="2"/>
  <c r="E78" i="2"/>
  <c r="L78" i="2"/>
  <c r="K78" i="2"/>
  <c r="G78" i="2"/>
  <c r="F78" i="2"/>
  <c r="K133" i="2"/>
  <c r="E120" i="2"/>
  <c r="Q118" i="2" s="1"/>
  <c r="E119" i="2"/>
  <c r="P118" i="2" s="1"/>
  <c r="E121" i="2"/>
  <c r="O119" i="2" s="1"/>
  <c r="E122" i="2"/>
  <c r="P119" i="2" s="1"/>
  <c r="E124" i="2"/>
  <c r="O120" i="2" s="1"/>
  <c r="E123" i="2"/>
  <c r="Q119" i="2" s="1"/>
  <c r="E125" i="2"/>
  <c r="P120" i="2" s="1"/>
  <c r="E126" i="2"/>
  <c r="Q120" i="2" s="1"/>
  <c r="J132" i="2" l="1"/>
  <c r="E133" i="2"/>
  <c r="J133" i="2"/>
  <c r="L133" i="2"/>
  <c r="F133" i="2"/>
  <c r="E132" i="2"/>
  <c r="E106" i="2"/>
  <c r="E131" i="2" s="1"/>
  <c r="N87" i="2"/>
  <c r="G106" i="2"/>
  <c r="G131" i="2" s="1"/>
  <c r="K106" i="2"/>
  <c r="K115" i="2" s="1"/>
  <c r="L106" i="2"/>
  <c r="L131" i="2" s="1"/>
  <c r="H106" i="2"/>
  <c r="H131" i="2" s="1"/>
  <c r="M106" i="2"/>
  <c r="M115" i="2" s="1"/>
  <c r="F106" i="2"/>
  <c r="F115" i="2" s="1"/>
  <c r="I106" i="2"/>
  <c r="J106" i="2"/>
  <c r="J115" i="2" s="1"/>
  <c r="P121" i="2"/>
  <c r="T118" i="2" s="1" a="1"/>
  <c r="T118" i="2" s="1"/>
  <c r="Q121" i="2"/>
  <c r="U118" i="2" s="1" a="1"/>
  <c r="U118" i="2" s="1"/>
  <c r="N113" i="2"/>
  <c r="H132" i="2"/>
  <c r="N107" i="2"/>
  <c r="M133" i="2"/>
  <c r="H133" i="2"/>
  <c r="I133" i="2"/>
  <c r="N112" i="2"/>
  <c r="N108" i="2"/>
  <c r="N111" i="2"/>
  <c r="N110" i="2"/>
  <c r="E118" i="2"/>
  <c r="I132" i="2"/>
  <c r="N114" i="2"/>
  <c r="N109" i="2"/>
  <c r="J120" i="2"/>
  <c r="G126" i="2" s="1" a="1"/>
  <c r="G126" i="2" s="1"/>
  <c r="J119" i="2"/>
  <c r="G122" i="2" s="1" a="1"/>
  <c r="G122" i="2" s="1"/>
  <c r="I115" i="2"/>
  <c r="I131" i="2"/>
  <c r="K131" i="2" l="1"/>
  <c r="H115" i="2"/>
  <c r="E127" i="2"/>
  <c r="O118" i="2"/>
  <c r="K119" i="2"/>
  <c r="F119" i="2" s="1" a="1"/>
  <c r="F119" i="2" s="1"/>
  <c r="L115" i="2"/>
  <c r="F131" i="2"/>
  <c r="J131" i="2"/>
  <c r="K120" i="2"/>
  <c r="M131" i="2"/>
  <c r="E115" i="2"/>
  <c r="N115" i="2"/>
  <c r="G115" i="2"/>
  <c r="N106" i="2"/>
  <c r="K118" i="2" s="1"/>
  <c r="J118" i="2"/>
  <c r="G124" i="2" s="1" a="1"/>
  <c r="G124" i="2" s="1"/>
  <c r="G119" i="2" a="1"/>
  <c r="G119" i="2" s="1"/>
  <c r="G123" i="2" a="1"/>
  <c r="G123" i="2" s="1"/>
  <c r="G125" i="2" a="1"/>
  <c r="G125" i="2" s="1"/>
  <c r="G120" i="2" a="1"/>
  <c r="G120" i="2" s="1"/>
  <c r="F122" i="2" l="1" a="1"/>
  <c r="F122" i="2" s="1"/>
  <c r="O121" i="2"/>
  <c r="S118" i="2" s="1" a="1"/>
  <c r="S118" i="2" s="1"/>
  <c r="F124" i="2" a="1"/>
  <c r="F124" i="2" s="1"/>
  <c r="L118" i="2"/>
  <c r="O131" i="2" s="1"/>
  <c r="F120" i="2" a="1"/>
  <c r="F120" i="2" s="1"/>
  <c r="L120" i="2"/>
  <c r="O139" i="2" s="1"/>
  <c r="F125" i="2" a="1"/>
  <c r="F125" i="2" s="1"/>
  <c r="L119" i="2"/>
  <c r="H144" i="2" s="1" a="1"/>
  <c r="H144" i="2" s="1"/>
  <c r="H157" i="2" s="1"/>
  <c r="H12" i="3" s="1"/>
  <c r="F118" i="2" a="1"/>
  <c r="F118" i="2" s="1"/>
  <c r="F121" i="2" a="1"/>
  <c r="F121" i="2" s="1"/>
  <c r="F126" i="2" a="1"/>
  <c r="F126" i="2" s="1"/>
  <c r="F123" i="2" a="1"/>
  <c r="F123" i="2" s="1"/>
  <c r="G121" i="2" a="1"/>
  <c r="G121" i="2" s="1"/>
  <c r="G118" i="2" a="1"/>
  <c r="G118" i="2" s="1"/>
  <c r="K138" i="2" l="1" a="1"/>
  <c r="K138" i="2" s="1"/>
  <c r="K151" i="2" s="1"/>
  <c r="K6" i="3" s="1"/>
  <c r="M141" i="2" a="1"/>
  <c r="M141" i="2" s="1"/>
  <c r="E142" i="2" a="1"/>
  <c r="E142" i="2" s="1"/>
  <c r="E155" i="2" s="1"/>
  <c r="E10" i="3" s="1"/>
  <c r="M137" i="2" a="1"/>
  <c r="M137" i="2" s="1"/>
  <c r="M150" i="2" s="1"/>
  <c r="M5" i="3" s="1"/>
  <c r="E138" i="2" a="1"/>
  <c r="E138" i="2" s="1"/>
  <c r="E151" i="2" s="1"/>
  <c r="E6" i="3" s="1"/>
  <c r="L141" i="2" a="1"/>
  <c r="L141" i="2" s="1"/>
  <c r="K140" i="2" a="1"/>
  <c r="K140" i="2" s="1"/>
  <c r="K153" i="2" s="1"/>
  <c r="K8" i="3" s="1"/>
  <c r="F141" i="2" a="1"/>
  <c r="F141" i="2" s="1"/>
  <c r="K139" i="2" a="1"/>
  <c r="K139" i="2" s="1"/>
  <c r="G142" i="2" a="1"/>
  <c r="G142" i="2" s="1"/>
  <c r="G155" i="2" s="1"/>
  <c r="G10" i="3" s="1"/>
  <c r="M138" i="2" a="1"/>
  <c r="M138" i="2" s="1"/>
  <c r="M151" i="2" s="1"/>
  <c r="M6" i="3" s="1"/>
  <c r="G144" i="2" a="1"/>
  <c r="G144" i="2" s="1"/>
  <c r="G157" i="2" s="1"/>
  <c r="G12" i="3" s="1"/>
  <c r="E145" i="2" a="1"/>
  <c r="E145" i="2" s="1"/>
  <c r="E158" i="2" s="1"/>
  <c r="E13" i="3" s="1"/>
  <c r="F144" i="2" a="1"/>
  <c r="F144" i="2" s="1"/>
  <c r="F157" i="2" s="1"/>
  <c r="F12" i="3" s="1"/>
  <c r="I144" i="2" a="1"/>
  <c r="I144" i="2" s="1"/>
  <c r="I157" i="2" s="1"/>
  <c r="I12" i="3" s="1"/>
  <c r="K144" i="2" a="1"/>
  <c r="K144" i="2" s="1"/>
  <c r="K157" i="2" s="1"/>
  <c r="K12" i="3" s="1"/>
  <c r="L138" i="2" a="1"/>
  <c r="L138" i="2" s="1"/>
  <c r="I138" i="2" a="1"/>
  <c r="I138" i="2" s="1"/>
  <c r="I151" i="2" s="1"/>
  <c r="I6" i="3" s="1"/>
  <c r="H141" i="2" a="1"/>
  <c r="H141" i="2" s="1"/>
  <c r="H154" i="2" s="1"/>
  <c r="H9" i="3" s="1"/>
  <c r="I141" i="2" a="1"/>
  <c r="I141" i="2" s="1"/>
  <c r="I154" i="2" s="1"/>
  <c r="I9" i="3" s="1"/>
  <c r="M144" i="2" a="1"/>
  <c r="M144" i="2" s="1"/>
  <c r="M157" i="2" s="1"/>
  <c r="M12" i="3" s="1"/>
  <c r="K141" i="2" a="1"/>
  <c r="K141" i="2" s="1"/>
  <c r="K154" i="2" s="1"/>
  <c r="K9" i="3" s="1"/>
  <c r="J139" i="2" a="1"/>
  <c r="J139" i="2" s="1"/>
  <c r="J152" i="2" s="1"/>
  <c r="J7" i="3" s="1"/>
  <c r="F139" i="2" a="1"/>
  <c r="F139" i="2" s="1"/>
  <c r="F152" i="2" s="1"/>
  <c r="F7" i="3" s="1"/>
  <c r="O135" i="2"/>
  <c r="E141" i="2" a="1"/>
  <c r="E141" i="2" s="1"/>
  <c r="E154" i="2" s="1"/>
  <c r="E9" i="3" s="1"/>
  <c r="H138" i="2" a="1"/>
  <c r="H138" i="2" s="1"/>
  <c r="H151" i="2" s="1"/>
  <c r="H6" i="3" s="1"/>
  <c r="G141" i="2" a="1"/>
  <c r="G141" i="2" s="1"/>
  <c r="G154" i="2" s="1"/>
  <c r="G9" i="3" s="1"/>
  <c r="E144" i="2" a="1"/>
  <c r="E144" i="2" s="1"/>
  <c r="E157" i="2" s="1"/>
  <c r="E12" i="3" s="1"/>
  <c r="S139" i="2"/>
  <c r="W139" i="2"/>
  <c r="P139" i="2"/>
  <c r="X139" i="2"/>
  <c r="T139" i="2"/>
  <c r="R139" i="2"/>
  <c r="Q139" i="2"/>
  <c r="U139" i="2"/>
  <c r="V139" i="2"/>
  <c r="J144" i="2" a="1"/>
  <c r="J144" i="2" s="1"/>
  <c r="J157" i="2" s="1"/>
  <c r="J12" i="3" s="1"/>
  <c r="K142" i="2" a="1"/>
  <c r="K142" i="2" s="1"/>
  <c r="K155" i="2" s="1"/>
  <c r="K10" i="3" s="1"/>
  <c r="J138" i="2" a="1"/>
  <c r="J138" i="2" s="1"/>
  <c r="J141" i="2" a="1"/>
  <c r="J141" i="2" s="1"/>
  <c r="J154" i="2" s="1"/>
  <c r="J9" i="3" s="1"/>
  <c r="G138" i="2" a="1"/>
  <c r="G138" i="2" s="1"/>
  <c r="G151" i="2" s="1"/>
  <c r="G6" i="3" s="1"/>
  <c r="M142" i="2" a="1"/>
  <c r="M142" i="2" s="1"/>
  <c r="M155" i="2" s="1"/>
  <c r="M10" i="3" s="1"/>
  <c r="R131" i="2"/>
  <c r="X131" i="2"/>
  <c r="S131" i="2"/>
  <c r="T131" i="2"/>
  <c r="Q131" i="2"/>
  <c r="P131" i="2"/>
  <c r="W131" i="2"/>
  <c r="V131" i="2"/>
  <c r="U131" i="2"/>
  <c r="F138" i="2" a="1"/>
  <c r="F138" i="2" s="1"/>
  <c r="F151" i="2" s="1"/>
  <c r="F6" i="3" s="1"/>
  <c r="L144" i="2" a="1"/>
  <c r="L144" i="2" s="1"/>
  <c r="L157" i="2" s="1"/>
  <c r="L12" i="3" s="1"/>
  <c r="G145" i="2" a="1"/>
  <c r="G145" i="2" s="1"/>
  <c r="G158" i="2" s="1"/>
  <c r="G13" i="3" s="1"/>
  <c r="M139" i="2" a="1"/>
  <c r="M139" i="2" s="1"/>
  <c r="M152" i="2" s="1"/>
  <c r="M7" i="3" s="1"/>
  <c r="I142" i="2" a="1"/>
  <c r="I142" i="2" s="1"/>
  <c r="I155" i="2" s="1"/>
  <c r="I10" i="3" s="1"/>
  <c r="G140" i="2" a="1"/>
  <c r="G140" i="2" s="1"/>
  <c r="G153" i="2" s="1"/>
  <c r="G8" i="3" s="1"/>
  <c r="L139" i="2" a="1"/>
  <c r="L139" i="2" s="1"/>
  <c r="L152" i="2" s="1"/>
  <c r="L7" i="3" s="1"/>
  <c r="H137" i="2" a="1"/>
  <c r="H137" i="2" s="1"/>
  <c r="H150" i="2" s="1"/>
  <c r="H5" i="3" s="1"/>
  <c r="E137" i="2" a="1"/>
  <c r="E137" i="2" s="1"/>
  <c r="E150" i="2" s="1"/>
  <c r="E5" i="3" s="1"/>
  <c r="G127" i="2"/>
  <c r="E139" i="2" a="1"/>
  <c r="E139" i="2" s="1"/>
  <c r="E152" i="2" s="1"/>
  <c r="E7" i="3" s="1"/>
  <c r="H145" i="2" a="1"/>
  <c r="H145" i="2" s="1"/>
  <c r="H158" i="2" s="1"/>
  <c r="H13" i="3" s="1"/>
  <c r="M145" i="2" a="1"/>
  <c r="M145" i="2" s="1"/>
  <c r="M158" i="2" s="1"/>
  <c r="M13" i="3" s="1"/>
  <c r="J145" i="2" a="1"/>
  <c r="J145" i="2" s="1"/>
  <c r="J158" i="2" s="1"/>
  <c r="J13" i="3" s="1"/>
  <c r="I139" i="2" a="1"/>
  <c r="I139" i="2" s="1"/>
  <c r="I152" i="2" s="1"/>
  <c r="I7" i="3" s="1"/>
  <c r="G139" i="2" a="1"/>
  <c r="G139" i="2" s="1"/>
  <c r="G152" i="2" s="1"/>
  <c r="G7" i="3" s="1"/>
  <c r="I145" i="2" a="1"/>
  <c r="I145" i="2" s="1"/>
  <c r="I158" i="2" s="1"/>
  <c r="I13" i="3" s="1"/>
  <c r="E140" i="2" a="1"/>
  <c r="E140" i="2" s="1"/>
  <c r="E153" i="2" s="1"/>
  <c r="E8" i="3" s="1"/>
  <c r="H140" i="2" a="1"/>
  <c r="H140" i="2" s="1"/>
  <c r="H153" i="2" s="1"/>
  <c r="H8" i="3" s="1"/>
  <c r="G137" i="2" a="1"/>
  <c r="G137" i="2" s="1"/>
  <c r="G150" i="2" s="1"/>
  <c r="G5" i="3" s="1"/>
  <c r="J142" i="2" a="1"/>
  <c r="J142" i="2" s="1"/>
  <c r="J155" i="2" s="1"/>
  <c r="J10" i="3" s="1"/>
  <c r="H142" i="2" a="1"/>
  <c r="H142" i="2" s="1"/>
  <c r="H155" i="2" s="1"/>
  <c r="H10" i="3" s="1"/>
  <c r="K145" i="2" a="1"/>
  <c r="K145" i="2" s="1"/>
  <c r="K158" i="2" s="1"/>
  <c r="K13" i="3" s="1"/>
  <c r="J137" i="2" a="1"/>
  <c r="J137" i="2" s="1"/>
  <c r="J150" i="2" s="1"/>
  <c r="J5" i="3" s="1"/>
  <c r="H143" i="2" a="1"/>
  <c r="H143" i="2" s="1"/>
  <c r="H156" i="2" s="1"/>
  <c r="H11" i="3" s="1"/>
  <c r="K137" i="2" a="1"/>
  <c r="K137" i="2" s="1"/>
  <c r="K150" i="2" s="1"/>
  <c r="K5" i="3" s="1"/>
  <c r="F143" i="2" a="1"/>
  <c r="F143" i="2" s="1"/>
  <c r="F156" i="2" s="1"/>
  <c r="F11" i="3" s="1"/>
  <c r="M143" i="2" a="1"/>
  <c r="M143" i="2" s="1"/>
  <c r="M156" i="2" s="1"/>
  <c r="M11" i="3" s="1"/>
  <c r="L145" i="2" a="1"/>
  <c r="L145" i="2" s="1"/>
  <c r="L158" i="2" s="1"/>
  <c r="L13" i="3" s="1"/>
  <c r="F145" i="2" a="1"/>
  <c r="F145" i="2" s="1"/>
  <c r="F158" i="2" s="1"/>
  <c r="F13" i="3" s="1"/>
  <c r="L143" i="2" a="1"/>
  <c r="L143" i="2" s="1"/>
  <c r="L156" i="2" s="1"/>
  <c r="L11" i="3" s="1"/>
  <c r="F142" i="2" a="1"/>
  <c r="F142" i="2" s="1"/>
  <c r="F155" i="2" s="1"/>
  <c r="F10" i="3" s="1"/>
  <c r="H139" i="2" a="1"/>
  <c r="H139" i="2" s="1"/>
  <c r="H152" i="2" s="1"/>
  <c r="H7" i="3" s="1"/>
  <c r="L142" i="2" a="1"/>
  <c r="L142" i="2" s="1"/>
  <c r="L155" i="2" s="1"/>
  <c r="L10" i="3" s="1"/>
  <c r="E143" i="2" a="1"/>
  <c r="E143" i="2" s="1"/>
  <c r="E156" i="2" s="1"/>
  <c r="E11" i="3" s="1"/>
  <c r="L137" i="2" a="1"/>
  <c r="L137" i="2" s="1"/>
  <c r="L150" i="2" s="1"/>
  <c r="L5" i="3" s="1"/>
  <c r="G143" i="2" a="1"/>
  <c r="G143" i="2" s="1"/>
  <c r="G156" i="2" s="1"/>
  <c r="G11" i="3" s="1"/>
  <c r="F140" i="2" a="1"/>
  <c r="F140" i="2" s="1"/>
  <c r="F153" i="2" s="1"/>
  <c r="F8" i="3" s="1"/>
  <c r="F137" i="2" a="1"/>
  <c r="F137" i="2" s="1"/>
  <c r="F150" i="2" s="1"/>
  <c r="F5" i="3" s="1"/>
  <c r="L140" i="2" a="1"/>
  <c r="L140" i="2" s="1"/>
  <c r="L153" i="2" s="1"/>
  <c r="L8" i="3" s="1"/>
  <c r="M140" i="2" a="1"/>
  <c r="M140" i="2" s="1"/>
  <c r="M153" i="2" s="1"/>
  <c r="M8" i="3" s="1"/>
  <c r="I137" i="2" a="1"/>
  <c r="I137" i="2" s="1"/>
  <c r="I150" i="2" s="1"/>
  <c r="I5" i="3" s="1"/>
  <c r="I143" i="2" a="1"/>
  <c r="I143" i="2" s="1"/>
  <c r="I156" i="2" s="1"/>
  <c r="I11" i="3" s="1"/>
  <c r="I140" i="2" a="1"/>
  <c r="I140" i="2" s="1"/>
  <c r="I153" i="2" s="1"/>
  <c r="I8" i="3" s="1"/>
  <c r="J143" i="2" a="1"/>
  <c r="J143" i="2" s="1"/>
  <c r="J156" i="2" s="1"/>
  <c r="J11" i="3" s="1"/>
  <c r="J140" i="2" a="1"/>
  <c r="J140" i="2" s="1"/>
  <c r="J153" i="2" s="1"/>
  <c r="J8" i="3" s="1"/>
  <c r="K143" i="2" a="1"/>
  <c r="K143" i="2" s="1"/>
  <c r="K156" i="2" s="1"/>
  <c r="K11" i="3" s="1"/>
  <c r="Q157" i="2"/>
  <c r="T151" i="2" l="1"/>
  <c r="L154" i="2"/>
  <c r="L9" i="3" s="1"/>
  <c r="J151" i="2"/>
  <c r="F189" i="2" s="1"/>
  <c r="L151" i="2"/>
  <c r="K152" i="2"/>
  <c r="F154" i="2"/>
  <c r="M154" i="2"/>
  <c r="F188" i="2"/>
  <c r="F195" i="2"/>
  <c r="N155" i="2"/>
  <c r="V151" i="2"/>
  <c r="N157" i="2"/>
  <c r="P154" i="2"/>
  <c r="Q154" i="2"/>
  <c r="N151" i="2"/>
  <c r="P155" i="2"/>
  <c r="T153" i="2"/>
  <c r="T157" i="2"/>
  <c r="S157" i="2"/>
  <c r="T155" i="2"/>
  <c r="Q151" i="2"/>
  <c r="P151" i="2"/>
  <c r="I178" i="2"/>
  <c r="I182" i="2" s="1"/>
  <c r="O157" i="2"/>
  <c r="G178" i="2"/>
  <c r="G182" i="2" s="1"/>
  <c r="P157" i="2"/>
  <c r="N158" i="2"/>
  <c r="K178" i="2"/>
  <c r="K182" i="2" s="1"/>
  <c r="H178" i="2"/>
  <c r="H182" i="2" s="1"/>
  <c r="V157" i="2"/>
  <c r="R154" i="2"/>
  <c r="T154" i="2"/>
  <c r="R151" i="2"/>
  <c r="S152" i="2"/>
  <c r="O152" i="2"/>
  <c r="R157" i="2"/>
  <c r="R158" i="2"/>
  <c r="O151" i="2"/>
  <c r="R155" i="2"/>
  <c r="P158" i="2"/>
  <c r="P140" i="2" a="1"/>
  <c r="P140" i="2" s="1"/>
  <c r="U157" i="2"/>
  <c r="S154" i="2"/>
  <c r="E178" i="2"/>
  <c r="E182" i="2" s="1"/>
  <c r="V152" i="2"/>
  <c r="P132" i="2" a="1"/>
  <c r="P132" i="2" s="1"/>
  <c r="V155" i="2"/>
  <c r="N154" i="2"/>
  <c r="V135" i="2"/>
  <c r="T135" i="2"/>
  <c r="R135" i="2"/>
  <c r="U135" i="2"/>
  <c r="Q135" i="2"/>
  <c r="W135" i="2"/>
  <c r="S135" i="2"/>
  <c r="X135" i="2"/>
  <c r="P135" i="2"/>
  <c r="F193" i="2"/>
  <c r="M179" i="2"/>
  <c r="M183" i="2" s="1"/>
  <c r="S155" i="2"/>
  <c r="V158" i="2"/>
  <c r="F179" i="2"/>
  <c r="F183" i="2" s="1"/>
  <c r="U158" i="2"/>
  <c r="O158" i="2"/>
  <c r="Q152" i="2"/>
  <c r="O155" i="2"/>
  <c r="S153" i="2"/>
  <c r="S156" i="2"/>
  <c r="N150" i="2"/>
  <c r="R150" i="2"/>
  <c r="U150" i="2"/>
  <c r="T150" i="2"/>
  <c r="S150" i="2"/>
  <c r="O150" i="2"/>
  <c r="Q150" i="2"/>
  <c r="P150" i="2"/>
  <c r="V150" i="2"/>
  <c r="U154" i="2" l="1"/>
  <c r="L178" i="2"/>
  <c r="L182" i="2" s="1"/>
  <c r="J178" i="2"/>
  <c r="J182" i="2" s="1"/>
  <c r="T152" i="2"/>
  <c r="K7" i="3"/>
  <c r="U151" i="2"/>
  <c r="L6" i="3"/>
  <c r="V154" i="2"/>
  <c r="M9" i="3"/>
  <c r="F178" i="2"/>
  <c r="F182" i="2" s="1"/>
  <c r="F9" i="3"/>
  <c r="S151" i="2"/>
  <c r="J6" i="3"/>
  <c r="M178" i="2"/>
  <c r="M182" i="2" s="1"/>
  <c r="O154" i="2"/>
  <c r="F192" i="2"/>
  <c r="F196" i="2"/>
  <c r="F191" i="2"/>
  <c r="F190" i="2"/>
  <c r="F194" i="2"/>
  <c r="S158" i="2"/>
  <c r="U156" i="2"/>
  <c r="L177" i="2"/>
  <c r="L181" i="2" s="1"/>
  <c r="R152" i="2"/>
  <c r="E179" i="2"/>
  <c r="E183" i="2" s="1"/>
  <c r="Q153" i="2"/>
  <c r="W157" i="2"/>
  <c r="P156" i="2"/>
  <c r="R156" i="2"/>
  <c r="P136" i="2" a="1"/>
  <c r="P136" i="2" s="1"/>
  <c r="H177" i="2"/>
  <c r="H181" i="2" s="1"/>
  <c r="V156" i="2"/>
  <c r="L179" i="2"/>
  <c r="L183" i="2" s="1"/>
  <c r="J179" i="2"/>
  <c r="J183" i="2" s="1"/>
  <c r="O156" i="2"/>
  <c r="Q156" i="2"/>
  <c r="H179" i="2"/>
  <c r="H183" i="2" s="1"/>
  <c r="E177" i="2"/>
  <c r="E181" i="2" s="1"/>
  <c r="Q158" i="2"/>
  <c r="I179" i="2"/>
  <c r="I183" i="2" s="1"/>
  <c r="Q155" i="2"/>
  <c r="F177" i="2"/>
  <c r="F181" i="2" s="1"/>
  <c r="U155" i="2"/>
  <c r="N156" i="2"/>
  <c r="U153" i="2"/>
  <c r="P153" i="2"/>
  <c r="K179" i="2"/>
  <c r="K183" i="2" s="1"/>
  <c r="N152" i="2"/>
  <c r="T158" i="2"/>
  <c r="G179" i="2"/>
  <c r="G183" i="2" s="1"/>
  <c r="N153" i="2"/>
  <c r="U152" i="2"/>
  <c r="P152" i="2"/>
  <c r="O153" i="2"/>
  <c r="G177" i="2"/>
  <c r="G181" i="2" s="1"/>
  <c r="I177" i="2"/>
  <c r="I181" i="2" s="1"/>
  <c r="J177" i="2"/>
  <c r="J181" i="2" s="1"/>
  <c r="N159" i="2"/>
  <c r="V153" i="2"/>
  <c r="M177" i="2"/>
  <c r="M181" i="2" s="1"/>
  <c r="T156" i="2"/>
  <c r="R153" i="2"/>
  <c r="K177" i="2"/>
  <c r="K181" i="2" s="1"/>
  <c r="W150" i="2"/>
  <c r="W154" i="2" l="1"/>
  <c r="W151" i="2"/>
  <c r="M184" i="2"/>
  <c r="M201" i="2" s="1"/>
  <c r="M22" i="3" s="1"/>
  <c r="N182" i="2"/>
  <c r="F184" i="2"/>
  <c r="F205" i="2" s="1"/>
  <c r="F26" i="3" s="1"/>
  <c r="E60" i="3" a="1"/>
  <c r="E60" i="3" s="1"/>
  <c r="F206" i="2"/>
  <c r="F27" i="3" s="1"/>
  <c r="W158" i="2"/>
  <c r="L184" i="2"/>
  <c r="F203" i="2"/>
  <c r="F24" i="3" s="1"/>
  <c r="F200" i="2"/>
  <c r="F21" i="3" s="1"/>
  <c r="F207" i="2"/>
  <c r="F28" i="3" s="1"/>
  <c r="H184" i="2"/>
  <c r="N183" i="2"/>
  <c r="E184" i="2"/>
  <c r="N181" i="2"/>
  <c r="J184" i="2"/>
  <c r="W156" i="2"/>
  <c r="W155" i="2"/>
  <c r="K184" i="2"/>
  <c r="I184" i="2"/>
  <c r="W152" i="2"/>
  <c r="G184" i="2"/>
  <c r="W153" i="2"/>
  <c r="N14" i="3"/>
  <c r="F208" i="2" l="1"/>
  <c r="F29" i="3" s="1"/>
  <c r="F202" i="2"/>
  <c r="F23" i="3" s="1"/>
  <c r="F201" i="2"/>
  <c r="F22" i="3" s="1"/>
  <c r="F204" i="2"/>
  <c r="F25" i="3" s="1"/>
  <c r="M202" i="2"/>
  <c r="M23" i="3" s="1"/>
  <c r="M200" i="2"/>
  <c r="M21" i="3" s="1"/>
  <c r="M204" i="2"/>
  <c r="M25" i="3" s="1"/>
  <c r="M208" i="2"/>
  <c r="M29" i="3" s="1"/>
  <c r="M203" i="2"/>
  <c r="M24" i="3" s="1"/>
  <c r="M206" i="2"/>
  <c r="M27" i="3" s="1"/>
  <c r="M207" i="2"/>
  <c r="M28" i="3" s="1"/>
  <c r="G188" i="2" a="1"/>
  <c r="D195" i="2" s="1"/>
  <c r="M205" i="2"/>
  <c r="M26" i="3" s="1"/>
  <c r="E15" i="3" a="1"/>
  <c r="E200" i="2"/>
  <c r="E21" i="3" s="1"/>
  <c r="G205" i="2"/>
  <c r="G26" i="3" s="1"/>
  <c r="G204" i="2"/>
  <c r="G25" i="3" s="1"/>
  <c r="G201" i="2"/>
  <c r="G22" i="3" s="1"/>
  <c r="G207" i="2"/>
  <c r="G28" i="3" s="1"/>
  <c r="G200" i="2"/>
  <c r="G21" i="3" s="1"/>
  <c r="G208" i="2"/>
  <c r="G29" i="3" s="1"/>
  <c r="G206" i="2"/>
  <c r="G27" i="3" s="1"/>
  <c r="G203" i="2"/>
  <c r="G24" i="3" s="1"/>
  <c r="G202" i="2"/>
  <c r="G23" i="3" s="1"/>
  <c r="H207" i="2"/>
  <c r="H28" i="3" s="1"/>
  <c r="H200" i="2"/>
  <c r="H21" i="3" s="1"/>
  <c r="H201" i="2"/>
  <c r="H22" i="3" s="1"/>
  <c r="H204" i="2"/>
  <c r="H25" i="3" s="1"/>
  <c r="H202" i="2"/>
  <c r="H23" i="3" s="1"/>
  <c r="H206" i="2"/>
  <c r="H27" i="3" s="1"/>
  <c r="H205" i="2"/>
  <c r="H26" i="3" s="1"/>
  <c r="H203" i="2"/>
  <c r="H24" i="3" s="1"/>
  <c r="H208" i="2"/>
  <c r="H29" i="3" s="1"/>
  <c r="J205" i="2"/>
  <c r="J26" i="3" s="1"/>
  <c r="J201" i="2"/>
  <c r="J22" i="3" s="1"/>
  <c r="J203" i="2"/>
  <c r="J24" i="3" s="1"/>
  <c r="J200" i="2"/>
  <c r="J21" i="3" s="1"/>
  <c r="J206" i="2"/>
  <c r="J27" i="3" s="1"/>
  <c r="J207" i="2"/>
  <c r="J28" i="3" s="1"/>
  <c r="J204" i="2"/>
  <c r="J25" i="3" s="1"/>
  <c r="J202" i="2"/>
  <c r="J23" i="3" s="1"/>
  <c r="J208" i="2"/>
  <c r="I208" i="2"/>
  <c r="I29" i="3" s="1"/>
  <c r="I207" i="2"/>
  <c r="I28" i="3" s="1"/>
  <c r="I201" i="2"/>
  <c r="I22" i="3" s="1"/>
  <c r="I204" i="2"/>
  <c r="I25" i="3" s="1"/>
  <c r="I205" i="2"/>
  <c r="I26" i="3" s="1"/>
  <c r="I200" i="2"/>
  <c r="I21" i="3" s="1"/>
  <c r="I203" i="2"/>
  <c r="I24" i="3" s="1"/>
  <c r="I202" i="2"/>
  <c r="I23" i="3" s="1"/>
  <c r="I206" i="2"/>
  <c r="I27" i="3" s="1"/>
  <c r="K202" i="2"/>
  <c r="K23" i="3" s="1"/>
  <c r="K201" i="2"/>
  <c r="K22" i="3" s="1"/>
  <c r="K207" i="2"/>
  <c r="K28" i="3" s="1"/>
  <c r="K204" i="2"/>
  <c r="K25" i="3" s="1"/>
  <c r="K200" i="2"/>
  <c r="K21" i="3" s="1"/>
  <c r="K203" i="2"/>
  <c r="K24" i="3" s="1"/>
  <c r="K206" i="2"/>
  <c r="K27" i="3" s="1"/>
  <c r="K205" i="2"/>
  <c r="K26" i="3" s="1"/>
  <c r="K208" i="2"/>
  <c r="K29" i="3" s="1"/>
  <c r="E201" i="2"/>
  <c r="E22" i="3" s="1"/>
  <c r="E204" i="2"/>
  <c r="E25" i="3" s="1"/>
  <c r="E207" i="2"/>
  <c r="E28" i="3" s="1"/>
  <c r="E208" i="2"/>
  <c r="E29" i="3" s="1"/>
  <c r="E205" i="2"/>
  <c r="E26" i="3" s="1"/>
  <c r="E202" i="2"/>
  <c r="E23" i="3" s="1"/>
  <c r="E203" i="2"/>
  <c r="E24" i="3" s="1"/>
  <c r="E206" i="2"/>
  <c r="E27" i="3" s="1"/>
  <c r="L204" i="2"/>
  <c r="L25" i="3" s="1"/>
  <c r="L207" i="2"/>
  <c r="L28" i="3" s="1"/>
  <c r="L208" i="2"/>
  <c r="L29" i="3" s="1"/>
  <c r="L200" i="2"/>
  <c r="L21" i="3" s="1"/>
  <c r="L201" i="2"/>
  <c r="L22" i="3" s="1"/>
  <c r="L203" i="2"/>
  <c r="L24" i="3" s="1"/>
  <c r="L202" i="2"/>
  <c r="L23" i="3" s="1"/>
  <c r="L206" i="2"/>
  <c r="L27" i="3" s="1"/>
  <c r="L205" i="2"/>
  <c r="L26" i="3" s="1"/>
  <c r="N184" i="2"/>
  <c r="J29" i="3"/>
  <c r="G188" i="2" l="1"/>
  <c r="D188" i="2" s="1"/>
  <c r="D190" i="2"/>
  <c r="D189" i="2"/>
  <c r="D191" i="2"/>
  <c r="D194" i="2"/>
  <c r="D192" i="2"/>
  <c r="D193" i="2"/>
  <c r="D196" i="2"/>
  <c r="N185" i="2"/>
  <c r="N186" i="2" s="1"/>
  <c r="E15" i="3"/>
  <c r="E14" i="3" s="1"/>
  <c r="E30" i="3" s="1"/>
  <c r="E31" i="3" s="1"/>
  <c r="L14" i="3"/>
  <c r="L30" i="3" s="1"/>
  <c r="L31" i="3" s="1"/>
  <c r="F14" i="3"/>
  <c r="F30" i="3" s="1"/>
  <c r="F31" i="3" s="1"/>
  <c r="I14" i="3"/>
  <c r="I30" i="3" s="1"/>
  <c r="I31" i="3" s="1"/>
  <c r="K14" i="3"/>
  <c r="K30" i="3" s="1"/>
  <c r="K31" i="3" s="1"/>
  <c r="J14" i="3"/>
  <c r="J30" i="3" s="1"/>
  <c r="J31" i="3" s="1"/>
  <c r="M14" i="3"/>
  <c r="M30" i="3" s="1"/>
  <c r="M31" i="3" s="1"/>
  <c r="H14" i="3"/>
  <c r="H30" i="3" s="1"/>
  <c r="H31" i="3" s="1"/>
  <c r="G14" i="3"/>
  <c r="G30" i="3" s="1"/>
  <c r="G31" i="3" s="1"/>
  <c r="E36" i="3" a="1"/>
  <c r="E36" i="3" s="1"/>
  <c r="E213" i="2" a="1"/>
  <c r="O5" i="3" l="1" a="1"/>
  <c r="N9" i="3" s="1"/>
  <c r="E196" i="2"/>
  <c r="B196" i="2" s="1"/>
  <c r="E55" i="7" s="1"/>
  <c r="F55" i="7" s="1"/>
  <c r="H55" i="7" s="1"/>
  <c r="H196" i="2"/>
  <c r="H191" i="2"/>
  <c r="E191" i="2"/>
  <c r="B191" i="2" s="1"/>
  <c r="E50" i="7" s="1"/>
  <c r="F50" i="7" s="1"/>
  <c r="H50" i="7" s="1"/>
  <c r="E188" i="2"/>
  <c r="B188" i="2" s="1"/>
  <c r="E47" i="7" s="1"/>
  <c r="F47" i="7" s="1"/>
  <c r="H47" i="7" s="1"/>
  <c r="H188" i="2"/>
  <c r="E194" i="2"/>
  <c r="B194" i="2" s="1"/>
  <c r="E53" i="7" s="1"/>
  <c r="F53" i="7" s="1"/>
  <c r="H53" i="7" s="1"/>
  <c r="H194" i="2"/>
  <c r="E195" i="2"/>
  <c r="B195" i="2" s="1"/>
  <c r="E54" i="7" s="1"/>
  <c r="F54" i="7" s="1"/>
  <c r="H54" i="7" s="1"/>
  <c r="H195" i="2"/>
  <c r="E189" i="2"/>
  <c r="B189" i="2" s="1"/>
  <c r="E48" i="7" s="1"/>
  <c r="F48" i="7" s="1"/>
  <c r="H48" i="7" s="1"/>
  <c r="H189" i="2"/>
  <c r="E190" i="2"/>
  <c r="B190" i="2" s="1"/>
  <c r="E49" i="7" s="1"/>
  <c r="F49" i="7" s="1"/>
  <c r="H49" i="7" s="1"/>
  <c r="H190" i="2"/>
  <c r="H192" i="2"/>
  <c r="E192" i="2"/>
  <c r="B192" i="2" s="1"/>
  <c r="E51" i="7" s="1"/>
  <c r="F51" i="7" s="1"/>
  <c r="H51" i="7" s="1"/>
  <c r="E193" i="2"/>
  <c r="B193" i="2" s="1"/>
  <c r="E52" i="7" s="1"/>
  <c r="F52" i="7" s="1"/>
  <c r="H52" i="7" s="1"/>
  <c r="H193" i="2"/>
  <c r="E213" i="2"/>
  <c r="C188" i="7" l="1" a="1"/>
  <c r="C188" i="7" s="1"/>
  <c r="H56" i="7"/>
  <c r="H57" i="7" s="1"/>
  <c r="E60" i="7" a="1"/>
  <c r="N6" i="3"/>
  <c r="N12" i="3"/>
  <c r="O5" i="3"/>
  <c r="F60" i="3" s="1" a="1"/>
  <c r="F60" i="3" s="1"/>
  <c r="N10" i="3"/>
  <c r="N7" i="3"/>
  <c r="N13" i="3"/>
  <c r="N8" i="3"/>
  <c r="N11" i="3"/>
  <c r="E60" i="7" l="1"/>
  <c r="G63" i="7"/>
  <c r="G66" i="7"/>
  <c r="G65" i="7"/>
  <c r="G68" i="7"/>
  <c r="G64" i="7"/>
  <c r="G61" i="7"/>
  <c r="G67" i="7"/>
  <c r="G62" i="7"/>
  <c r="E16" i="3" a="1"/>
  <c r="M17" i="3" s="1"/>
  <c r="N5" i="3"/>
  <c r="H47" i="3" s="1" a="1"/>
  <c r="H47" i="3" s="1"/>
  <c r="C188" i="3" s="1" a="1"/>
  <c r="N47" i="3" a="1"/>
  <c r="N47" i="3" s="1"/>
  <c r="N56" i="3" s="1"/>
  <c r="O47" i="3" a="1"/>
  <c r="O47" i="3" s="1"/>
  <c r="O56" i="3" s="1"/>
  <c r="G67" i="3"/>
  <c r="P5" i="3" a="1"/>
  <c r="Q12" i="3" s="1"/>
  <c r="R12" i="3" s="1"/>
  <c r="G63" i="3"/>
  <c r="G65" i="3"/>
  <c r="G62" i="3"/>
  <c r="G68" i="3"/>
  <c r="G61" i="3"/>
  <c r="G64" i="3"/>
  <c r="G66" i="3"/>
  <c r="G17" i="3" l="1"/>
  <c r="I72" i="7" a="1"/>
  <c r="I72" i="7" s="1"/>
  <c r="I74" i="7" s="1"/>
  <c r="L17" i="3"/>
  <c r="F17" i="3"/>
  <c r="D88" i="7" a="1"/>
  <c r="G60" i="7"/>
  <c r="C188" i="3"/>
  <c r="Q10" i="3"/>
  <c r="R10" i="3" s="1"/>
  <c r="Q11" i="3"/>
  <c r="R11" i="3" s="1"/>
  <c r="Q6" i="3"/>
  <c r="R6" i="3" s="1"/>
  <c r="P5" i="3"/>
  <c r="Q5" i="3" s="1"/>
  <c r="R5" i="3" s="1"/>
  <c r="Q13" i="3"/>
  <c r="R13" i="3" s="1"/>
  <c r="I17" i="3"/>
  <c r="E16" i="3"/>
  <c r="E17" i="3" s="1"/>
  <c r="J17" i="3"/>
  <c r="K17" i="3"/>
  <c r="H17" i="3"/>
  <c r="Q9" i="3"/>
  <c r="R9" i="3" s="1"/>
  <c r="Q7" i="3"/>
  <c r="R7" i="3" s="1"/>
  <c r="Q8" i="3"/>
  <c r="R8" i="3" s="1"/>
  <c r="H56" i="3"/>
  <c r="D88" i="3" a="1"/>
  <c r="G60" i="3"/>
  <c r="I72" i="3" s="1" a="1"/>
  <c r="I72" i="3" s="1"/>
  <c r="I74" i="3" s="1"/>
  <c r="M102" i="7" l="1"/>
  <c r="J101" i="7"/>
  <c r="G100" i="7"/>
  <c r="M98" i="7"/>
  <c r="J97" i="7"/>
  <c r="G96" i="7"/>
  <c r="M94" i="7"/>
  <c r="I98" i="7"/>
  <c r="M100" i="7"/>
  <c r="L102" i="7"/>
  <c r="I101" i="7"/>
  <c r="F100" i="7"/>
  <c r="L98" i="7"/>
  <c r="I97" i="7"/>
  <c r="F96" i="7"/>
  <c r="L94" i="7"/>
  <c r="K102" i="7"/>
  <c r="H101" i="7"/>
  <c r="E100" i="7"/>
  <c r="K98" i="7"/>
  <c r="H97" i="7"/>
  <c r="E96" i="7"/>
  <c r="K94" i="7"/>
  <c r="I102" i="7"/>
  <c r="F101" i="7"/>
  <c r="L99" i="7"/>
  <c r="F97" i="7"/>
  <c r="L95" i="7"/>
  <c r="I94" i="7"/>
  <c r="H102" i="7"/>
  <c r="E101" i="7"/>
  <c r="K99" i="7"/>
  <c r="H98" i="7"/>
  <c r="E97" i="7"/>
  <c r="K95" i="7"/>
  <c r="H94" i="7"/>
  <c r="G102" i="7"/>
  <c r="J99" i="7"/>
  <c r="G98" i="7"/>
  <c r="M96" i="7"/>
  <c r="J95" i="7"/>
  <c r="G94" i="7"/>
  <c r="F102" i="7"/>
  <c r="L100" i="7"/>
  <c r="I99" i="7"/>
  <c r="F98" i="7"/>
  <c r="L96" i="7"/>
  <c r="I95" i="7"/>
  <c r="F94" i="7"/>
  <c r="E102" i="7"/>
  <c r="K100" i="7"/>
  <c r="H99" i="7"/>
  <c r="K96" i="7"/>
  <c r="H95" i="7"/>
  <c r="E94" i="7"/>
  <c r="J102" i="7"/>
  <c r="G101" i="7"/>
  <c r="M99" i="7"/>
  <c r="J98" i="7"/>
  <c r="G97" i="7"/>
  <c r="M95" i="7"/>
  <c r="J94" i="7"/>
  <c r="M101" i="7"/>
  <c r="K97" i="7"/>
  <c r="L101" i="7"/>
  <c r="J96" i="7"/>
  <c r="K101" i="7"/>
  <c r="I96" i="7"/>
  <c r="G95" i="7"/>
  <c r="H100" i="7"/>
  <c r="F95" i="7"/>
  <c r="G99" i="7"/>
  <c r="F99" i="7"/>
  <c r="E99" i="7"/>
  <c r="E98" i="7"/>
  <c r="L97" i="7"/>
  <c r="J100" i="7"/>
  <c r="H96" i="7"/>
  <c r="E95" i="7"/>
  <c r="M97" i="7"/>
  <c r="I100" i="7"/>
  <c r="K72" i="7" a="1"/>
  <c r="K72" i="7" s="1"/>
  <c r="K74" i="7" s="1"/>
  <c r="H72" i="7" a="1"/>
  <c r="H72" i="7" s="1"/>
  <c r="H74" i="7" s="1"/>
  <c r="J72" i="7" a="1"/>
  <c r="J72" i="7" s="1"/>
  <c r="J74" i="7" s="1"/>
  <c r="L72" i="7" a="1"/>
  <c r="L72" i="7" s="1"/>
  <c r="L74" i="7" s="1"/>
  <c r="E72" i="7" a="1"/>
  <c r="E72" i="7" s="1"/>
  <c r="E74" i="7" s="1"/>
  <c r="G72" i="7" a="1"/>
  <c r="G72" i="7" s="1"/>
  <c r="G74" i="7" s="1"/>
  <c r="F72" i="7" a="1"/>
  <c r="F72" i="7" s="1"/>
  <c r="F74" i="7" s="1"/>
  <c r="M72" i="7" a="1"/>
  <c r="M72" i="7" s="1"/>
  <c r="M74" i="7" s="1"/>
  <c r="M90" i="7"/>
  <c r="G90" i="7"/>
  <c r="L90" i="7"/>
  <c r="E90" i="7"/>
  <c r="I90" i="7"/>
  <c r="J90" i="7"/>
  <c r="F90" i="7"/>
  <c r="D88" i="7"/>
  <c r="K90" i="7"/>
  <c r="H90" i="7"/>
  <c r="E72" i="3" a="1"/>
  <c r="E72" i="3" s="1"/>
  <c r="E74" i="3" s="1"/>
  <c r="M72" i="3" a="1"/>
  <c r="M72" i="3" s="1"/>
  <c r="M74" i="3" s="1"/>
  <c r="J72" i="3" a="1"/>
  <c r="J72" i="3" s="1"/>
  <c r="J74" i="3" s="1"/>
  <c r="H72" i="3" a="1"/>
  <c r="H72" i="3" s="1"/>
  <c r="H74" i="3" s="1"/>
  <c r="L72" i="3" a="1"/>
  <c r="L72" i="3" s="1"/>
  <c r="L74" i="3" s="1"/>
  <c r="F72" i="3" a="1"/>
  <c r="F72" i="3" s="1"/>
  <c r="F74" i="3" s="1"/>
  <c r="G72" i="3" a="1"/>
  <c r="G72" i="3" s="1"/>
  <c r="G74" i="3" s="1"/>
  <c r="K72" i="3" a="1"/>
  <c r="K72" i="3" s="1"/>
  <c r="K74" i="3" s="1"/>
  <c r="L90" i="3"/>
  <c r="M97" i="3"/>
  <c r="L99" i="3"/>
  <c r="F102" i="3"/>
  <c r="F99" i="3"/>
  <c r="I95" i="3"/>
  <c r="G102" i="3"/>
  <c r="L102" i="3"/>
  <c r="L101" i="3"/>
  <c r="L96" i="3"/>
  <c r="K99" i="3"/>
  <c r="H101" i="3"/>
  <c r="E97" i="3"/>
  <c r="K102" i="3"/>
  <c r="E96" i="3"/>
  <c r="G99" i="3"/>
  <c r="K95" i="3"/>
  <c r="K90" i="3"/>
  <c r="H102" i="3"/>
  <c r="J94" i="3"/>
  <c r="G95" i="3"/>
  <c r="F95" i="3"/>
  <c r="M102" i="3"/>
  <c r="I102" i="3"/>
  <c r="K101" i="3"/>
  <c r="H100" i="3"/>
  <c r="I94" i="3"/>
  <c r="F98" i="3"/>
  <c r="J101" i="3"/>
  <c r="E101" i="3"/>
  <c r="L95" i="3"/>
  <c r="H95" i="3"/>
  <c r="I100" i="3"/>
  <c r="I90" i="3"/>
  <c r="L94" i="3"/>
  <c r="I99" i="3"/>
  <c r="G96" i="3"/>
  <c r="K94" i="3"/>
  <c r="G101" i="3"/>
  <c r="K97" i="3"/>
  <c r="J90" i="3"/>
  <c r="J95" i="3"/>
  <c r="L97" i="3"/>
  <c r="E100" i="3"/>
  <c r="M95" i="3"/>
  <c r="E102" i="3"/>
  <c r="E95" i="3"/>
  <c r="E99" i="3"/>
  <c r="G94" i="3"/>
  <c r="I98" i="3"/>
  <c r="M101" i="3"/>
  <c r="M98" i="3"/>
  <c r="J97" i="3"/>
  <c r="G90" i="3"/>
  <c r="M99" i="3"/>
  <c r="K96" i="3"/>
  <c r="G100" i="3"/>
  <c r="H98" i="3"/>
  <c r="D88" i="3"/>
  <c r="G98" i="3"/>
  <c r="J100" i="3"/>
  <c r="F100" i="3"/>
  <c r="J102" i="3"/>
  <c r="F101" i="3"/>
  <c r="F94" i="3"/>
  <c r="J96" i="3"/>
  <c r="M94" i="3"/>
  <c r="L98" i="3"/>
  <c r="F97" i="3"/>
  <c r="H90" i="3"/>
  <c r="I97" i="3"/>
  <c r="K98" i="3"/>
  <c r="H96" i="3"/>
  <c r="K100" i="3"/>
  <c r="M96" i="3"/>
  <c r="H97" i="3"/>
  <c r="G97" i="3"/>
  <c r="I96" i="3"/>
  <c r="F90" i="3"/>
  <c r="F96" i="3"/>
  <c r="J99" i="3"/>
  <c r="H99" i="3"/>
  <c r="H94" i="3"/>
  <c r="M100" i="3"/>
  <c r="E90" i="3"/>
  <c r="J98" i="3"/>
  <c r="I101" i="3"/>
  <c r="E94" i="3"/>
  <c r="M90" i="3"/>
  <c r="L100" i="3"/>
  <c r="E98" i="3"/>
  <c r="N90" i="7" l="1"/>
  <c r="B78" i="7" a="1"/>
  <c r="N103" i="3"/>
  <c r="B78" i="3" a="1"/>
  <c r="N103" i="7" l="1"/>
  <c r="L85" i="7"/>
  <c r="L113" i="7" s="1"/>
  <c r="F80" i="7"/>
  <c r="F108" i="7" s="1"/>
  <c r="J83" i="7"/>
  <c r="J111" i="7" s="1"/>
  <c r="L81" i="7"/>
  <c r="L109" i="7" s="1"/>
  <c r="H82" i="7"/>
  <c r="H110" i="7" s="1"/>
  <c r="G84" i="7"/>
  <c r="G112" i="7" s="1"/>
  <c r="J82" i="7"/>
  <c r="J110" i="7" s="1"/>
  <c r="M86" i="7"/>
  <c r="M114" i="7" s="1"/>
  <c r="H85" i="7"/>
  <c r="H113" i="7" s="1"/>
  <c r="K86" i="7"/>
  <c r="K114" i="7" s="1"/>
  <c r="M84" i="7"/>
  <c r="M112" i="7" s="1"/>
  <c r="E83" i="7"/>
  <c r="F84" i="7"/>
  <c r="F112" i="7" s="1"/>
  <c r="K82" i="7"/>
  <c r="K110" i="7" s="1"/>
  <c r="E85" i="7"/>
  <c r="K84" i="7"/>
  <c r="K112" i="7" s="1"/>
  <c r="H81" i="7"/>
  <c r="H109" i="7" s="1"/>
  <c r="J85" i="7"/>
  <c r="J113" i="7" s="1"/>
  <c r="G83" i="7"/>
  <c r="G111" i="7" s="1"/>
  <c r="I79" i="7"/>
  <c r="I107" i="7" s="1"/>
  <c r="G85" i="7"/>
  <c r="G113" i="7" s="1"/>
  <c r="G79" i="7"/>
  <c r="G107" i="7" s="1"/>
  <c r="G132" i="7" s="1"/>
  <c r="K83" i="7"/>
  <c r="K111" i="7" s="1"/>
  <c r="G81" i="7"/>
  <c r="G109" i="7" s="1"/>
  <c r="F82" i="7"/>
  <c r="F110" i="7" s="1"/>
  <c r="F79" i="7"/>
  <c r="F107" i="7" s="1"/>
  <c r="J80" i="7"/>
  <c r="J108" i="7" s="1"/>
  <c r="M83" i="7"/>
  <c r="M111" i="7" s="1"/>
  <c r="L82" i="7"/>
  <c r="L110" i="7" s="1"/>
  <c r="M82" i="7"/>
  <c r="M110" i="7" s="1"/>
  <c r="I81" i="7"/>
  <c r="I109" i="7" s="1"/>
  <c r="H83" i="7"/>
  <c r="H111" i="7" s="1"/>
  <c r="L79" i="7"/>
  <c r="L107" i="7" s="1"/>
  <c r="J84" i="7"/>
  <c r="J112" i="7" s="1"/>
  <c r="L86" i="7"/>
  <c r="L114" i="7" s="1"/>
  <c r="I80" i="7"/>
  <c r="I108" i="7" s="1"/>
  <c r="G80" i="7"/>
  <c r="G108" i="7" s="1"/>
  <c r="J79" i="7"/>
  <c r="J107" i="7" s="1"/>
  <c r="J81" i="7"/>
  <c r="J109" i="7" s="1"/>
  <c r="K85" i="7"/>
  <c r="K113" i="7" s="1"/>
  <c r="M79" i="7"/>
  <c r="M107" i="7" s="1"/>
  <c r="F81" i="7"/>
  <c r="F109" i="7" s="1"/>
  <c r="I84" i="7"/>
  <c r="I112" i="7" s="1"/>
  <c r="I83" i="7"/>
  <c r="I111" i="7" s="1"/>
  <c r="G82" i="7"/>
  <c r="G110" i="7" s="1"/>
  <c r="L83" i="7"/>
  <c r="L111" i="7" s="1"/>
  <c r="E80" i="7"/>
  <c r="M81" i="7"/>
  <c r="M109" i="7" s="1"/>
  <c r="I82" i="7"/>
  <c r="I110" i="7" s="1"/>
  <c r="E86" i="7"/>
  <c r="E82" i="7"/>
  <c r="H80" i="7"/>
  <c r="H108" i="7" s="1"/>
  <c r="K79" i="7"/>
  <c r="K107" i="7" s="1"/>
  <c r="L80" i="7"/>
  <c r="L108" i="7" s="1"/>
  <c r="M80" i="7"/>
  <c r="M108" i="7" s="1"/>
  <c r="I86" i="7"/>
  <c r="I114" i="7" s="1"/>
  <c r="H86" i="7"/>
  <c r="H114" i="7" s="1"/>
  <c r="G86" i="7"/>
  <c r="G114" i="7" s="1"/>
  <c r="I85" i="7"/>
  <c r="I113" i="7" s="1"/>
  <c r="F83" i="7"/>
  <c r="F111" i="7" s="1"/>
  <c r="E81" i="7"/>
  <c r="F86" i="7"/>
  <c r="F114" i="7" s="1"/>
  <c r="E84" i="7"/>
  <c r="K81" i="7"/>
  <c r="K109" i="7" s="1"/>
  <c r="B78" i="7"/>
  <c r="K80" i="7"/>
  <c r="K108" i="7" s="1"/>
  <c r="E79" i="7"/>
  <c r="J86" i="7"/>
  <c r="J114" i="7" s="1"/>
  <c r="H84" i="7"/>
  <c r="H112" i="7" s="1"/>
  <c r="M85" i="7"/>
  <c r="M113" i="7" s="1"/>
  <c r="F85" i="7"/>
  <c r="F113" i="7" s="1"/>
  <c r="L84" i="7"/>
  <c r="L112" i="7" s="1"/>
  <c r="H79" i="7"/>
  <c r="H107" i="7" s="1"/>
  <c r="K86" i="3"/>
  <c r="K114" i="3" s="1"/>
  <c r="H85" i="3"/>
  <c r="H113" i="3" s="1"/>
  <c r="E84" i="3"/>
  <c r="E112" i="3" s="1"/>
  <c r="K82" i="3"/>
  <c r="K110" i="3" s="1"/>
  <c r="H81" i="3"/>
  <c r="H109" i="3" s="1"/>
  <c r="E80" i="3"/>
  <c r="E108" i="3" s="1"/>
  <c r="M85" i="3"/>
  <c r="M113" i="3" s="1"/>
  <c r="J84" i="3"/>
  <c r="J112" i="3" s="1"/>
  <c r="G83" i="3"/>
  <c r="G111" i="3" s="1"/>
  <c r="M81" i="3"/>
  <c r="M109" i="3" s="1"/>
  <c r="J80" i="3"/>
  <c r="J108" i="3" s="1"/>
  <c r="G79" i="3"/>
  <c r="G107" i="3" s="1"/>
  <c r="E79" i="3"/>
  <c r="E107" i="3" s="1"/>
  <c r="M86" i="3"/>
  <c r="M114" i="3" s="1"/>
  <c r="J81" i="3"/>
  <c r="J109" i="3" s="1"/>
  <c r="L86" i="3"/>
  <c r="L114" i="3" s="1"/>
  <c r="I85" i="3"/>
  <c r="I113" i="3" s="1"/>
  <c r="L82" i="3"/>
  <c r="L110" i="3" s="1"/>
  <c r="J86" i="3"/>
  <c r="J114" i="3" s="1"/>
  <c r="G85" i="3"/>
  <c r="G113" i="3" s="1"/>
  <c r="M83" i="3"/>
  <c r="M111" i="3" s="1"/>
  <c r="J82" i="3"/>
  <c r="J110" i="3" s="1"/>
  <c r="G81" i="3"/>
  <c r="G109" i="3" s="1"/>
  <c r="M79" i="3"/>
  <c r="M107" i="3" s="1"/>
  <c r="I86" i="3"/>
  <c r="I114" i="3" s="1"/>
  <c r="F85" i="3"/>
  <c r="F113" i="3" s="1"/>
  <c r="L83" i="3"/>
  <c r="L111" i="3" s="1"/>
  <c r="I82" i="3"/>
  <c r="I110" i="3" s="1"/>
  <c r="F81" i="3"/>
  <c r="F109" i="3" s="1"/>
  <c r="L79" i="3"/>
  <c r="H86" i="3"/>
  <c r="H114" i="3" s="1"/>
  <c r="E85" i="3"/>
  <c r="E113" i="3" s="1"/>
  <c r="K83" i="3"/>
  <c r="K111" i="3" s="1"/>
  <c r="H82" i="3"/>
  <c r="H110" i="3" s="1"/>
  <c r="E81" i="3"/>
  <c r="E109" i="3" s="1"/>
  <c r="K79" i="3"/>
  <c r="K107" i="3" s="1"/>
  <c r="G86" i="3"/>
  <c r="G114" i="3" s="1"/>
  <c r="M84" i="3"/>
  <c r="M112" i="3" s="1"/>
  <c r="J83" i="3"/>
  <c r="J111" i="3" s="1"/>
  <c r="G82" i="3"/>
  <c r="G110" i="3" s="1"/>
  <c r="M80" i="3"/>
  <c r="M108" i="3" s="1"/>
  <c r="J79" i="3"/>
  <c r="J107" i="3" s="1"/>
  <c r="F86" i="3"/>
  <c r="F114" i="3" s="1"/>
  <c r="L84" i="3"/>
  <c r="L112" i="3" s="1"/>
  <c r="I83" i="3"/>
  <c r="I111" i="3" s="1"/>
  <c r="F82" i="3"/>
  <c r="F110" i="3" s="1"/>
  <c r="L80" i="3"/>
  <c r="L108" i="3" s="1"/>
  <c r="I79" i="3"/>
  <c r="I107" i="3" s="1"/>
  <c r="E86" i="3"/>
  <c r="E114" i="3" s="1"/>
  <c r="K84" i="3"/>
  <c r="K112" i="3" s="1"/>
  <c r="H83" i="3"/>
  <c r="H111" i="3" s="1"/>
  <c r="E82" i="3"/>
  <c r="E110" i="3" s="1"/>
  <c r="K80" i="3"/>
  <c r="K108" i="3" s="1"/>
  <c r="H79" i="3"/>
  <c r="H107" i="3" s="1"/>
  <c r="L85" i="3"/>
  <c r="L113" i="3" s="1"/>
  <c r="I84" i="3"/>
  <c r="I112" i="3" s="1"/>
  <c r="F83" i="3"/>
  <c r="F111" i="3" s="1"/>
  <c r="L81" i="3"/>
  <c r="L109" i="3" s="1"/>
  <c r="I80" i="3"/>
  <c r="I108" i="3" s="1"/>
  <c r="F79" i="3"/>
  <c r="F107" i="3" s="1"/>
  <c r="K85" i="3"/>
  <c r="K113" i="3" s="1"/>
  <c r="H84" i="3"/>
  <c r="H112" i="3" s="1"/>
  <c r="E83" i="3"/>
  <c r="E111" i="3" s="1"/>
  <c r="K81" i="3"/>
  <c r="K109" i="3" s="1"/>
  <c r="H80" i="3"/>
  <c r="H108" i="3" s="1"/>
  <c r="J85" i="3"/>
  <c r="J113" i="3" s="1"/>
  <c r="G84" i="3"/>
  <c r="G112" i="3" s="1"/>
  <c r="M82" i="3"/>
  <c r="M110" i="3" s="1"/>
  <c r="G80" i="3"/>
  <c r="G108" i="3" s="1"/>
  <c r="F84" i="3"/>
  <c r="F112" i="3" s="1"/>
  <c r="I81" i="3"/>
  <c r="I109" i="3" s="1"/>
  <c r="F80" i="3"/>
  <c r="F108" i="3" s="1"/>
  <c r="B78" i="3"/>
  <c r="I133" i="7" l="1"/>
  <c r="K132" i="7"/>
  <c r="L132" i="7"/>
  <c r="I132" i="7"/>
  <c r="H133" i="7"/>
  <c r="E123" i="7"/>
  <c r="E111" i="7"/>
  <c r="N111" i="7" s="1"/>
  <c r="E120" i="7"/>
  <c r="E108" i="7"/>
  <c r="M133" i="7"/>
  <c r="L133" i="7"/>
  <c r="M78" i="7"/>
  <c r="M106" i="7" s="1"/>
  <c r="J78" i="7"/>
  <c r="J106" i="7" s="1"/>
  <c r="H78" i="7"/>
  <c r="H106" i="7" s="1"/>
  <c r="I78" i="7"/>
  <c r="I106" i="7" s="1"/>
  <c r="G78" i="7"/>
  <c r="G106" i="7" s="1"/>
  <c r="L78" i="7"/>
  <c r="L106" i="7" s="1"/>
  <c r="K78" i="7"/>
  <c r="K106" i="7" s="1"/>
  <c r="E78" i="7"/>
  <c r="F78" i="7"/>
  <c r="F106" i="7" s="1"/>
  <c r="M132" i="7"/>
  <c r="E124" i="7"/>
  <c r="E112" i="7"/>
  <c r="N112" i="7" s="1"/>
  <c r="E122" i="7"/>
  <c r="E110" i="7"/>
  <c r="N110" i="7" s="1"/>
  <c r="J133" i="7"/>
  <c r="E125" i="7"/>
  <c r="E113" i="7"/>
  <c r="N113" i="7" s="1"/>
  <c r="E126" i="7"/>
  <c r="E114" i="7"/>
  <c r="N114" i="7" s="1"/>
  <c r="J132" i="7"/>
  <c r="F132" i="7"/>
  <c r="F133" i="7"/>
  <c r="E119" i="7"/>
  <c r="E107" i="7"/>
  <c r="K133" i="7"/>
  <c r="H132" i="7"/>
  <c r="E121" i="7"/>
  <c r="E109" i="7"/>
  <c r="N109" i="7" s="1"/>
  <c r="G133" i="7"/>
  <c r="L107" i="3"/>
  <c r="L132" i="3" s="1"/>
  <c r="H133" i="3"/>
  <c r="G132" i="3"/>
  <c r="K78" i="3"/>
  <c r="L78" i="3"/>
  <c r="J78" i="3"/>
  <c r="I78" i="3"/>
  <c r="H78" i="3"/>
  <c r="G78" i="3"/>
  <c r="F78" i="3"/>
  <c r="E78" i="3"/>
  <c r="E106" i="3" s="1"/>
  <c r="M78" i="3"/>
  <c r="J133" i="3"/>
  <c r="H132" i="3"/>
  <c r="L133" i="3"/>
  <c r="J132" i="3"/>
  <c r="F132" i="3"/>
  <c r="I133" i="3"/>
  <c r="K132" i="3"/>
  <c r="N110" i="3"/>
  <c r="M132" i="3"/>
  <c r="N111" i="3"/>
  <c r="I132" i="3"/>
  <c r="E125" i="3"/>
  <c r="E126" i="3"/>
  <c r="M133" i="3"/>
  <c r="E122" i="3"/>
  <c r="E123" i="3"/>
  <c r="G133" i="3"/>
  <c r="E121" i="3"/>
  <c r="K133" i="3"/>
  <c r="N113" i="3"/>
  <c r="N114" i="3"/>
  <c r="N109" i="3"/>
  <c r="N112" i="3"/>
  <c r="E120" i="3"/>
  <c r="E124" i="3"/>
  <c r="E119" i="3"/>
  <c r="F133" i="3"/>
  <c r="N108" i="3"/>
  <c r="H115" i="7" l="1"/>
  <c r="H131" i="7"/>
  <c r="M115" i="7"/>
  <c r="M131" i="7"/>
  <c r="N87" i="7"/>
  <c r="E118" i="7"/>
  <c r="E106" i="7"/>
  <c r="F125" i="7" a="1"/>
  <c r="F125" i="7" s="1"/>
  <c r="P120" i="7"/>
  <c r="F122" i="7" a="1"/>
  <c r="F122" i="7" s="1"/>
  <c r="P119" i="7"/>
  <c r="O120" i="7"/>
  <c r="N108" i="7"/>
  <c r="K120" i="7" s="1"/>
  <c r="F126" i="7" s="1" a="1"/>
  <c r="F126" i="7" s="1"/>
  <c r="E133" i="7"/>
  <c r="F131" i="7"/>
  <c r="F115" i="7"/>
  <c r="Q118" i="7"/>
  <c r="J120" i="7"/>
  <c r="G120" i="7" a="1"/>
  <c r="G120" i="7" s="1"/>
  <c r="K115" i="7"/>
  <c r="K131" i="7"/>
  <c r="Q119" i="7"/>
  <c r="I115" i="7"/>
  <c r="I131" i="7"/>
  <c r="J115" i="7"/>
  <c r="J131" i="7"/>
  <c r="N107" i="7"/>
  <c r="K119" i="7" s="1"/>
  <c r="E132" i="7"/>
  <c r="F119" i="7" a="1"/>
  <c r="F119" i="7" s="1"/>
  <c r="P118" i="7"/>
  <c r="J119" i="7"/>
  <c r="G125" i="7" s="1" a="1"/>
  <c r="G125" i="7" s="1"/>
  <c r="Q120" i="7"/>
  <c r="G126" i="7" a="1"/>
  <c r="G126" i="7" s="1"/>
  <c r="L115" i="7"/>
  <c r="L131" i="7"/>
  <c r="O119" i="7"/>
  <c r="G115" i="7"/>
  <c r="G131" i="7"/>
  <c r="N107" i="3"/>
  <c r="K119" i="3" s="1"/>
  <c r="F119" i="3" s="1" a="1"/>
  <c r="F119" i="3" s="1"/>
  <c r="I106" i="3"/>
  <c r="I131" i="3" s="1"/>
  <c r="L106" i="3"/>
  <c r="L131" i="3" s="1"/>
  <c r="F106" i="3"/>
  <c r="G106" i="3"/>
  <c r="G131" i="3" s="1"/>
  <c r="H106" i="3"/>
  <c r="H131" i="3" s="1"/>
  <c r="J106" i="3"/>
  <c r="J131" i="3" s="1"/>
  <c r="K106" i="3"/>
  <c r="K131" i="3" s="1"/>
  <c r="M106" i="3"/>
  <c r="M131" i="3" s="1"/>
  <c r="J119" i="3"/>
  <c r="G119" i="3" s="1" a="1"/>
  <c r="G119" i="3" s="1"/>
  <c r="J120" i="3"/>
  <c r="G123" i="3" s="1" a="1"/>
  <c r="G123" i="3" s="1"/>
  <c r="E118" i="3"/>
  <c r="E127" i="3" s="1"/>
  <c r="N87" i="3"/>
  <c r="E133" i="3"/>
  <c r="K120" i="3"/>
  <c r="F126" i="3" s="1" a="1"/>
  <c r="F126" i="3" s="1"/>
  <c r="E132" i="3"/>
  <c r="E131" i="3"/>
  <c r="L120" i="7" l="1"/>
  <c r="O139" i="7" s="1"/>
  <c r="G119" i="7" a="1"/>
  <c r="G119" i="7" s="1"/>
  <c r="L119" i="7"/>
  <c r="I139" i="7" a="1"/>
  <c r="I139" i="7" s="1"/>
  <c r="I152" i="7" s="1"/>
  <c r="F139" i="7" a="1"/>
  <c r="F139" i="7" s="1"/>
  <c r="F152" i="7" s="1"/>
  <c r="H139" i="7" a="1"/>
  <c r="H139" i="7" s="1"/>
  <c r="H152" i="7" s="1"/>
  <c r="M139" i="7" a="1"/>
  <c r="M139" i="7" s="1"/>
  <c r="M152" i="7" s="1"/>
  <c r="J139" i="7" a="1"/>
  <c r="J139" i="7" s="1"/>
  <c r="J152" i="7" s="1"/>
  <c r="G139" i="7" a="1"/>
  <c r="G139" i="7" s="1"/>
  <c r="G152" i="7" s="1"/>
  <c r="K139" i="7" a="1"/>
  <c r="K139" i="7" s="1"/>
  <c r="K152" i="7" s="1"/>
  <c r="Q121" i="7"/>
  <c r="U118" i="7" s="1" a="1"/>
  <c r="F120" i="7" a="1"/>
  <c r="F120" i="7" s="1"/>
  <c r="E115" i="7"/>
  <c r="N115" i="7"/>
  <c r="N106" i="7"/>
  <c r="K118" i="7" s="1"/>
  <c r="F118" i="7" s="1" a="1"/>
  <c r="F118" i="7" s="1"/>
  <c r="E131" i="7"/>
  <c r="E127" i="7"/>
  <c r="O118" i="7"/>
  <c r="O121" i="7" s="1"/>
  <c r="S118" i="7" s="1" a="1"/>
  <c r="J118" i="7"/>
  <c r="G118" i="7" s="1" a="1"/>
  <c r="G118" i="7" s="1"/>
  <c r="F123" i="7" a="1"/>
  <c r="F123" i="7" s="1"/>
  <c r="G123" i="7" a="1"/>
  <c r="G123" i="7" s="1"/>
  <c r="O135" i="7"/>
  <c r="I145" i="7" a="1"/>
  <c r="I145" i="7" s="1"/>
  <c r="I158" i="7" s="1"/>
  <c r="L145" i="7" a="1"/>
  <c r="L145" i="7" s="1"/>
  <c r="L158" i="7" s="1"/>
  <c r="G145" i="7" a="1"/>
  <c r="G145" i="7" s="1"/>
  <c r="G158" i="7" s="1"/>
  <c r="K145" i="7" a="1"/>
  <c r="K145" i="7" s="1"/>
  <c r="K158" i="7" s="1"/>
  <c r="F145" i="7" a="1"/>
  <c r="F145" i="7" s="1"/>
  <c r="F158" i="7" s="1"/>
  <c r="E145" i="7" a="1"/>
  <c r="E145" i="7" s="1"/>
  <c r="E158" i="7" s="1"/>
  <c r="M145" i="7" a="1"/>
  <c r="M145" i="7" s="1"/>
  <c r="M158" i="7" s="1"/>
  <c r="J145" i="7" a="1"/>
  <c r="J145" i="7" s="1"/>
  <c r="J158" i="7" s="1"/>
  <c r="P121" i="7"/>
  <c r="T118" i="7" s="1" a="1"/>
  <c r="G122" i="7" a="1"/>
  <c r="G122" i="7" s="1"/>
  <c r="N106" i="3"/>
  <c r="K118" i="3" s="1"/>
  <c r="F118" i="3" s="1" a="1"/>
  <c r="F118" i="3" s="1"/>
  <c r="F131" i="3"/>
  <c r="N115" i="3"/>
  <c r="G126" i="3" a="1"/>
  <c r="G126" i="3" s="1"/>
  <c r="G120" i="3" a="1"/>
  <c r="G120" i="3" s="1"/>
  <c r="L119" i="3"/>
  <c r="G138" i="3" s="1" a="1"/>
  <c r="G138" i="3" s="1"/>
  <c r="G151" i="3" s="1"/>
  <c r="F120" i="3" a="1"/>
  <c r="F120" i="3" s="1"/>
  <c r="F122" i="3" a="1"/>
  <c r="F122" i="3" s="1"/>
  <c r="F125" i="3" a="1"/>
  <c r="F125" i="3" s="1"/>
  <c r="G122" i="3" a="1"/>
  <c r="G122" i="3" s="1"/>
  <c r="F123" i="3" a="1"/>
  <c r="F123" i="3" s="1"/>
  <c r="G125" i="3" a="1"/>
  <c r="G125" i="3" s="1"/>
  <c r="J118" i="3"/>
  <c r="L120" i="3"/>
  <c r="H142" i="3" s="1" a="1"/>
  <c r="H142" i="3" s="1"/>
  <c r="H155" i="3" s="1"/>
  <c r="L139" i="7" l="1" a="1"/>
  <c r="L139" i="7" s="1"/>
  <c r="L152" i="7" s="1"/>
  <c r="Q139" i="7"/>
  <c r="S139" i="7"/>
  <c r="R139" i="7"/>
  <c r="T139" i="7"/>
  <c r="X139" i="7"/>
  <c r="W139" i="7"/>
  <c r="V139" i="7"/>
  <c r="U139" i="7"/>
  <c r="P139" i="7"/>
  <c r="H145" i="7" a="1"/>
  <c r="H145" i="7" s="1"/>
  <c r="H158" i="7" s="1"/>
  <c r="F196" i="7" s="1"/>
  <c r="E139" i="7" a="1"/>
  <c r="E139" i="7" s="1"/>
  <c r="E152" i="7" s="1"/>
  <c r="F190" i="7" s="1"/>
  <c r="F144" i="7" a="1"/>
  <c r="F144" i="7" s="1"/>
  <c r="F157" i="7" s="1"/>
  <c r="O157" i="7" s="1"/>
  <c r="H144" i="7" a="1"/>
  <c r="H144" i="7" s="1"/>
  <c r="H157" i="7" s="1"/>
  <c r="F138" i="7" a="1"/>
  <c r="F138" i="7" s="1"/>
  <c r="F151" i="7" s="1"/>
  <c r="O151" i="7" s="1"/>
  <c r="K138" i="7" a="1"/>
  <c r="K138" i="7" s="1"/>
  <c r="K151" i="7" s="1"/>
  <c r="T151" i="7" s="1"/>
  <c r="M138" i="7" a="1"/>
  <c r="M138" i="7" s="1"/>
  <c r="M151" i="7" s="1"/>
  <c r="V151" i="7" s="1"/>
  <c r="K144" i="7" a="1"/>
  <c r="K144" i="7" s="1"/>
  <c r="K157" i="7" s="1"/>
  <c r="T157" i="7" s="1"/>
  <c r="J138" i="7" a="1"/>
  <c r="J138" i="7" s="1"/>
  <c r="J151" i="7" s="1"/>
  <c r="S151" i="7" s="1"/>
  <c r="M144" i="7" a="1"/>
  <c r="M144" i="7" s="1"/>
  <c r="M157" i="7" s="1"/>
  <c r="V157" i="7" s="1"/>
  <c r="E144" i="7" a="1"/>
  <c r="E144" i="7" s="1"/>
  <c r="E157" i="7" s="1"/>
  <c r="N157" i="7" s="1"/>
  <c r="H138" i="7" a="1"/>
  <c r="H138" i="7" s="1"/>
  <c r="H151" i="7" s="1"/>
  <c r="Q151" i="7" s="1"/>
  <c r="I144" i="7" a="1"/>
  <c r="I144" i="7" s="1"/>
  <c r="I157" i="7" s="1"/>
  <c r="R157" i="7" s="1"/>
  <c r="E138" i="7" a="1"/>
  <c r="E138" i="7" s="1"/>
  <c r="E151" i="7" s="1"/>
  <c r="N151" i="7" s="1"/>
  <c r="I138" i="7" a="1"/>
  <c r="I138" i="7" s="1"/>
  <c r="I151" i="7" s="1"/>
  <c r="R151" i="7" s="1"/>
  <c r="L138" i="7" a="1"/>
  <c r="L138" i="7" s="1"/>
  <c r="L151" i="7" s="1"/>
  <c r="U151" i="7" s="1"/>
  <c r="G138" i="7" a="1"/>
  <c r="G138" i="7" s="1"/>
  <c r="G151" i="7" s="1"/>
  <c r="P151" i="7" s="1"/>
  <c r="T118" i="7"/>
  <c r="S118" i="7"/>
  <c r="S158" i="7"/>
  <c r="V158" i="7"/>
  <c r="N158" i="7"/>
  <c r="L144" i="7" a="1"/>
  <c r="L144" i="7" s="1"/>
  <c r="L157" i="7" s="1"/>
  <c r="F124" i="7" a="1"/>
  <c r="F124" i="7" s="1"/>
  <c r="F121" i="7" a="1"/>
  <c r="F121" i="7" s="1"/>
  <c r="T158" i="7"/>
  <c r="U118" i="7"/>
  <c r="U158" i="7"/>
  <c r="Q152" i="7"/>
  <c r="O158" i="7"/>
  <c r="P158" i="7"/>
  <c r="R158" i="7"/>
  <c r="Q157" i="7"/>
  <c r="O152" i="7"/>
  <c r="T152" i="7"/>
  <c r="P152" i="7"/>
  <c r="S152" i="7"/>
  <c r="V152" i="7"/>
  <c r="W135" i="7"/>
  <c r="X135" i="7"/>
  <c r="U135" i="7"/>
  <c r="P135" i="7"/>
  <c r="R135" i="7"/>
  <c r="V135" i="7"/>
  <c r="T135" i="7"/>
  <c r="S135" i="7"/>
  <c r="Q135" i="7"/>
  <c r="G144" i="7" a="1"/>
  <c r="G144" i="7" s="1"/>
  <c r="G157" i="7" s="1"/>
  <c r="R152" i="7"/>
  <c r="G141" i="7" a="1"/>
  <c r="G141" i="7" s="1"/>
  <c r="G154" i="7" s="1"/>
  <c r="E141" i="7" a="1"/>
  <c r="E141" i="7" s="1"/>
  <c r="E154" i="7" s="1"/>
  <c r="I141" i="7" a="1"/>
  <c r="I141" i="7" s="1"/>
  <c r="I154" i="7" s="1"/>
  <c r="L141" i="7" a="1"/>
  <c r="L141" i="7" s="1"/>
  <c r="L154" i="7" s="1"/>
  <c r="F141" i="7" a="1"/>
  <c r="F141" i="7" s="1"/>
  <c r="F154" i="7" s="1"/>
  <c r="M141" i="7" a="1"/>
  <c r="M141" i="7" s="1"/>
  <c r="M154" i="7" s="1"/>
  <c r="K141" i="7" a="1"/>
  <c r="K141" i="7" s="1"/>
  <c r="K154" i="7" s="1"/>
  <c r="H141" i="7" a="1"/>
  <c r="H141" i="7" s="1"/>
  <c r="H154" i="7" s="1"/>
  <c r="J141" i="7" a="1"/>
  <c r="J141" i="7" s="1"/>
  <c r="J154" i="7" s="1"/>
  <c r="H142" i="7" a="1"/>
  <c r="H142" i="7" s="1"/>
  <c r="H155" i="7" s="1"/>
  <c r="M142" i="7" a="1"/>
  <c r="M142" i="7" s="1"/>
  <c r="M155" i="7" s="1"/>
  <c r="M179" i="7" s="1"/>
  <c r="M183" i="7" s="1"/>
  <c r="I142" i="7" a="1"/>
  <c r="I142" i="7" s="1"/>
  <c r="I155" i="7" s="1"/>
  <c r="I179" i="7" s="1"/>
  <c r="I183" i="7" s="1"/>
  <c r="L142" i="7" a="1"/>
  <c r="L142" i="7" s="1"/>
  <c r="L155" i="7" s="1"/>
  <c r="K142" i="7" a="1"/>
  <c r="K142" i="7" s="1"/>
  <c r="K155" i="7" s="1"/>
  <c r="K179" i="7" s="1"/>
  <c r="K183" i="7" s="1"/>
  <c r="F142" i="7" a="1"/>
  <c r="F142" i="7" s="1"/>
  <c r="F155" i="7" s="1"/>
  <c r="F179" i="7" s="1"/>
  <c r="F183" i="7" s="1"/>
  <c r="E142" i="7" a="1"/>
  <c r="E142" i="7" s="1"/>
  <c r="E155" i="7" s="1"/>
  <c r="G142" i="7" a="1"/>
  <c r="G142" i="7" s="1"/>
  <c r="G155" i="7" s="1"/>
  <c r="J142" i="7" a="1"/>
  <c r="J142" i="7" s="1"/>
  <c r="J155" i="7" s="1"/>
  <c r="L118" i="7"/>
  <c r="O131" i="7" s="1"/>
  <c r="G124" i="7" a="1"/>
  <c r="G124" i="7" s="1"/>
  <c r="G121" i="7" a="1"/>
  <c r="G121" i="7" s="1"/>
  <c r="J144" i="7" a="1"/>
  <c r="J144" i="7" s="1"/>
  <c r="J157" i="7" s="1"/>
  <c r="U152" i="7"/>
  <c r="L118" i="3"/>
  <c r="F121" i="3" a="1"/>
  <c r="F121" i="3" s="1"/>
  <c r="F124" i="3" a="1"/>
  <c r="F124" i="3" s="1"/>
  <c r="K138" i="3" a="1"/>
  <c r="K138" i="3" s="1"/>
  <c r="K151" i="3" s="1"/>
  <c r="I138" i="3" a="1"/>
  <c r="I138" i="3" s="1"/>
  <c r="I151" i="3" s="1"/>
  <c r="G144" i="3" a="1"/>
  <c r="G144" i="3" s="1"/>
  <c r="G157" i="3" s="1"/>
  <c r="G141" i="3" a="1"/>
  <c r="G141" i="3" s="1"/>
  <c r="G154" i="3" s="1"/>
  <c r="F138" i="3" a="1"/>
  <c r="F138" i="3" s="1"/>
  <c r="F151" i="3" s="1"/>
  <c r="H138" i="3" a="1"/>
  <c r="H138" i="3" s="1"/>
  <c r="H151" i="3" s="1"/>
  <c r="L138" i="3" a="1"/>
  <c r="L138" i="3" s="1"/>
  <c r="L151" i="3" s="1"/>
  <c r="M138" i="3" a="1"/>
  <c r="M138" i="3" s="1"/>
  <c r="M151" i="3" s="1"/>
  <c r="E138" i="3" a="1"/>
  <c r="E138" i="3" s="1"/>
  <c r="E151" i="3" s="1"/>
  <c r="J138" i="3" a="1"/>
  <c r="J138" i="3" s="1"/>
  <c r="J151" i="3" s="1"/>
  <c r="E145" i="3" a="1"/>
  <c r="E145" i="3" s="1"/>
  <c r="E158" i="3" s="1"/>
  <c r="H145" i="3" a="1"/>
  <c r="H145" i="3" s="1"/>
  <c r="H158" i="3" s="1"/>
  <c r="M139" i="3" a="1"/>
  <c r="M139" i="3" s="1"/>
  <c r="M152" i="3" s="1"/>
  <c r="L141" i="3" a="1"/>
  <c r="L141" i="3" s="1"/>
  <c r="L154" i="3" s="1"/>
  <c r="M141" i="3" a="1"/>
  <c r="M141" i="3" s="1"/>
  <c r="M154" i="3" s="1"/>
  <c r="E141" i="3" a="1"/>
  <c r="E141" i="3" s="1"/>
  <c r="E154" i="3" s="1"/>
  <c r="F141" i="3" a="1"/>
  <c r="F141" i="3" s="1"/>
  <c r="F154" i="3" s="1"/>
  <c r="J141" i="3" a="1"/>
  <c r="J141" i="3" s="1"/>
  <c r="J154" i="3" s="1"/>
  <c r="H144" i="3" a="1"/>
  <c r="H144" i="3" s="1"/>
  <c r="H157" i="3" s="1"/>
  <c r="I144" i="3" a="1"/>
  <c r="I144" i="3" s="1"/>
  <c r="I157" i="3" s="1"/>
  <c r="J144" i="3" a="1"/>
  <c r="J144" i="3" s="1"/>
  <c r="J157" i="3" s="1"/>
  <c r="E144" i="3" a="1"/>
  <c r="E144" i="3" s="1"/>
  <c r="E157" i="3" s="1"/>
  <c r="H141" i="3" a="1"/>
  <c r="H141" i="3" s="1"/>
  <c r="H154" i="3" s="1"/>
  <c r="K144" i="3" a="1"/>
  <c r="K144" i="3" s="1"/>
  <c r="K157" i="3" s="1"/>
  <c r="I141" i="3" a="1"/>
  <c r="I141" i="3" s="1"/>
  <c r="I154" i="3" s="1"/>
  <c r="F144" i="3" a="1"/>
  <c r="F144" i="3" s="1"/>
  <c r="F157" i="3" s="1"/>
  <c r="G118" i="3" a="1"/>
  <c r="G118" i="3" s="1"/>
  <c r="K141" i="3" a="1"/>
  <c r="K141" i="3" s="1"/>
  <c r="K154" i="3" s="1"/>
  <c r="L144" i="3" a="1"/>
  <c r="L144" i="3" s="1"/>
  <c r="L157" i="3" s="1"/>
  <c r="G139" i="3" a="1"/>
  <c r="G139" i="3" s="1"/>
  <c r="G152" i="3" s="1"/>
  <c r="I139" i="3" a="1"/>
  <c r="I139" i="3" s="1"/>
  <c r="I152" i="3" s="1"/>
  <c r="L139" i="3" a="1"/>
  <c r="L139" i="3" s="1"/>
  <c r="L152" i="3" s="1"/>
  <c r="I145" i="3" a="1"/>
  <c r="I145" i="3" s="1"/>
  <c r="I158" i="3" s="1"/>
  <c r="J145" i="3" a="1"/>
  <c r="J145" i="3" s="1"/>
  <c r="J158" i="3" s="1"/>
  <c r="E139" i="3" a="1"/>
  <c r="E139" i="3" s="1"/>
  <c r="E152" i="3" s="1"/>
  <c r="F145" i="3" a="1"/>
  <c r="F145" i="3" s="1"/>
  <c r="F158" i="3" s="1"/>
  <c r="L145" i="3" a="1"/>
  <c r="L145" i="3" s="1"/>
  <c r="L158" i="3" s="1"/>
  <c r="F142" i="3" a="1"/>
  <c r="F142" i="3" s="1"/>
  <c r="F155" i="3" s="1"/>
  <c r="J142" i="3" a="1"/>
  <c r="J142" i="3" s="1"/>
  <c r="J155" i="3" s="1"/>
  <c r="G121" i="3" a="1"/>
  <c r="G121" i="3" s="1"/>
  <c r="M145" i="3" a="1"/>
  <c r="M145" i="3" s="1"/>
  <c r="M158" i="3" s="1"/>
  <c r="G124" i="3" a="1"/>
  <c r="G124" i="3" s="1"/>
  <c r="M144" i="3" a="1"/>
  <c r="M144" i="3" s="1"/>
  <c r="M157" i="3" s="1"/>
  <c r="E142" i="3" a="1"/>
  <c r="E142" i="3" s="1"/>
  <c r="E155" i="3" s="1"/>
  <c r="M142" i="3" a="1"/>
  <c r="M142" i="3" s="1"/>
  <c r="M155" i="3" s="1"/>
  <c r="G142" i="3" a="1"/>
  <c r="G142" i="3" s="1"/>
  <c r="G155" i="3" s="1"/>
  <c r="K142" i="3" a="1"/>
  <c r="K142" i="3" s="1"/>
  <c r="K155" i="3" s="1"/>
  <c r="F139" i="3" a="1"/>
  <c r="F139" i="3" s="1"/>
  <c r="F152" i="3" s="1"/>
  <c r="L142" i="3" a="1"/>
  <c r="L142" i="3" s="1"/>
  <c r="L155" i="3" s="1"/>
  <c r="I142" i="3" a="1"/>
  <c r="I142" i="3" s="1"/>
  <c r="I155" i="3" s="1"/>
  <c r="H139" i="3" a="1"/>
  <c r="H139" i="3" s="1"/>
  <c r="H152" i="3" s="1"/>
  <c r="J139" i="3" a="1"/>
  <c r="J139" i="3" s="1"/>
  <c r="J152" i="3" s="1"/>
  <c r="G145" i="3" a="1"/>
  <c r="G145" i="3" s="1"/>
  <c r="G158" i="3" s="1"/>
  <c r="K139" i="3" a="1"/>
  <c r="K139" i="3" s="1"/>
  <c r="K152" i="3" s="1"/>
  <c r="K145" i="3" a="1"/>
  <c r="K145" i="3" s="1"/>
  <c r="K158" i="3" s="1"/>
  <c r="N152" i="7" l="1"/>
  <c r="Q158" i="7"/>
  <c r="E179" i="7"/>
  <c r="E183" i="7" s="1"/>
  <c r="P140" i="7" a="1"/>
  <c r="P140" i="7" s="1"/>
  <c r="G127" i="7"/>
  <c r="H178" i="7"/>
  <c r="H182" i="7" s="1"/>
  <c r="F189" i="7"/>
  <c r="K178" i="7"/>
  <c r="K182" i="7" s="1"/>
  <c r="F137" i="7" a="1"/>
  <c r="F137" i="7" s="1"/>
  <c r="F150" i="7" s="1"/>
  <c r="O150" i="7" s="1"/>
  <c r="M137" i="7" a="1"/>
  <c r="M137" i="7" s="1"/>
  <c r="M150" i="7" s="1"/>
  <c r="V150" i="7" s="1"/>
  <c r="H137" i="7" a="1"/>
  <c r="H137" i="7" s="1"/>
  <c r="H150" i="7" s="1"/>
  <c r="Q150" i="7" s="1"/>
  <c r="E137" i="7" a="1"/>
  <c r="E137" i="7" s="1"/>
  <c r="E150" i="7" s="1"/>
  <c r="N150" i="7" s="1"/>
  <c r="E178" i="7"/>
  <c r="E182" i="7" s="1"/>
  <c r="P136" i="7" a="1"/>
  <c r="P136" i="7" s="1"/>
  <c r="S155" i="7"/>
  <c r="V154" i="7"/>
  <c r="P155" i="7"/>
  <c r="O154" i="7"/>
  <c r="M178" i="7"/>
  <c r="M182" i="7" s="1"/>
  <c r="N155" i="7"/>
  <c r="F193" i="7"/>
  <c r="U154" i="7"/>
  <c r="W158" i="7"/>
  <c r="O155" i="7"/>
  <c r="R154" i="7"/>
  <c r="L178" i="7"/>
  <c r="L182" i="7" s="1"/>
  <c r="I137" i="7" a="1"/>
  <c r="I137" i="7" s="1"/>
  <c r="I150" i="7" s="1"/>
  <c r="P157" i="7"/>
  <c r="W151" i="7"/>
  <c r="P154" i="7"/>
  <c r="S157" i="7"/>
  <c r="Q155" i="7"/>
  <c r="H179" i="7"/>
  <c r="H183" i="7" s="1"/>
  <c r="W152" i="7"/>
  <c r="J137" i="7" a="1"/>
  <c r="J137" i="7" s="1"/>
  <c r="J150" i="7" s="1"/>
  <c r="N154" i="7"/>
  <c r="F192" i="7"/>
  <c r="U155" i="7"/>
  <c r="F195" i="7"/>
  <c r="G140" i="7" a="1"/>
  <c r="G140" i="7" s="1"/>
  <c r="G153" i="7" s="1"/>
  <c r="I140" i="7" a="1"/>
  <c r="I140" i="7" s="1"/>
  <c r="I153" i="7" s="1"/>
  <c r="M140" i="7" a="1"/>
  <c r="M140" i="7" s="1"/>
  <c r="M153" i="7" s="1"/>
  <c r="K140" i="7" a="1"/>
  <c r="K140" i="7" s="1"/>
  <c r="K153" i="7" s="1"/>
  <c r="J140" i="7" a="1"/>
  <c r="J140" i="7" s="1"/>
  <c r="J153" i="7" s="1"/>
  <c r="S153" i="7" s="1"/>
  <c r="L140" i="7" a="1"/>
  <c r="L140" i="7" s="1"/>
  <c r="L153" i="7" s="1"/>
  <c r="U153" i="7" s="1"/>
  <c r="E140" i="7" a="1"/>
  <c r="E140" i="7" s="1"/>
  <c r="E153" i="7" s="1"/>
  <c r="H140" i="7" a="1"/>
  <c r="H140" i="7" s="1"/>
  <c r="H153" i="7" s="1"/>
  <c r="F140" i="7" a="1"/>
  <c r="F140" i="7" s="1"/>
  <c r="F153" i="7" s="1"/>
  <c r="S154" i="7"/>
  <c r="G178" i="7"/>
  <c r="G182" i="7" s="1"/>
  <c r="F178" i="7"/>
  <c r="F182" i="7" s="1"/>
  <c r="U157" i="7"/>
  <c r="K137" i="7" a="1"/>
  <c r="K137" i="7" s="1"/>
  <c r="K150" i="7" s="1"/>
  <c r="T155" i="7"/>
  <c r="R155" i="7"/>
  <c r="J179" i="7"/>
  <c r="J183" i="7" s="1"/>
  <c r="M140" i="3" a="1"/>
  <c r="M140" i="3" s="1"/>
  <c r="M153" i="3" s="1"/>
  <c r="G143" i="7" a="1"/>
  <c r="G143" i="7" s="1"/>
  <c r="G156" i="7" s="1"/>
  <c r="M143" i="7" a="1"/>
  <c r="M143" i="7" s="1"/>
  <c r="M156" i="7" s="1"/>
  <c r="F143" i="7" a="1"/>
  <c r="F143" i="7" s="1"/>
  <c r="F156" i="7" s="1"/>
  <c r="O156" i="7" s="1"/>
  <c r="K143" i="7" a="1"/>
  <c r="K143" i="7" s="1"/>
  <c r="K156" i="7" s="1"/>
  <c r="H143" i="7" a="1"/>
  <c r="H143" i="7" s="1"/>
  <c r="H156" i="7" s="1"/>
  <c r="I143" i="7" a="1"/>
  <c r="I143" i="7" s="1"/>
  <c r="I156" i="7" s="1"/>
  <c r="R156" i="7" s="1"/>
  <c r="L143" i="7" a="1"/>
  <c r="L143" i="7" s="1"/>
  <c r="L156" i="7" s="1"/>
  <c r="E143" i="7" a="1"/>
  <c r="E143" i="7" s="1"/>
  <c r="E156" i="7" s="1"/>
  <c r="J143" i="7" a="1"/>
  <c r="J143" i="7" s="1"/>
  <c r="J156" i="7" s="1"/>
  <c r="Q154" i="7"/>
  <c r="G179" i="7"/>
  <c r="G183" i="7" s="1"/>
  <c r="L137" i="7" a="1"/>
  <c r="L137" i="7" s="1"/>
  <c r="L150" i="7" s="1"/>
  <c r="L179" i="7"/>
  <c r="L183" i="7" s="1"/>
  <c r="V155" i="7"/>
  <c r="F143" i="3" a="1"/>
  <c r="F143" i="3" s="1"/>
  <c r="F156" i="3" s="1"/>
  <c r="J137" i="3" a="1"/>
  <c r="J137" i="3" s="1"/>
  <c r="J150" i="3" s="1"/>
  <c r="P131" i="7"/>
  <c r="Q131" i="7"/>
  <c r="R131" i="7"/>
  <c r="W131" i="7"/>
  <c r="U131" i="7"/>
  <c r="S131" i="7"/>
  <c r="T131" i="7"/>
  <c r="V131" i="7"/>
  <c r="X131" i="7"/>
  <c r="T154" i="7"/>
  <c r="J178" i="7"/>
  <c r="J182" i="7" s="1"/>
  <c r="I178" i="7"/>
  <c r="I182" i="7" s="1"/>
  <c r="G137" i="7" a="1"/>
  <c r="G137" i="7" s="1"/>
  <c r="G150" i="7" s="1"/>
  <c r="G178" i="3"/>
  <c r="G182" i="3" s="1"/>
  <c r="F189" i="3"/>
  <c r="F193" i="3"/>
  <c r="F192" i="3"/>
  <c r="F190" i="3"/>
  <c r="F196" i="3"/>
  <c r="F195" i="3"/>
  <c r="H179" i="3"/>
  <c r="H183" i="3" s="1"/>
  <c r="M178" i="3"/>
  <c r="M182" i="3" s="1"/>
  <c r="J178" i="3"/>
  <c r="J182" i="3" s="1"/>
  <c r="L178" i="3"/>
  <c r="L182" i="3" s="1"/>
  <c r="E178" i="3"/>
  <c r="E182" i="3" s="1"/>
  <c r="F179" i="3"/>
  <c r="F183" i="3" s="1"/>
  <c r="I178" i="3"/>
  <c r="I182" i="3" s="1"/>
  <c r="H178" i="3"/>
  <c r="H182" i="3" s="1"/>
  <c r="F178" i="3"/>
  <c r="F182" i="3" s="1"/>
  <c r="G143" i="3" a="1"/>
  <c r="G143" i="3" s="1"/>
  <c r="G156" i="3" s="1"/>
  <c r="G140" i="3" a="1"/>
  <c r="G140" i="3" s="1"/>
  <c r="G153" i="3" s="1"/>
  <c r="K178" i="3"/>
  <c r="K182" i="3" s="1"/>
  <c r="J140" i="3" a="1"/>
  <c r="J140" i="3" s="1"/>
  <c r="J153" i="3" s="1"/>
  <c r="E140" i="3" a="1"/>
  <c r="E140" i="3" s="1"/>
  <c r="E153" i="3" s="1"/>
  <c r="I137" i="3" a="1"/>
  <c r="I137" i="3" s="1"/>
  <c r="I150" i="3" s="1"/>
  <c r="G137" i="3" a="1"/>
  <c r="G137" i="3" s="1"/>
  <c r="G150" i="3" s="1"/>
  <c r="M137" i="3" a="1"/>
  <c r="M137" i="3" s="1"/>
  <c r="M150" i="3" s="1"/>
  <c r="E137" i="3" a="1"/>
  <c r="E137" i="3" s="1"/>
  <c r="E150" i="3" s="1"/>
  <c r="G179" i="3"/>
  <c r="G183" i="3" s="1"/>
  <c r="J179" i="3"/>
  <c r="J183" i="3" s="1"/>
  <c r="H140" i="3" a="1"/>
  <c r="H140" i="3" s="1"/>
  <c r="H153" i="3" s="1"/>
  <c r="I140" i="3" a="1"/>
  <c r="I140" i="3" s="1"/>
  <c r="I153" i="3" s="1"/>
  <c r="F137" i="3" a="1"/>
  <c r="F137" i="3" s="1"/>
  <c r="F150" i="3" s="1"/>
  <c r="L137" i="3" a="1"/>
  <c r="L137" i="3" s="1"/>
  <c r="L150" i="3" s="1"/>
  <c r="K137" i="3" a="1"/>
  <c r="K137" i="3" s="1"/>
  <c r="K150" i="3" s="1"/>
  <c r="H137" i="3" a="1"/>
  <c r="H137" i="3" s="1"/>
  <c r="H150" i="3" s="1"/>
  <c r="K143" i="3" a="1"/>
  <c r="K143" i="3" s="1"/>
  <c r="K156" i="3" s="1"/>
  <c r="L143" i="3" a="1"/>
  <c r="L143" i="3" s="1"/>
  <c r="L156" i="3" s="1"/>
  <c r="M143" i="3" a="1"/>
  <c r="M143" i="3" s="1"/>
  <c r="M156" i="3" s="1"/>
  <c r="J143" i="3" a="1"/>
  <c r="J143" i="3" s="1"/>
  <c r="J156" i="3" s="1"/>
  <c r="I179" i="3"/>
  <c r="I183" i="3" s="1"/>
  <c r="I143" i="3" a="1"/>
  <c r="I143" i="3" s="1"/>
  <c r="I156" i="3" s="1"/>
  <c r="L179" i="3"/>
  <c r="L183" i="3" s="1"/>
  <c r="H143" i="3" a="1"/>
  <c r="H143" i="3" s="1"/>
  <c r="H156" i="3" s="1"/>
  <c r="E143" i="3" a="1"/>
  <c r="E143" i="3" s="1"/>
  <c r="E156" i="3" s="1"/>
  <c r="K140" i="3" a="1"/>
  <c r="K140" i="3" s="1"/>
  <c r="K153" i="3" s="1"/>
  <c r="G127" i="3"/>
  <c r="F140" i="3" a="1"/>
  <c r="F140" i="3" s="1"/>
  <c r="F153" i="3" s="1"/>
  <c r="M179" i="3"/>
  <c r="M183" i="3" s="1"/>
  <c r="E179" i="3"/>
  <c r="E183" i="3" s="1"/>
  <c r="L140" i="3" a="1"/>
  <c r="L140" i="3" s="1"/>
  <c r="L153" i="3" s="1"/>
  <c r="K179" i="3"/>
  <c r="K183" i="3" s="1"/>
  <c r="W157" i="7" l="1"/>
  <c r="F188" i="7"/>
  <c r="M177" i="7"/>
  <c r="M181" i="7" s="1"/>
  <c r="M184" i="7" s="1"/>
  <c r="M204" i="7" s="1"/>
  <c r="E177" i="7"/>
  <c r="E181" i="7" s="1"/>
  <c r="E184" i="7" s="1"/>
  <c r="E203" i="7" s="1"/>
  <c r="N183" i="7"/>
  <c r="H177" i="7"/>
  <c r="H181" i="7" s="1"/>
  <c r="H184" i="7" s="1"/>
  <c r="H204" i="7" s="1"/>
  <c r="N182" i="7"/>
  <c r="F177" i="7"/>
  <c r="F181" i="7" s="1"/>
  <c r="F184" i="7" s="1"/>
  <c r="F204" i="7" s="1"/>
  <c r="P153" i="7"/>
  <c r="S156" i="7"/>
  <c r="W155" i="7"/>
  <c r="F194" i="7"/>
  <c r="N156" i="7"/>
  <c r="U156" i="7"/>
  <c r="P150" i="7"/>
  <c r="G177" i="7"/>
  <c r="G181" i="7" s="1"/>
  <c r="G184" i="7" s="1"/>
  <c r="G200" i="7" s="1"/>
  <c r="V156" i="7"/>
  <c r="K177" i="7"/>
  <c r="K181" i="7" s="1"/>
  <c r="K184" i="7" s="1"/>
  <c r="K200" i="7" s="1"/>
  <c r="T150" i="7"/>
  <c r="O153" i="7"/>
  <c r="Q153" i="7"/>
  <c r="P132" i="7" a="1"/>
  <c r="P132" i="7" s="1"/>
  <c r="L177" i="7"/>
  <c r="L181" i="7" s="1"/>
  <c r="L184" i="7" s="1"/>
  <c r="L200" i="7" s="1"/>
  <c r="U150" i="7"/>
  <c r="P156" i="7"/>
  <c r="T153" i="7"/>
  <c r="W154" i="7"/>
  <c r="Q156" i="7"/>
  <c r="N153" i="7"/>
  <c r="F191" i="7"/>
  <c r="V153" i="7"/>
  <c r="S150" i="7"/>
  <c r="J177" i="7"/>
  <c r="J181" i="7" s="1"/>
  <c r="J184" i="7" s="1"/>
  <c r="J200" i="7" s="1"/>
  <c r="I177" i="7"/>
  <c r="I181" i="7" s="1"/>
  <c r="I184" i="7" s="1"/>
  <c r="I203" i="7" s="1"/>
  <c r="R150" i="7"/>
  <c r="N159" i="7"/>
  <c r="T156" i="7"/>
  <c r="R153" i="7"/>
  <c r="J177" i="3"/>
  <c r="J181" i="3" s="1"/>
  <c r="J184" i="3" s="1"/>
  <c r="J200" i="3" s="1"/>
  <c r="F188" i="3"/>
  <c r="F191" i="3"/>
  <c r="F194" i="3"/>
  <c r="E5" i="4" a="1"/>
  <c r="M177" i="3"/>
  <c r="M181" i="3" s="1"/>
  <c r="M184" i="3" s="1"/>
  <c r="M201" i="3" s="1"/>
  <c r="L177" i="3"/>
  <c r="L181" i="3" s="1"/>
  <c r="L184" i="3" s="1"/>
  <c r="L201" i="3" s="1"/>
  <c r="G177" i="3"/>
  <c r="G181" i="3" s="1"/>
  <c r="G184" i="3" s="1"/>
  <c r="G207" i="3" s="1"/>
  <c r="E177" i="3"/>
  <c r="E181" i="3" s="1"/>
  <c r="E184" i="3" s="1"/>
  <c r="I177" i="3"/>
  <c r="I181" i="3" s="1"/>
  <c r="I184" i="3" s="1"/>
  <c r="I200" i="3" s="1"/>
  <c r="N159" i="3"/>
  <c r="H177" i="3"/>
  <c r="H181" i="3" s="1"/>
  <c r="H184" i="3" s="1"/>
  <c r="H200" i="3" s="1"/>
  <c r="K177" i="3"/>
  <c r="K181" i="3" s="1"/>
  <c r="K184" i="3" s="1"/>
  <c r="F177" i="3"/>
  <c r="F181" i="3" s="1"/>
  <c r="F184" i="3" s="1"/>
  <c r="F204" i="3" s="1"/>
  <c r="I200" i="7" l="1"/>
  <c r="M201" i="7"/>
  <c r="H207" i="7"/>
  <c r="H202" i="7"/>
  <c r="H201" i="7"/>
  <c r="H208" i="7"/>
  <c r="H203" i="7"/>
  <c r="M208" i="7"/>
  <c r="M205" i="7"/>
  <c r="F203" i="7"/>
  <c r="J206" i="7"/>
  <c r="M202" i="7"/>
  <c r="H206" i="7"/>
  <c r="M207" i="7"/>
  <c r="M200" i="7"/>
  <c r="M206" i="7"/>
  <c r="F205" i="7"/>
  <c r="F206" i="7"/>
  <c r="H205" i="7"/>
  <c r="H200" i="7"/>
  <c r="M203" i="7"/>
  <c r="F200" i="7"/>
  <c r="F202" i="7"/>
  <c r="F201" i="7"/>
  <c r="F208" i="7"/>
  <c r="F207" i="7"/>
  <c r="K206" i="7"/>
  <c r="W150" i="7"/>
  <c r="L203" i="7"/>
  <c r="L202" i="7"/>
  <c r="L208" i="7"/>
  <c r="L201" i="7"/>
  <c r="L207" i="7"/>
  <c r="L204" i="7"/>
  <c r="L205" i="7"/>
  <c r="W153" i="7"/>
  <c r="L206" i="7"/>
  <c r="K203" i="7"/>
  <c r="G188" i="7" a="1"/>
  <c r="N184" i="7"/>
  <c r="N185" i="7" s="1"/>
  <c r="N186" i="7" s="1"/>
  <c r="E201" i="7"/>
  <c r="E207" i="7"/>
  <c r="E202" i="7"/>
  <c r="E208" i="7"/>
  <c r="E205" i="7"/>
  <c r="E204" i="7"/>
  <c r="E200" i="7"/>
  <c r="G202" i="7"/>
  <c r="G201" i="7"/>
  <c r="G208" i="7"/>
  <c r="G205" i="7"/>
  <c r="G204" i="7"/>
  <c r="G207" i="7"/>
  <c r="I206" i="7"/>
  <c r="I207" i="7"/>
  <c r="I201" i="7"/>
  <c r="I208" i="7"/>
  <c r="I202" i="7"/>
  <c r="I205" i="7"/>
  <c r="I204" i="7"/>
  <c r="J203" i="7"/>
  <c r="J208" i="7"/>
  <c r="J201" i="7"/>
  <c r="J202" i="7"/>
  <c r="J205" i="7"/>
  <c r="J207" i="7"/>
  <c r="J204" i="7"/>
  <c r="E206" i="7"/>
  <c r="G203" i="7"/>
  <c r="N181" i="7"/>
  <c r="G206" i="7"/>
  <c r="W156" i="7"/>
  <c r="K202" i="7"/>
  <c r="K201" i="7"/>
  <c r="K207" i="7"/>
  <c r="K208" i="7"/>
  <c r="K204" i="7"/>
  <c r="K205" i="7"/>
  <c r="G188" i="3" a="1"/>
  <c r="H190" i="3" s="1"/>
  <c r="I190" i="3" s="1"/>
  <c r="N184" i="3"/>
  <c r="E60" i="4" a="1"/>
  <c r="E60" i="4" s="1"/>
  <c r="E5" i="4"/>
  <c r="E15" i="4" a="1"/>
  <c r="J203" i="3"/>
  <c r="J201" i="3"/>
  <c r="L203" i="3"/>
  <c r="L207" i="3"/>
  <c r="L208" i="3"/>
  <c r="L204" i="3"/>
  <c r="L205" i="3"/>
  <c r="L202" i="3"/>
  <c r="L200" i="3"/>
  <c r="J202" i="3"/>
  <c r="M208" i="3"/>
  <c r="M205" i="3"/>
  <c r="M206" i="3"/>
  <c r="M207" i="3"/>
  <c r="M202" i="3"/>
  <c r="M203" i="3"/>
  <c r="E203" i="3"/>
  <c r="E205" i="3"/>
  <c r="E206" i="3"/>
  <c r="E208" i="3"/>
  <c r="E200" i="3"/>
  <c r="E207" i="3"/>
  <c r="L206" i="3"/>
  <c r="G203" i="3"/>
  <c r="G200" i="3"/>
  <c r="G206" i="3"/>
  <c r="M204" i="3"/>
  <c r="G202" i="3"/>
  <c r="M200" i="3"/>
  <c r="G204" i="3"/>
  <c r="G201" i="3"/>
  <c r="G208" i="3"/>
  <c r="E202" i="3"/>
  <c r="J205" i="3"/>
  <c r="G205" i="3"/>
  <c r="E201" i="3"/>
  <c r="I201" i="3"/>
  <c r="E204" i="3"/>
  <c r="I206" i="3"/>
  <c r="J208" i="3"/>
  <c r="I202" i="3"/>
  <c r="J204" i="3"/>
  <c r="J207" i="3"/>
  <c r="F206" i="3"/>
  <c r="F201" i="3"/>
  <c r="F205" i="3"/>
  <c r="F202" i="3"/>
  <c r="I203" i="3"/>
  <c r="F207" i="3"/>
  <c r="I208" i="3"/>
  <c r="F203" i="3"/>
  <c r="F200" i="3"/>
  <c r="I204" i="3"/>
  <c r="I205" i="3"/>
  <c r="K203" i="3"/>
  <c r="K204" i="3"/>
  <c r="I207" i="3"/>
  <c r="J206" i="3"/>
  <c r="H204" i="3"/>
  <c r="H207" i="3"/>
  <c r="H208" i="3"/>
  <c r="H202" i="3"/>
  <c r="H203" i="3"/>
  <c r="H201" i="3"/>
  <c r="H205" i="3"/>
  <c r="H206" i="3"/>
  <c r="K206" i="3"/>
  <c r="F208" i="3"/>
  <c r="K205" i="3"/>
  <c r="K208" i="3"/>
  <c r="K202" i="3"/>
  <c r="K207" i="3"/>
  <c r="K200" i="3"/>
  <c r="K201" i="3"/>
  <c r="D194" i="7" l="1"/>
  <c r="E194" i="7" s="1"/>
  <c r="B194" i="7" s="1"/>
  <c r="D189" i="7"/>
  <c r="E189" i="7" s="1"/>
  <c r="B189" i="7" s="1"/>
  <c r="G188" i="7"/>
  <c r="D190" i="7"/>
  <c r="E190" i="7" s="1"/>
  <c r="B190" i="7" s="1"/>
  <c r="D191" i="7"/>
  <c r="E191" i="7" s="1"/>
  <c r="B191" i="7" s="1"/>
  <c r="D193" i="7"/>
  <c r="E193" i="7" s="1"/>
  <c r="B193" i="7" s="1"/>
  <c r="D196" i="7"/>
  <c r="E196" i="7" s="1"/>
  <c r="B196" i="7" s="1"/>
  <c r="D195" i="7"/>
  <c r="E195" i="7" s="1"/>
  <c r="B195" i="7" s="1"/>
  <c r="D192" i="7"/>
  <c r="E192" i="7" s="1"/>
  <c r="B192" i="7" s="1"/>
  <c r="H196" i="7"/>
  <c r="I196" i="7" s="1"/>
  <c r="H189" i="7"/>
  <c r="I189" i="7" s="1"/>
  <c r="H190" i="7"/>
  <c r="I190" i="7" s="1"/>
  <c r="H192" i="7"/>
  <c r="I192" i="7" s="1"/>
  <c r="H195" i="7"/>
  <c r="I195" i="7" s="1"/>
  <c r="H193" i="7"/>
  <c r="I193" i="7" s="1"/>
  <c r="E213" i="7" a="1"/>
  <c r="E213" i="7" s="1"/>
  <c r="H194" i="7"/>
  <c r="I194" i="7" s="1"/>
  <c r="H191" i="7"/>
  <c r="I191" i="7" s="1"/>
  <c r="D193" i="3"/>
  <c r="E193" i="3" s="1"/>
  <c r="D196" i="3"/>
  <c r="E196" i="3" s="1"/>
  <c r="H189" i="3"/>
  <c r="I189" i="3" s="1"/>
  <c r="D189" i="3"/>
  <c r="E189" i="3" s="1"/>
  <c r="D195" i="3"/>
  <c r="E195" i="3" s="1"/>
  <c r="D191" i="3"/>
  <c r="E191" i="3" s="1"/>
  <c r="H195" i="3"/>
  <c r="I195" i="3" s="1"/>
  <c r="D190" i="3"/>
  <c r="E190" i="3" s="1"/>
  <c r="H193" i="3"/>
  <c r="I193" i="3" s="1"/>
  <c r="G188" i="3"/>
  <c r="D188" i="3" s="1"/>
  <c r="E188" i="3" s="1"/>
  <c r="H196" i="3"/>
  <c r="I196" i="3" s="1"/>
  <c r="D192" i="3"/>
  <c r="E192" i="3" s="1"/>
  <c r="H194" i="3"/>
  <c r="I194" i="3" s="1"/>
  <c r="D194" i="3"/>
  <c r="E194" i="3" s="1"/>
  <c r="H192" i="3"/>
  <c r="I192" i="3" s="1"/>
  <c r="H191" i="3"/>
  <c r="I191" i="3" s="1"/>
  <c r="E21" i="4" a="1"/>
  <c r="E15" i="4"/>
  <c r="E14" i="4" s="1"/>
  <c r="E30" i="4" s="1"/>
  <c r="J14" i="4"/>
  <c r="J30" i="4" s="1"/>
  <c r="I14" i="4"/>
  <c r="I30" i="4" s="1"/>
  <c r="H14" i="4"/>
  <c r="H30" i="4" s="1"/>
  <c r="G14" i="4"/>
  <c r="G30" i="4" s="1"/>
  <c r="K14" i="4"/>
  <c r="K30" i="4" s="1"/>
  <c r="F14" i="4"/>
  <c r="F30" i="4" s="1"/>
  <c r="M14" i="4"/>
  <c r="M30" i="4" s="1"/>
  <c r="L14" i="4"/>
  <c r="L30" i="4" s="1"/>
  <c r="N14" i="4"/>
  <c r="E213" i="3" a="1"/>
  <c r="E52" i="8" l="1"/>
  <c r="F52" i="8" s="1"/>
  <c r="H52" i="8" s="1"/>
  <c r="E51" i="8"/>
  <c r="F51" i="8" s="1"/>
  <c r="H51" i="8" s="1"/>
  <c r="E54" i="8"/>
  <c r="F54" i="8" s="1"/>
  <c r="H54" i="8" s="1"/>
  <c r="E55" i="8"/>
  <c r="F55" i="8" s="1"/>
  <c r="H55" i="8" s="1"/>
  <c r="E50" i="8"/>
  <c r="F50" i="8" s="1"/>
  <c r="H50" i="8" s="1"/>
  <c r="E49" i="8"/>
  <c r="F49" i="8" s="1"/>
  <c r="H49" i="8" s="1"/>
  <c r="E48" i="8"/>
  <c r="F48" i="8" s="1"/>
  <c r="H48" i="8" s="1"/>
  <c r="E53" i="8"/>
  <c r="F53" i="8" s="1"/>
  <c r="H53" i="8" s="1"/>
  <c r="D188" i="7"/>
  <c r="E188" i="7" s="1"/>
  <c r="B188" i="7" s="1"/>
  <c r="H188" i="7"/>
  <c r="I188" i="7" s="1"/>
  <c r="H188" i="3"/>
  <c r="I188" i="3" s="1"/>
  <c r="O5" i="4" a="1"/>
  <c r="N7" i="4" s="1"/>
  <c r="F31" i="4"/>
  <c r="G31" i="4"/>
  <c r="E21" i="4"/>
  <c r="E31" i="4" s="1"/>
  <c r="H31" i="4"/>
  <c r="J31" i="4"/>
  <c r="K31" i="4"/>
  <c r="I31" i="4"/>
  <c r="L31" i="4"/>
  <c r="M31" i="4"/>
  <c r="E213" i="3"/>
  <c r="E47" i="8" l="1"/>
  <c r="F47" i="8" s="1"/>
  <c r="H47" i="8" s="1"/>
  <c r="N10" i="4"/>
  <c r="N6" i="4"/>
  <c r="N11" i="4"/>
  <c r="O5" i="4"/>
  <c r="O47" i="4" s="1" a="1"/>
  <c r="O47" i="4" s="1"/>
  <c r="O56" i="4" s="1"/>
  <c r="N13" i="4"/>
  <c r="N9" i="4"/>
  <c r="N8" i="4"/>
  <c r="N12" i="4"/>
  <c r="E36" i="4" a="1"/>
  <c r="E36" i="4" s="1"/>
  <c r="C188" i="8" l="1" a="1"/>
  <c r="H56" i="8"/>
  <c r="H57" i="8" s="1"/>
  <c r="E60" i="8" a="1"/>
  <c r="N47" i="4" a="1"/>
  <c r="N47" i="4" s="1"/>
  <c r="N56" i="4" s="1"/>
  <c r="P5" i="4" a="1"/>
  <c r="Q12" i="4" s="1"/>
  <c r="R12" i="4" s="1"/>
  <c r="F60" i="4" a="1"/>
  <c r="F60" i="4" s="1"/>
  <c r="E16" i="4" a="1"/>
  <c r="E16" i="4" s="1"/>
  <c r="E17" i="4" s="1"/>
  <c r="N5" i="4"/>
  <c r="H47" i="4" s="1" a="1"/>
  <c r="H47" i="4" s="1"/>
  <c r="E60" i="8" l="1"/>
  <c r="G67" i="8"/>
  <c r="G64" i="8"/>
  <c r="G68" i="8"/>
  <c r="G62" i="8"/>
  <c r="G63" i="8"/>
  <c r="G65" i="8"/>
  <c r="G61" i="8"/>
  <c r="I72" i="8" s="1" a="1"/>
  <c r="I72" i="8" s="1"/>
  <c r="I74" i="8" s="1"/>
  <c r="G66" i="8"/>
  <c r="C188" i="8"/>
  <c r="G17" i="4"/>
  <c r="L17" i="4"/>
  <c r="Q13" i="4"/>
  <c r="R13" i="4" s="1"/>
  <c r="Q11" i="4"/>
  <c r="R11" i="4" s="1"/>
  <c r="P5" i="4"/>
  <c r="Q5" i="4" s="1"/>
  <c r="R5" i="4" s="1"/>
  <c r="Q7" i="4"/>
  <c r="R7" i="4" s="1"/>
  <c r="Q6" i="4"/>
  <c r="R6" i="4" s="1"/>
  <c r="Q8" i="4"/>
  <c r="R8" i="4" s="1"/>
  <c r="Q10" i="4"/>
  <c r="R10" i="4" s="1"/>
  <c r="H17" i="4"/>
  <c r="K17" i="4"/>
  <c r="J17" i="4"/>
  <c r="I17" i="4"/>
  <c r="F17" i="4"/>
  <c r="M17" i="4"/>
  <c r="Q9" i="4"/>
  <c r="R9" i="4" s="1"/>
  <c r="H56" i="4"/>
  <c r="C188" i="4" a="1"/>
  <c r="G66" i="4"/>
  <c r="G62" i="4"/>
  <c r="G67" i="4"/>
  <c r="G65" i="4"/>
  <c r="G68" i="4"/>
  <c r="G63" i="4"/>
  <c r="G61" i="4"/>
  <c r="G64" i="4"/>
  <c r="G60" i="8" l="1"/>
  <c r="D88" i="8" a="1"/>
  <c r="C188" i="4"/>
  <c r="G60" i="4"/>
  <c r="D88" i="4" a="1"/>
  <c r="G72" i="8" l="1" a="1"/>
  <c r="G72" i="8" s="1"/>
  <c r="G74" i="8" s="1"/>
  <c r="L72" i="8" a="1"/>
  <c r="L72" i="8" s="1"/>
  <c r="L74" i="8" s="1"/>
  <c r="J72" i="8" a="1"/>
  <c r="J72" i="8" s="1"/>
  <c r="J74" i="8" s="1"/>
  <c r="F72" i="8" a="1"/>
  <c r="F72" i="8" s="1"/>
  <c r="F74" i="8" s="1"/>
  <c r="H72" i="8" a="1"/>
  <c r="H72" i="8" s="1"/>
  <c r="H74" i="8" s="1"/>
  <c r="E72" i="8" a="1"/>
  <c r="E72" i="8" s="1"/>
  <c r="E74" i="8" s="1"/>
  <c r="K72" i="8" a="1"/>
  <c r="K72" i="8" s="1"/>
  <c r="K74" i="8" s="1"/>
  <c r="M72" i="8" a="1"/>
  <c r="M72" i="8" s="1"/>
  <c r="M74" i="8" s="1"/>
  <c r="H90" i="8"/>
  <c r="E96" i="8"/>
  <c r="F96" i="8"/>
  <c r="F97" i="8"/>
  <c r="M101" i="8"/>
  <c r="I98" i="8"/>
  <c r="E97" i="8"/>
  <c r="I97" i="8"/>
  <c r="D88" i="8"/>
  <c r="K97" i="8"/>
  <c r="M94" i="8"/>
  <c r="F98" i="8"/>
  <c r="J94" i="8"/>
  <c r="J100" i="8"/>
  <c r="G99" i="8"/>
  <c r="L94" i="8"/>
  <c r="E95" i="8"/>
  <c r="M97" i="8"/>
  <c r="E100" i="8"/>
  <c r="J96" i="8"/>
  <c r="J102" i="8"/>
  <c r="M96" i="8"/>
  <c r="I94" i="8"/>
  <c r="G94" i="8"/>
  <c r="F101" i="8"/>
  <c r="H98" i="8"/>
  <c r="E98" i="8"/>
  <c r="J99" i="8"/>
  <c r="G97" i="8"/>
  <c r="H101" i="8"/>
  <c r="G95" i="8"/>
  <c r="H97" i="8"/>
  <c r="G100" i="8"/>
  <c r="I95" i="8"/>
  <c r="K95" i="8"/>
  <c r="L96" i="8"/>
  <c r="I101" i="8"/>
  <c r="H100" i="8"/>
  <c r="M99" i="8"/>
  <c r="K90" i="8"/>
  <c r="J90" i="8"/>
  <c r="M100" i="8"/>
  <c r="H94" i="8"/>
  <c r="M95" i="8"/>
  <c r="K101" i="8"/>
  <c r="L95" i="8"/>
  <c r="L90" i="8"/>
  <c r="L99" i="8"/>
  <c r="F94" i="8"/>
  <c r="E99" i="8"/>
  <c r="G102" i="8"/>
  <c r="L102" i="8"/>
  <c r="K102" i="8"/>
  <c r="M90" i="8"/>
  <c r="E94" i="8"/>
  <c r="K96" i="8"/>
  <c r="I96" i="8"/>
  <c r="M102" i="8"/>
  <c r="K98" i="8"/>
  <c r="J98" i="8"/>
  <c r="L101" i="8"/>
  <c r="G90" i="8"/>
  <c r="F102" i="8"/>
  <c r="H99" i="8"/>
  <c r="G101" i="8"/>
  <c r="K99" i="8"/>
  <c r="M98" i="8"/>
  <c r="J101" i="8"/>
  <c r="E90" i="8"/>
  <c r="E101" i="8"/>
  <c r="G98" i="8"/>
  <c r="I102" i="8"/>
  <c r="L100" i="8"/>
  <c r="E102" i="8"/>
  <c r="I99" i="8"/>
  <c r="I90" i="8"/>
  <c r="F99" i="8"/>
  <c r="H96" i="8"/>
  <c r="H95" i="8"/>
  <c r="H102" i="8"/>
  <c r="K100" i="8"/>
  <c r="J97" i="8"/>
  <c r="I100" i="8"/>
  <c r="F90" i="8"/>
  <c r="F95" i="8"/>
  <c r="J95" i="8"/>
  <c r="L97" i="8"/>
  <c r="K94" i="8"/>
  <c r="F100" i="8"/>
  <c r="L98" i="8"/>
  <c r="G96" i="8"/>
  <c r="E72" i="4" a="1"/>
  <c r="E72" i="4" s="1"/>
  <c r="E74" i="4" s="1"/>
  <c r="I72" i="4" a="1"/>
  <c r="I72" i="4" s="1"/>
  <c r="I74" i="4" s="1"/>
  <c r="H72" i="4" a="1"/>
  <c r="H72" i="4" s="1"/>
  <c r="H74" i="4" s="1"/>
  <c r="F72" i="4" a="1"/>
  <c r="F72" i="4" s="1"/>
  <c r="F74" i="4" s="1"/>
  <c r="J72" i="4" a="1"/>
  <c r="J72" i="4" s="1"/>
  <c r="J74" i="4" s="1"/>
  <c r="G72" i="4" a="1"/>
  <c r="G72" i="4" s="1"/>
  <c r="G74" i="4" s="1"/>
  <c r="M72" i="4" a="1"/>
  <c r="M72" i="4" s="1"/>
  <c r="M74" i="4" s="1"/>
  <c r="K72" i="4" a="1"/>
  <c r="K72" i="4" s="1"/>
  <c r="K74" i="4" s="1"/>
  <c r="L72" i="4" a="1"/>
  <c r="L72" i="4" s="1"/>
  <c r="L74" i="4" s="1"/>
  <c r="E94" i="4"/>
  <c r="F90" i="4"/>
  <c r="I94" i="4"/>
  <c r="J102" i="4"/>
  <c r="G102" i="4"/>
  <c r="G97" i="4"/>
  <c r="K102" i="4"/>
  <c r="L95" i="4"/>
  <c r="H97" i="4"/>
  <c r="K96" i="4"/>
  <c r="L101" i="4"/>
  <c r="G101" i="4"/>
  <c r="F97" i="4"/>
  <c r="M90" i="4"/>
  <c r="H102" i="4"/>
  <c r="I97" i="4"/>
  <c r="F96" i="4"/>
  <c r="E97" i="4"/>
  <c r="J95" i="4"/>
  <c r="J97" i="4"/>
  <c r="F100" i="4"/>
  <c r="K98" i="4"/>
  <c r="F99" i="4"/>
  <c r="G99" i="4"/>
  <c r="E101" i="4"/>
  <c r="M98" i="4"/>
  <c r="L102" i="4"/>
  <c r="J94" i="4"/>
  <c r="G98" i="4"/>
  <c r="G94" i="4"/>
  <c r="L94" i="4"/>
  <c r="G96" i="4"/>
  <c r="J98" i="4"/>
  <c r="I102" i="4"/>
  <c r="L90" i="4"/>
  <c r="E100" i="4"/>
  <c r="L96" i="4"/>
  <c r="M94" i="4"/>
  <c r="J101" i="4"/>
  <c r="H98" i="4"/>
  <c r="K101" i="4"/>
  <c r="K97" i="4"/>
  <c r="H99" i="4"/>
  <c r="M97" i="4"/>
  <c r="H95" i="4"/>
  <c r="G95" i="4"/>
  <c r="F98" i="4"/>
  <c r="I100" i="4"/>
  <c r="M99" i="4"/>
  <c r="K100" i="4"/>
  <c r="L97" i="4"/>
  <c r="F95" i="4"/>
  <c r="K90" i="4"/>
  <c r="I99" i="4"/>
  <c r="H96" i="4"/>
  <c r="I98" i="4"/>
  <c r="E95" i="4"/>
  <c r="L98" i="4"/>
  <c r="I96" i="4"/>
  <c r="J100" i="4"/>
  <c r="E90" i="4"/>
  <c r="G100" i="4"/>
  <c r="M102" i="4"/>
  <c r="E96" i="4"/>
  <c r="H94" i="4"/>
  <c r="M101" i="4"/>
  <c r="H101" i="4"/>
  <c r="E98" i="4"/>
  <c r="D88" i="4"/>
  <c r="I95" i="4"/>
  <c r="J99" i="4"/>
  <c r="F102" i="4"/>
  <c r="F94" i="4"/>
  <c r="E99" i="4"/>
  <c r="K94" i="4"/>
  <c r="M96" i="4"/>
  <c r="I101" i="4"/>
  <c r="J90" i="4"/>
  <c r="E102" i="4"/>
  <c r="M95" i="4"/>
  <c r="J96" i="4"/>
  <c r="I90" i="4"/>
  <c r="F101" i="4"/>
  <c r="H100" i="4"/>
  <c r="K99" i="4"/>
  <c r="H90" i="4"/>
  <c r="L100" i="4"/>
  <c r="G90" i="4"/>
  <c r="M100" i="4"/>
  <c r="L99" i="4"/>
  <c r="K95" i="4"/>
  <c r="N90" i="8" l="1"/>
  <c r="B78" i="8" a="1"/>
  <c r="N103" i="8"/>
  <c r="N103" i="4"/>
  <c r="B78" i="4" a="1"/>
  <c r="H82" i="8" l="1"/>
  <c r="H110" i="8" s="1"/>
  <c r="M86" i="8"/>
  <c r="M114" i="8" s="1"/>
  <c r="F83" i="8"/>
  <c r="F111" i="8" s="1"/>
  <c r="G79" i="8"/>
  <c r="G107" i="8" s="1"/>
  <c r="H84" i="8"/>
  <c r="H112" i="8" s="1"/>
  <c r="J80" i="8"/>
  <c r="J108" i="8" s="1"/>
  <c r="L79" i="8"/>
  <c r="L107" i="8" s="1"/>
  <c r="L132" i="8" s="1"/>
  <c r="I83" i="8"/>
  <c r="I111" i="8" s="1"/>
  <c r="G80" i="8"/>
  <c r="G108" i="8" s="1"/>
  <c r="H81" i="8"/>
  <c r="H109" i="8" s="1"/>
  <c r="G81" i="8"/>
  <c r="G109" i="8" s="1"/>
  <c r="J85" i="8"/>
  <c r="J113" i="8" s="1"/>
  <c r="G82" i="8"/>
  <c r="G110" i="8" s="1"/>
  <c r="J79" i="8"/>
  <c r="J107" i="8" s="1"/>
  <c r="J132" i="8" s="1"/>
  <c r="M79" i="8"/>
  <c r="M107" i="8" s="1"/>
  <c r="M132" i="8" s="1"/>
  <c r="J84" i="8"/>
  <c r="J112" i="8" s="1"/>
  <c r="H85" i="8"/>
  <c r="H113" i="8" s="1"/>
  <c r="M80" i="8"/>
  <c r="M108" i="8" s="1"/>
  <c r="H83" i="8"/>
  <c r="H111" i="8" s="1"/>
  <c r="I82" i="8"/>
  <c r="I110" i="8" s="1"/>
  <c r="G86" i="8"/>
  <c r="G114" i="8" s="1"/>
  <c r="I84" i="8"/>
  <c r="I112" i="8" s="1"/>
  <c r="M85" i="8"/>
  <c r="M113" i="8" s="1"/>
  <c r="F85" i="8"/>
  <c r="F113" i="8" s="1"/>
  <c r="E81" i="8"/>
  <c r="G85" i="8"/>
  <c r="G113" i="8" s="1"/>
  <c r="K81" i="8"/>
  <c r="K109" i="8" s="1"/>
  <c r="H86" i="8"/>
  <c r="H114" i="8" s="1"/>
  <c r="G84" i="8"/>
  <c r="G112" i="8" s="1"/>
  <c r="K85" i="8"/>
  <c r="K113" i="8" s="1"/>
  <c r="L83" i="8"/>
  <c r="L111" i="8" s="1"/>
  <c r="F84" i="8"/>
  <c r="F112" i="8" s="1"/>
  <c r="K84" i="8"/>
  <c r="K112" i="8" s="1"/>
  <c r="E86" i="8"/>
  <c r="G83" i="8"/>
  <c r="G111" i="8" s="1"/>
  <c r="F86" i="8"/>
  <c r="F114" i="8" s="1"/>
  <c r="L81" i="8"/>
  <c r="L109" i="8" s="1"/>
  <c r="K86" i="8"/>
  <c r="K114" i="8" s="1"/>
  <c r="F79" i="8"/>
  <c r="F107" i="8" s="1"/>
  <c r="F132" i="8" s="1"/>
  <c r="B78" i="8"/>
  <c r="L82" i="8"/>
  <c r="L110" i="8" s="1"/>
  <c r="E85" i="8"/>
  <c r="F81" i="8"/>
  <c r="F109" i="8" s="1"/>
  <c r="E83" i="8"/>
  <c r="I80" i="8"/>
  <c r="I108" i="8" s="1"/>
  <c r="L85" i="8"/>
  <c r="L113" i="8" s="1"/>
  <c r="K79" i="8"/>
  <c r="K107" i="8" s="1"/>
  <c r="K132" i="8" s="1"/>
  <c r="I81" i="8"/>
  <c r="I109" i="8" s="1"/>
  <c r="E84" i="8"/>
  <c r="I79" i="8"/>
  <c r="I107" i="8" s="1"/>
  <c r="I132" i="8" s="1"/>
  <c r="M84" i="8"/>
  <c r="M112" i="8" s="1"/>
  <c r="H80" i="8"/>
  <c r="H108" i="8" s="1"/>
  <c r="H133" i="8" s="1"/>
  <c r="I85" i="8"/>
  <c r="I113" i="8" s="1"/>
  <c r="K82" i="8"/>
  <c r="K110" i="8" s="1"/>
  <c r="J83" i="8"/>
  <c r="J111" i="8" s="1"/>
  <c r="J81" i="8"/>
  <c r="J109" i="8" s="1"/>
  <c r="J82" i="8"/>
  <c r="J110" i="8" s="1"/>
  <c r="M83" i="8"/>
  <c r="M111" i="8" s="1"/>
  <c r="J86" i="8"/>
  <c r="J114" i="8" s="1"/>
  <c r="L84" i="8"/>
  <c r="L112" i="8" s="1"/>
  <c r="H79" i="8"/>
  <c r="H107" i="8" s="1"/>
  <c r="H132" i="8" s="1"/>
  <c r="F82" i="8"/>
  <c r="F110" i="8" s="1"/>
  <c r="E80" i="8"/>
  <c r="I86" i="8"/>
  <c r="I114" i="8" s="1"/>
  <c r="E79" i="8"/>
  <c r="K80" i="8"/>
  <c r="K108" i="8" s="1"/>
  <c r="L86" i="8"/>
  <c r="L114" i="8" s="1"/>
  <c r="E82" i="8"/>
  <c r="F80" i="8"/>
  <c r="F108" i="8" s="1"/>
  <c r="L80" i="8"/>
  <c r="L108" i="8" s="1"/>
  <c r="L133" i="8" s="1"/>
  <c r="K83" i="8"/>
  <c r="K111" i="8" s="1"/>
  <c r="M81" i="8"/>
  <c r="M109" i="8" s="1"/>
  <c r="M82" i="8"/>
  <c r="M110" i="8" s="1"/>
  <c r="J80" i="4"/>
  <c r="J108" i="4" s="1"/>
  <c r="M83" i="4"/>
  <c r="M111" i="4" s="1"/>
  <c r="K83" i="4"/>
  <c r="K111" i="4" s="1"/>
  <c r="F85" i="4"/>
  <c r="F113" i="4" s="1"/>
  <c r="K82" i="4"/>
  <c r="K110" i="4" s="1"/>
  <c r="I79" i="4"/>
  <c r="I107" i="4" s="1"/>
  <c r="L81" i="4"/>
  <c r="L109" i="4" s="1"/>
  <c r="H85" i="4"/>
  <c r="H113" i="4" s="1"/>
  <c r="E82" i="4"/>
  <c r="J83" i="4"/>
  <c r="J111" i="4" s="1"/>
  <c r="M81" i="4"/>
  <c r="M109" i="4" s="1"/>
  <c r="H83" i="4"/>
  <c r="H111" i="4" s="1"/>
  <c r="E86" i="4"/>
  <c r="E83" i="4"/>
  <c r="E80" i="4"/>
  <c r="M82" i="4"/>
  <c r="M110" i="4" s="1"/>
  <c r="E85" i="4"/>
  <c r="G81" i="4"/>
  <c r="G109" i="4" s="1"/>
  <c r="G84" i="4"/>
  <c r="G112" i="4" s="1"/>
  <c r="L83" i="4"/>
  <c r="L111" i="4" s="1"/>
  <c r="G86" i="4"/>
  <c r="G114" i="4" s="1"/>
  <c r="E81" i="4"/>
  <c r="F84" i="4"/>
  <c r="F112" i="4" s="1"/>
  <c r="I81" i="4"/>
  <c r="I109" i="4" s="1"/>
  <c r="J81" i="4"/>
  <c r="J109" i="4" s="1"/>
  <c r="I86" i="4"/>
  <c r="I114" i="4" s="1"/>
  <c r="H86" i="4"/>
  <c r="H114" i="4" s="1"/>
  <c r="F82" i="4"/>
  <c r="F110" i="4" s="1"/>
  <c r="J82" i="4"/>
  <c r="J110" i="4" s="1"/>
  <c r="L85" i="4"/>
  <c r="L113" i="4" s="1"/>
  <c r="G85" i="4"/>
  <c r="G113" i="4" s="1"/>
  <c r="F86" i="4"/>
  <c r="F114" i="4" s="1"/>
  <c r="M79" i="4"/>
  <c r="M107" i="4" s="1"/>
  <c r="H80" i="4"/>
  <c r="H108" i="4" s="1"/>
  <c r="F79" i="4"/>
  <c r="F107" i="4" s="1"/>
  <c r="F132" i="4" s="1"/>
  <c r="G79" i="4"/>
  <c r="G107" i="4" s="1"/>
  <c r="G132" i="4" s="1"/>
  <c r="G80" i="4"/>
  <c r="G108" i="4" s="1"/>
  <c r="J84" i="4"/>
  <c r="J112" i="4" s="1"/>
  <c r="H81" i="4"/>
  <c r="H109" i="4" s="1"/>
  <c r="I82" i="4"/>
  <c r="I110" i="4" s="1"/>
  <c r="F81" i="4"/>
  <c r="F109" i="4" s="1"/>
  <c r="J79" i="4"/>
  <c r="J107" i="4" s="1"/>
  <c r="J132" i="4" s="1"/>
  <c r="H84" i="4"/>
  <c r="H112" i="4" s="1"/>
  <c r="L79" i="4"/>
  <c r="L107" i="4" s="1"/>
  <c r="M86" i="4"/>
  <c r="M114" i="4" s="1"/>
  <c r="L82" i="4"/>
  <c r="L110" i="4" s="1"/>
  <c r="K84" i="4"/>
  <c r="K112" i="4" s="1"/>
  <c r="L84" i="4"/>
  <c r="L112" i="4" s="1"/>
  <c r="H82" i="4"/>
  <c r="H110" i="4" s="1"/>
  <c r="H79" i="4"/>
  <c r="H107" i="4" s="1"/>
  <c r="K86" i="4"/>
  <c r="K114" i="4" s="1"/>
  <c r="J86" i="4"/>
  <c r="J114" i="4" s="1"/>
  <c r="E84" i="4"/>
  <c r="L86" i="4"/>
  <c r="L114" i="4" s="1"/>
  <c r="I80" i="4"/>
  <c r="I108" i="4" s="1"/>
  <c r="I84" i="4"/>
  <c r="I112" i="4" s="1"/>
  <c r="F83" i="4"/>
  <c r="F111" i="4" s="1"/>
  <c r="F80" i="4"/>
  <c r="F108" i="4" s="1"/>
  <c r="F133" i="4" s="1"/>
  <c r="E79" i="4"/>
  <c r="M85" i="4"/>
  <c r="M113" i="4" s="1"/>
  <c r="G83" i="4"/>
  <c r="G111" i="4" s="1"/>
  <c r="M84" i="4"/>
  <c r="M112" i="4" s="1"/>
  <c r="K79" i="4"/>
  <c r="K107" i="4" s="1"/>
  <c r="J85" i="4"/>
  <c r="J113" i="4" s="1"/>
  <c r="K80" i="4"/>
  <c r="K108" i="4" s="1"/>
  <c r="L80" i="4"/>
  <c r="L108" i="4" s="1"/>
  <c r="K85" i="4"/>
  <c r="K113" i="4" s="1"/>
  <c r="G82" i="4"/>
  <c r="G110" i="4" s="1"/>
  <c r="B78" i="4"/>
  <c r="I85" i="4"/>
  <c r="I113" i="4" s="1"/>
  <c r="M80" i="4"/>
  <c r="M108" i="4" s="1"/>
  <c r="K81" i="4"/>
  <c r="K109" i="4" s="1"/>
  <c r="I83" i="4"/>
  <c r="I111" i="4" s="1"/>
  <c r="F133" i="8" l="1"/>
  <c r="G133" i="8"/>
  <c r="I133" i="8"/>
  <c r="J133" i="8"/>
  <c r="K133" i="8"/>
  <c r="M133" i="8"/>
  <c r="G132" i="8"/>
  <c r="E126" i="8"/>
  <c r="E114" i="8"/>
  <c r="N114" i="8" s="1"/>
  <c r="E123" i="8"/>
  <c r="E111" i="8"/>
  <c r="N111" i="8" s="1"/>
  <c r="E119" i="8"/>
  <c r="E107" i="8"/>
  <c r="E122" i="8"/>
  <c r="E110" i="8"/>
  <c r="N110" i="8" s="1"/>
  <c r="E113" i="8"/>
  <c r="N113" i="8" s="1"/>
  <c r="E125" i="8"/>
  <c r="L78" i="8"/>
  <c r="L106" i="8" s="1"/>
  <c r="I78" i="8"/>
  <c r="I106" i="8" s="1"/>
  <c r="H78" i="8"/>
  <c r="H106" i="8" s="1"/>
  <c r="F78" i="8"/>
  <c r="F106" i="8" s="1"/>
  <c r="K78" i="8"/>
  <c r="K106" i="8" s="1"/>
  <c r="E78" i="8"/>
  <c r="J78" i="8"/>
  <c r="J106" i="8" s="1"/>
  <c r="G78" i="8"/>
  <c r="G106" i="8" s="1"/>
  <c r="M78" i="8"/>
  <c r="M106" i="8" s="1"/>
  <c r="E108" i="8"/>
  <c r="E120" i="8"/>
  <c r="E112" i="8"/>
  <c r="N112" i="8" s="1"/>
  <c r="E124" i="8"/>
  <c r="E121" i="8"/>
  <c r="E109" i="8"/>
  <c r="N109" i="8" s="1"/>
  <c r="M133" i="4"/>
  <c r="J133" i="4"/>
  <c r="I133" i="4"/>
  <c r="K133" i="4"/>
  <c r="G78" i="4"/>
  <c r="G106" i="4" s="1"/>
  <c r="G131" i="4" s="1"/>
  <c r="J78" i="4"/>
  <c r="J106" i="4" s="1"/>
  <c r="J131" i="4" s="1"/>
  <c r="I78" i="4"/>
  <c r="I106" i="4" s="1"/>
  <c r="I131" i="4" s="1"/>
  <c r="H78" i="4"/>
  <c r="H106" i="4" s="1"/>
  <c r="H131" i="4" s="1"/>
  <c r="M78" i="4"/>
  <c r="M106" i="4" s="1"/>
  <c r="M131" i="4" s="1"/>
  <c r="F78" i="4"/>
  <c r="F106" i="4" s="1"/>
  <c r="F131" i="4" s="1"/>
  <c r="K78" i="4"/>
  <c r="K106" i="4" s="1"/>
  <c r="K131" i="4" s="1"/>
  <c r="E78" i="4"/>
  <c r="L78" i="4"/>
  <c r="L106" i="4" s="1"/>
  <c r="L131" i="4" s="1"/>
  <c r="E124" i="4"/>
  <c r="E112" i="4"/>
  <c r="N112" i="4" s="1"/>
  <c r="E125" i="4"/>
  <c r="E113" i="4"/>
  <c r="N113" i="4" s="1"/>
  <c r="M132" i="4"/>
  <c r="K132" i="4"/>
  <c r="E120" i="4"/>
  <c r="E108" i="4"/>
  <c r="H133" i="4"/>
  <c r="E122" i="4"/>
  <c r="E110" i="4"/>
  <c r="N110" i="4" s="1"/>
  <c r="L133" i="4"/>
  <c r="H132" i="4"/>
  <c r="E123" i="4"/>
  <c r="E111" i="4"/>
  <c r="N111" i="4" s="1"/>
  <c r="E119" i="4"/>
  <c r="E107" i="4"/>
  <c r="E121" i="4"/>
  <c r="E109" i="4"/>
  <c r="N109" i="4" s="1"/>
  <c r="L132" i="4"/>
  <c r="I132" i="4"/>
  <c r="G133" i="4"/>
  <c r="E126" i="4"/>
  <c r="E114" i="4"/>
  <c r="N114" i="4" s="1"/>
  <c r="O119" i="8" l="1"/>
  <c r="I115" i="8"/>
  <c r="I131" i="8"/>
  <c r="P119" i="8"/>
  <c r="N107" i="8"/>
  <c r="K119" i="8" s="1"/>
  <c r="F125" i="8" s="1" a="1"/>
  <c r="F125" i="8" s="1"/>
  <c r="E132" i="8"/>
  <c r="L115" i="8"/>
  <c r="L131" i="8"/>
  <c r="M131" i="8"/>
  <c r="M115" i="8"/>
  <c r="N87" i="8"/>
  <c r="E118" i="8"/>
  <c r="E106" i="8"/>
  <c r="G115" i="8"/>
  <c r="G131" i="8"/>
  <c r="K131" i="8"/>
  <c r="K115" i="8"/>
  <c r="Q119" i="8"/>
  <c r="P120" i="8"/>
  <c r="E133" i="8"/>
  <c r="N108" i="8"/>
  <c r="K120" i="8" s="1"/>
  <c r="F126" i="8" s="1" a="1"/>
  <c r="F126" i="8" s="1"/>
  <c r="J119" i="8"/>
  <c r="G122" i="8" s="1" a="1"/>
  <c r="G122" i="8" s="1"/>
  <c r="P118" i="8"/>
  <c r="F115" i="8"/>
  <c r="F131" i="8"/>
  <c r="O120" i="8"/>
  <c r="Q118" i="8"/>
  <c r="Q121" i="8" s="1"/>
  <c r="J120" i="8"/>
  <c r="G120" i="8" a="1"/>
  <c r="G120" i="8" s="1"/>
  <c r="J115" i="8"/>
  <c r="J131" i="8"/>
  <c r="H115" i="8"/>
  <c r="H131" i="8"/>
  <c r="Q120" i="8"/>
  <c r="E106" i="4"/>
  <c r="N87" i="4"/>
  <c r="E118" i="4"/>
  <c r="N108" i="4"/>
  <c r="K120" i="4" s="1"/>
  <c r="F120" i="4" s="1" a="1"/>
  <c r="F120" i="4" s="1"/>
  <c r="E133" i="4"/>
  <c r="N107" i="4"/>
  <c r="K119" i="4" s="1"/>
  <c r="F122" i="4" s="1" a="1"/>
  <c r="F122" i="4" s="1"/>
  <c r="E132" i="4"/>
  <c r="J120" i="4"/>
  <c r="G126" i="4" s="1" a="1"/>
  <c r="G126" i="4" s="1"/>
  <c r="J119" i="4"/>
  <c r="G119" i="4" s="1" a="1"/>
  <c r="G119" i="4" s="1"/>
  <c r="L120" i="8" l="1"/>
  <c r="O139" i="8" s="1"/>
  <c r="G123" i="8" a="1"/>
  <c r="G123" i="8" s="1"/>
  <c r="G142" i="8" s="1" a="1"/>
  <c r="G142" i="8" s="1"/>
  <c r="G155" i="8" s="1"/>
  <c r="F120" i="8" a="1"/>
  <c r="F120" i="8" s="1"/>
  <c r="F123" i="8" a="1"/>
  <c r="F123" i="8" s="1"/>
  <c r="G126" i="8" a="1"/>
  <c r="G126" i="8" s="1"/>
  <c r="K145" i="8" s="1" a="1"/>
  <c r="K145" i="8" s="1"/>
  <c r="K158" i="8" s="1"/>
  <c r="G119" i="8" a="1"/>
  <c r="G119" i="8" s="1"/>
  <c r="J138" i="8" s="1" a="1"/>
  <c r="J138" i="8" s="1"/>
  <c r="J151" i="8" s="1"/>
  <c r="H142" i="8" a="1"/>
  <c r="H142" i="8" s="1"/>
  <c r="H155" i="8" s="1"/>
  <c r="I142" i="8" a="1"/>
  <c r="I142" i="8" s="1"/>
  <c r="I155" i="8" s="1"/>
  <c r="L142" i="8" a="1"/>
  <c r="L142" i="8" s="1"/>
  <c r="L155" i="8" s="1"/>
  <c r="K142" i="8" a="1"/>
  <c r="K142" i="8" s="1"/>
  <c r="K155" i="8" s="1"/>
  <c r="F122" i="8" a="1"/>
  <c r="F122" i="8" s="1"/>
  <c r="F119" i="8" a="1"/>
  <c r="F119" i="8" s="1"/>
  <c r="L119" i="8"/>
  <c r="O135" i="8" s="1"/>
  <c r="N106" i="8"/>
  <c r="K118" i="8" s="1"/>
  <c r="E115" i="8"/>
  <c r="E131" i="8"/>
  <c r="N115" i="8"/>
  <c r="M139" i="8" a="1"/>
  <c r="M139" i="8" s="1"/>
  <c r="M152" i="8" s="1"/>
  <c r="L139" i="8" a="1"/>
  <c r="L139" i="8" s="1"/>
  <c r="L152" i="8" s="1"/>
  <c r="F139" i="8" a="1"/>
  <c r="F139" i="8" s="1"/>
  <c r="F152" i="8" s="1"/>
  <c r="I139" i="8" a="1"/>
  <c r="I139" i="8" s="1"/>
  <c r="I152" i="8" s="1"/>
  <c r="H139" i="8" a="1"/>
  <c r="H139" i="8" s="1"/>
  <c r="H152" i="8" s="1"/>
  <c r="G139" i="8" a="1"/>
  <c r="G139" i="8" s="1"/>
  <c r="G152" i="8" s="1"/>
  <c r="J139" i="8" a="1"/>
  <c r="J139" i="8" s="1"/>
  <c r="J152" i="8" s="1"/>
  <c r="K139" i="8" a="1"/>
  <c r="K139" i="8" s="1"/>
  <c r="K152" i="8" s="1"/>
  <c r="E139" i="8" a="1"/>
  <c r="E139" i="8" s="1"/>
  <c r="E152" i="8" s="1"/>
  <c r="S139" i="8"/>
  <c r="Q139" i="8"/>
  <c r="P139" i="8"/>
  <c r="X139" i="8"/>
  <c r="R139" i="8"/>
  <c r="U139" i="8"/>
  <c r="W139" i="8"/>
  <c r="V139" i="8"/>
  <c r="T139" i="8"/>
  <c r="O118" i="8"/>
  <c r="O121" i="8" s="1"/>
  <c r="S118" i="8" s="1" a="1"/>
  <c r="S118" i="8" s="1"/>
  <c r="E127" i="8"/>
  <c r="J118" i="8"/>
  <c r="G118" i="8" s="1" a="1"/>
  <c r="G118" i="8" s="1"/>
  <c r="U118" i="8" a="1"/>
  <c r="G125" i="8" a="1"/>
  <c r="G125" i="8" s="1"/>
  <c r="I145" i="8" a="1"/>
  <c r="I145" i="8" s="1"/>
  <c r="I158" i="8" s="1"/>
  <c r="E145" i="8" a="1"/>
  <c r="E145" i="8" s="1"/>
  <c r="E158" i="8" s="1"/>
  <c r="F145" i="8" a="1"/>
  <c r="F145" i="8" s="1"/>
  <c r="F158" i="8" s="1"/>
  <c r="M145" i="8" a="1"/>
  <c r="M145" i="8" s="1"/>
  <c r="M158" i="8" s="1"/>
  <c r="L145" i="8" a="1"/>
  <c r="L145" i="8" s="1"/>
  <c r="L158" i="8" s="1"/>
  <c r="J145" i="8" a="1"/>
  <c r="J145" i="8" s="1"/>
  <c r="J158" i="8" s="1"/>
  <c r="H145" i="8" a="1"/>
  <c r="H145" i="8" s="1"/>
  <c r="H158" i="8" s="1"/>
  <c r="P121" i="8"/>
  <c r="T118" i="8" s="1" a="1"/>
  <c r="T118" i="8" s="1"/>
  <c r="G125" i="4" a="1"/>
  <c r="G125" i="4" s="1"/>
  <c r="N106" i="4"/>
  <c r="K118" i="4" s="1"/>
  <c r="F118" i="4" s="1" a="1"/>
  <c r="F118" i="4" s="1"/>
  <c r="E131" i="4"/>
  <c r="N115" i="4"/>
  <c r="G120" i="4" a="1"/>
  <c r="G120" i="4" s="1"/>
  <c r="F125" i="4" a="1"/>
  <c r="F125" i="4" s="1"/>
  <c r="G122" i="4" a="1"/>
  <c r="G122" i="4" s="1"/>
  <c r="L119" i="4"/>
  <c r="L120" i="4"/>
  <c r="E145" i="4" s="1" a="1"/>
  <c r="E145" i="4" s="1"/>
  <c r="E158" i="4" s="1"/>
  <c r="F126" i="4" a="1"/>
  <c r="F126" i="4" s="1"/>
  <c r="F123" i="4" a="1"/>
  <c r="F123" i="4" s="1"/>
  <c r="E127" i="4"/>
  <c r="J118" i="4"/>
  <c r="G118" i="4" s="1" a="1"/>
  <c r="G118" i="4" s="1"/>
  <c r="F119" i="4" a="1"/>
  <c r="F119" i="4" s="1"/>
  <c r="G123" i="4" a="1"/>
  <c r="G123" i="4" s="1"/>
  <c r="F138" i="8" l="1" a="1"/>
  <c r="F138" i="8" s="1"/>
  <c r="F151" i="8" s="1"/>
  <c r="O151" i="8" s="1"/>
  <c r="J142" i="8" a="1"/>
  <c r="J142" i="8" s="1"/>
  <c r="J155" i="8" s="1"/>
  <c r="M138" i="8" a="1"/>
  <c r="M138" i="8" s="1"/>
  <c r="M151" i="8" s="1"/>
  <c r="M142" i="8" a="1"/>
  <c r="M142" i="8" s="1"/>
  <c r="M155" i="8" s="1"/>
  <c r="F141" i="8" a="1"/>
  <c r="F141" i="8" s="1"/>
  <c r="F154" i="8" s="1"/>
  <c r="K138" i="8" a="1"/>
  <c r="K138" i="8" s="1"/>
  <c r="K151" i="8" s="1"/>
  <c r="F142" i="8" a="1"/>
  <c r="F142" i="8" s="1"/>
  <c r="F155" i="8" s="1"/>
  <c r="O155" i="8" s="1"/>
  <c r="G145" i="8" a="1"/>
  <c r="G145" i="8" s="1"/>
  <c r="G158" i="8" s="1"/>
  <c r="E142" i="8" a="1"/>
  <c r="E142" i="8" s="1"/>
  <c r="E155" i="8" s="1"/>
  <c r="N155" i="8" s="1"/>
  <c r="W155" i="8" s="1"/>
  <c r="E137" i="8" a="1"/>
  <c r="E137" i="8" s="1"/>
  <c r="E150" i="8" s="1"/>
  <c r="V155" i="8"/>
  <c r="H138" i="8" a="1"/>
  <c r="H138" i="8" s="1"/>
  <c r="H151" i="8" s="1"/>
  <c r="L141" i="8" a="1"/>
  <c r="L141" i="8" s="1"/>
  <c r="L154" i="8" s="1"/>
  <c r="T158" i="8"/>
  <c r="O154" i="8"/>
  <c r="S155" i="8"/>
  <c r="T151" i="8"/>
  <c r="F124" i="8" a="1"/>
  <c r="F124" i="8" s="1"/>
  <c r="F121" i="8" a="1"/>
  <c r="F121" i="8" s="1"/>
  <c r="M141" i="8" a="1"/>
  <c r="M141" i="8" s="1"/>
  <c r="M154" i="8" s="1"/>
  <c r="L179" i="8"/>
  <c r="L183" i="8" s="1"/>
  <c r="U152" i="8"/>
  <c r="S151" i="8"/>
  <c r="Q135" i="8"/>
  <c r="T135" i="8"/>
  <c r="S135" i="8"/>
  <c r="P135" i="8"/>
  <c r="P136" i="8" s="1" a="1"/>
  <c r="P136" i="8" s="1"/>
  <c r="W135" i="8"/>
  <c r="U135" i="8"/>
  <c r="R135" i="8"/>
  <c r="X135" i="8"/>
  <c r="V135" i="8"/>
  <c r="G141" i="8" a="1"/>
  <c r="G141" i="8" s="1"/>
  <c r="G154" i="8" s="1"/>
  <c r="M179" i="8"/>
  <c r="M183" i="8" s="1"/>
  <c r="V152" i="8"/>
  <c r="J179" i="8"/>
  <c r="J183" i="8" s="1"/>
  <c r="S152" i="8"/>
  <c r="E141" i="8" a="1"/>
  <c r="E141" i="8" s="1"/>
  <c r="E154" i="8" s="1"/>
  <c r="Q158" i="8"/>
  <c r="T155" i="8"/>
  <c r="H141" i="8" a="1"/>
  <c r="H141" i="8" s="1"/>
  <c r="H154" i="8" s="1"/>
  <c r="V151" i="8"/>
  <c r="S158" i="8"/>
  <c r="V158" i="8"/>
  <c r="O158" i="8"/>
  <c r="P155" i="8"/>
  <c r="I141" i="8" a="1"/>
  <c r="I141" i="8" s="1"/>
  <c r="I154" i="8" s="1"/>
  <c r="L144" i="8" a="1"/>
  <c r="L144" i="8" s="1"/>
  <c r="L157" i="8" s="1"/>
  <c r="K144" i="8" a="1"/>
  <c r="K144" i="8" s="1"/>
  <c r="K157" i="8" s="1"/>
  <c r="M144" i="8" a="1"/>
  <c r="M144" i="8" s="1"/>
  <c r="M157" i="8" s="1"/>
  <c r="M178" i="8" s="1"/>
  <c r="M182" i="8" s="1"/>
  <c r="I144" i="8" a="1"/>
  <c r="I144" i="8" s="1"/>
  <c r="I157" i="8" s="1"/>
  <c r="F144" i="8" a="1"/>
  <c r="F144" i="8" s="1"/>
  <c r="F157" i="8" s="1"/>
  <c r="E144" i="8" a="1"/>
  <c r="E144" i="8" s="1"/>
  <c r="E157" i="8" s="1"/>
  <c r="G144" i="8" a="1"/>
  <c r="G144" i="8" s="1"/>
  <c r="G157" i="8" s="1"/>
  <c r="H144" i="8" a="1"/>
  <c r="H144" i="8" s="1"/>
  <c r="H157" i="8" s="1"/>
  <c r="J144" i="8" a="1"/>
  <c r="J144" i="8" s="1"/>
  <c r="J157" i="8" s="1"/>
  <c r="U158" i="8"/>
  <c r="F193" i="8"/>
  <c r="N158" i="8"/>
  <c r="F196" i="8"/>
  <c r="L138" i="8" a="1"/>
  <c r="L138" i="8" s="1"/>
  <c r="L151" i="8" s="1"/>
  <c r="R152" i="8"/>
  <c r="I179" i="8"/>
  <c r="I183" i="8" s="1"/>
  <c r="U155" i="8"/>
  <c r="J141" i="8" a="1"/>
  <c r="J141" i="8" s="1"/>
  <c r="J154" i="8" s="1"/>
  <c r="J178" i="8" s="1"/>
  <c r="J182" i="8" s="1"/>
  <c r="Q155" i="8"/>
  <c r="U118" i="8"/>
  <c r="P140" i="8" s="1" a="1"/>
  <c r="P140" i="8" s="1"/>
  <c r="L118" i="8"/>
  <c r="O131" i="8" s="1"/>
  <c r="G121" i="8" a="1"/>
  <c r="G121" i="8" s="1"/>
  <c r="G124" i="8" a="1"/>
  <c r="G124" i="8" s="1"/>
  <c r="G127" i="8" s="1"/>
  <c r="E179" i="8"/>
  <c r="E183" i="8" s="1"/>
  <c r="N152" i="8"/>
  <c r="W152" i="8" s="1"/>
  <c r="F190" i="8"/>
  <c r="T152" i="8"/>
  <c r="K179" i="8"/>
  <c r="K183" i="8" s="1"/>
  <c r="F118" i="8" a="1"/>
  <c r="F118" i="8" s="1"/>
  <c r="P152" i="8"/>
  <c r="G179" i="8"/>
  <c r="G183" i="8" s="1"/>
  <c r="E138" i="8" a="1"/>
  <c r="E138" i="8" s="1"/>
  <c r="E151" i="8" s="1"/>
  <c r="Q152" i="8"/>
  <c r="H179" i="8"/>
  <c r="H183" i="8" s="1"/>
  <c r="R158" i="8"/>
  <c r="G138" i="8" a="1"/>
  <c r="G138" i="8" s="1"/>
  <c r="G151" i="8" s="1"/>
  <c r="P158" i="8"/>
  <c r="F179" i="8"/>
  <c r="F183" i="8" s="1"/>
  <c r="O152" i="8"/>
  <c r="I138" i="8" a="1"/>
  <c r="I138" i="8" s="1"/>
  <c r="I151" i="8" s="1"/>
  <c r="R155" i="8"/>
  <c r="K141" i="8" a="1"/>
  <c r="K141" i="8" s="1"/>
  <c r="K154" i="8" s="1"/>
  <c r="K178" i="8" s="1"/>
  <c r="K182" i="8" s="1"/>
  <c r="I141" i="4" a="1"/>
  <c r="I141" i="4" s="1"/>
  <c r="I154" i="4" s="1"/>
  <c r="J144" i="4" a="1"/>
  <c r="J144" i="4" s="1"/>
  <c r="J157" i="4" s="1"/>
  <c r="F138" i="4" a="1"/>
  <c r="F138" i="4" s="1"/>
  <c r="F151" i="4" s="1"/>
  <c r="E144" i="4" a="1"/>
  <c r="E144" i="4" s="1"/>
  <c r="E157" i="4" s="1"/>
  <c r="F139" i="4" a="1"/>
  <c r="F139" i="4" s="1"/>
  <c r="F152" i="4" s="1"/>
  <c r="G139" i="4" a="1"/>
  <c r="G139" i="4" s="1"/>
  <c r="G152" i="4" s="1"/>
  <c r="E139" i="4" a="1"/>
  <c r="E139" i="4" s="1"/>
  <c r="E152" i="4" s="1"/>
  <c r="I139" i="4" a="1"/>
  <c r="I139" i="4" s="1"/>
  <c r="I152" i="4" s="1"/>
  <c r="H139" i="4" a="1"/>
  <c r="H139" i="4" s="1"/>
  <c r="H152" i="4" s="1"/>
  <c r="M139" i="4" a="1"/>
  <c r="M139" i="4" s="1"/>
  <c r="M152" i="4" s="1"/>
  <c r="L139" i="4" a="1"/>
  <c r="L139" i="4" s="1"/>
  <c r="L152" i="4" s="1"/>
  <c r="J139" i="4" a="1"/>
  <c r="J139" i="4" s="1"/>
  <c r="J152" i="4" s="1"/>
  <c r="K139" i="4" a="1"/>
  <c r="K139" i="4" s="1"/>
  <c r="K152" i="4" s="1"/>
  <c r="H142" i="4" a="1"/>
  <c r="H142" i="4" s="1"/>
  <c r="H155" i="4" s="1"/>
  <c r="E142" i="4" a="1"/>
  <c r="E142" i="4" s="1"/>
  <c r="E155" i="4" s="1"/>
  <c r="M142" i="4" a="1"/>
  <c r="M142" i="4" s="1"/>
  <c r="M155" i="4" s="1"/>
  <c r="F142" i="4" a="1"/>
  <c r="F142" i="4" s="1"/>
  <c r="F155" i="4" s="1"/>
  <c r="G142" i="4" a="1"/>
  <c r="G142" i="4" s="1"/>
  <c r="G155" i="4" s="1"/>
  <c r="K142" i="4" a="1"/>
  <c r="K142" i="4" s="1"/>
  <c r="K155" i="4" s="1"/>
  <c r="J142" i="4" a="1"/>
  <c r="J142" i="4" s="1"/>
  <c r="J155" i="4" s="1"/>
  <c r="I142" i="4" a="1"/>
  <c r="I142" i="4" s="1"/>
  <c r="I155" i="4" s="1"/>
  <c r="L142" i="4" a="1"/>
  <c r="L142" i="4" s="1"/>
  <c r="L155" i="4" s="1"/>
  <c r="I145" i="4" a="1"/>
  <c r="I145" i="4" s="1"/>
  <c r="I158" i="4" s="1"/>
  <c r="K138" i="4" a="1"/>
  <c r="K138" i="4" s="1"/>
  <c r="K151" i="4" s="1"/>
  <c r="K144" i="4" a="1"/>
  <c r="K144" i="4" s="1"/>
  <c r="K157" i="4" s="1"/>
  <c r="M145" i="4" a="1"/>
  <c r="M145" i="4" s="1"/>
  <c r="M158" i="4" s="1"/>
  <c r="H138" i="4" a="1"/>
  <c r="H138" i="4" s="1"/>
  <c r="H151" i="4" s="1"/>
  <c r="I144" i="4" a="1"/>
  <c r="I144" i="4" s="1"/>
  <c r="I157" i="4" s="1"/>
  <c r="H145" i="4" a="1"/>
  <c r="H145" i="4" s="1"/>
  <c r="H158" i="4" s="1"/>
  <c r="F121" i="4" a="1"/>
  <c r="F121" i="4" s="1"/>
  <c r="F124" i="4" a="1"/>
  <c r="F124" i="4" s="1"/>
  <c r="L118" i="4"/>
  <c r="L137" i="4" s="1" a="1"/>
  <c r="L137" i="4" s="1"/>
  <c r="L150" i="4" s="1"/>
  <c r="G124" i="4" a="1"/>
  <c r="G124" i="4" s="1"/>
  <c r="G121" i="4" a="1"/>
  <c r="G121" i="4" s="1"/>
  <c r="J138" i="4" a="1"/>
  <c r="J138" i="4" s="1"/>
  <c r="J151" i="4" s="1"/>
  <c r="G144" i="4" a="1"/>
  <c r="G144" i="4" s="1"/>
  <c r="G157" i="4" s="1"/>
  <c r="G145" i="4" a="1"/>
  <c r="G145" i="4" s="1"/>
  <c r="G158" i="4" s="1"/>
  <c r="I138" i="4" a="1"/>
  <c r="I138" i="4" s="1"/>
  <c r="I151" i="4" s="1"/>
  <c r="M138" i="4" a="1"/>
  <c r="M138" i="4" s="1"/>
  <c r="M151" i="4" s="1"/>
  <c r="G138" i="4" a="1"/>
  <c r="G138" i="4" s="1"/>
  <c r="G151" i="4" s="1"/>
  <c r="L138" i="4" a="1"/>
  <c r="L138" i="4" s="1"/>
  <c r="L151" i="4" s="1"/>
  <c r="M144" i="4" a="1"/>
  <c r="M144" i="4" s="1"/>
  <c r="M157" i="4" s="1"/>
  <c r="J145" i="4" a="1"/>
  <c r="J145" i="4" s="1"/>
  <c r="J158" i="4" s="1"/>
  <c r="F144" i="4" a="1"/>
  <c r="F144" i="4" s="1"/>
  <c r="F157" i="4" s="1"/>
  <c r="K141" i="4" a="1"/>
  <c r="K141" i="4" s="1"/>
  <c r="K154" i="4" s="1"/>
  <c r="F141" i="4" a="1"/>
  <c r="F141" i="4" s="1"/>
  <c r="F154" i="4" s="1"/>
  <c r="H141" i="4" a="1"/>
  <c r="H141" i="4" s="1"/>
  <c r="H154" i="4" s="1"/>
  <c r="G141" i="4" a="1"/>
  <c r="G141" i="4" s="1"/>
  <c r="G154" i="4" s="1"/>
  <c r="M141" i="4" a="1"/>
  <c r="M141" i="4" s="1"/>
  <c r="M154" i="4" s="1"/>
  <c r="J141" i="4" a="1"/>
  <c r="J141" i="4" s="1"/>
  <c r="J154" i="4" s="1"/>
  <c r="E141" i="4" a="1"/>
  <c r="E141" i="4" s="1"/>
  <c r="E154" i="4" s="1"/>
  <c r="L141" i="4" a="1"/>
  <c r="L141" i="4" s="1"/>
  <c r="L154" i="4" s="1"/>
  <c r="F145" i="4" a="1"/>
  <c r="F145" i="4" s="1"/>
  <c r="F158" i="4" s="1"/>
  <c r="K145" i="4" a="1"/>
  <c r="K145" i="4" s="1"/>
  <c r="K158" i="4" s="1"/>
  <c r="L145" i="4" a="1"/>
  <c r="L145" i="4" s="1"/>
  <c r="L158" i="4" s="1"/>
  <c r="L144" i="4" a="1"/>
  <c r="L144" i="4" s="1"/>
  <c r="L157" i="4" s="1"/>
  <c r="E138" i="4" a="1"/>
  <c r="E138" i="4" s="1"/>
  <c r="E151" i="4" s="1"/>
  <c r="H144" i="4" a="1"/>
  <c r="H144" i="4" s="1"/>
  <c r="H157" i="4" s="1"/>
  <c r="J137" i="8" l="1" a="1"/>
  <c r="J137" i="8" s="1"/>
  <c r="J150" i="8" s="1"/>
  <c r="W158" i="8"/>
  <c r="F178" i="8"/>
  <c r="F182" i="8" s="1"/>
  <c r="N183" i="8"/>
  <c r="G137" i="8" a="1"/>
  <c r="G137" i="8" s="1"/>
  <c r="G150" i="8" s="1"/>
  <c r="G177" i="8" s="1"/>
  <c r="G181" i="8" s="1"/>
  <c r="G184" i="8" s="1"/>
  <c r="G204" i="8" s="1"/>
  <c r="T154" i="8"/>
  <c r="S157" i="8"/>
  <c r="N150" i="8"/>
  <c r="J143" i="8" a="1"/>
  <c r="J143" i="8" s="1"/>
  <c r="J156" i="8" s="1"/>
  <c r="H143" i="8" a="1"/>
  <c r="H143" i="8" s="1"/>
  <c r="H156" i="8" s="1"/>
  <c r="L143" i="8" a="1"/>
  <c r="L143" i="8" s="1"/>
  <c r="L156" i="8" s="1"/>
  <c r="K143" i="8" a="1"/>
  <c r="K143" i="8" s="1"/>
  <c r="K156" i="8" s="1"/>
  <c r="I143" i="8" a="1"/>
  <c r="I143" i="8" s="1"/>
  <c r="I156" i="8" s="1"/>
  <c r="F143" i="8" a="1"/>
  <c r="F143" i="8" s="1"/>
  <c r="F156" i="8" s="1"/>
  <c r="E143" i="8" a="1"/>
  <c r="E143" i="8" s="1"/>
  <c r="E156" i="8" s="1"/>
  <c r="M143" i="8" a="1"/>
  <c r="M143" i="8" s="1"/>
  <c r="M156" i="8" s="1"/>
  <c r="G143" i="8" a="1"/>
  <c r="G143" i="8" s="1"/>
  <c r="G156" i="8" s="1"/>
  <c r="W131" i="8"/>
  <c r="R131" i="8"/>
  <c r="Q131" i="8"/>
  <c r="U131" i="8"/>
  <c r="T131" i="8"/>
  <c r="P131" i="8"/>
  <c r="V131" i="8"/>
  <c r="X131" i="8"/>
  <c r="S131" i="8"/>
  <c r="S154" i="8"/>
  <c r="R154" i="8"/>
  <c r="Q154" i="8"/>
  <c r="P154" i="8"/>
  <c r="P157" i="8"/>
  <c r="U151" i="8"/>
  <c r="L178" i="8"/>
  <c r="L182" i="8" s="1"/>
  <c r="N157" i="8"/>
  <c r="F195" i="8"/>
  <c r="V154" i="8"/>
  <c r="U154" i="8"/>
  <c r="L137" i="8" a="1"/>
  <c r="L137" i="8" s="1"/>
  <c r="L150" i="8" s="1"/>
  <c r="N154" i="8"/>
  <c r="F192" i="8"/>
  <c r="O157" i="8"/>
  <c r="Q151" i="8"/>
  <c r="H178" i="8"/>
  <c r="H182" i="8" s="1"/>
  <c r="H137" i="8" a="1"/>
  <c r="H137" i="8" s="1"/>
  <c r="H150" i="8" s="1"/>
  <c r="R151" i="8"/>
  <c r="I178" i="8"/>
  <c r="I182" i="8" s="1"/>
  <c r="R157" i="8"/>
  <c r="M137" i="8" a="1"/>
  <c r="M137" i="8" s="1"/>
  <c r="M150" i="8" s="1"/>
  <c r="Q157" i="8"/>
  <c r="V157" i="8"/>
  <c r="K137" i="8" a="1"/>
  <c r="K137" i="8" s="1"/>
  <c r="K150" i="8" s="1"/>
  <c r="N151" i="8"/>
  <c r="E178" i="8"/>
  <c r="E182" i="8" s="1"/>
  <c r="N182" i="8" s="1"/>
  <c r="F189" i="8"/>
  <c r="M140" i="8" a="1"/>
  <c r="M140" i="8" s="1"/>
  <c r="M153" i="8" s="1"/>
  <c r="K140" i="8" a="1"/>
  <c r="K140" i="8" s="1"/>
  <c r="K153" i="8" s="1"/>
  <c r="T153" i="8" s="1"/>
  <c r="J140" i="8" a="1"/>
  <c r="J140" i="8" s="1"/>
  <c r="J153" i="8" s="1"/>
  <c r="J177" i="8" s="1"/>
  <c r="J181" i="8" s="1"/>
  <c r="J184" i="8" s="1"/>
  <c r="J204" i="8" s="1"/>
  <c r="F140" i="8" a="1"/>
  <c r="F140" i="8" s="1"/>
  <c r="F153" i="8" s="1"/>
  <c r="O153" i="8" s="1"/>
  <c r="I140" i="8" a="1"/>
  <c r="I140" i="8" s="1"/>
  <c r="I153" i="8" s="1"/>
  <c r="G140" i="8" a="1"/>
  <c r="G140" i="8" s="1"/>
  <c r="G153" i="8" s="1"/>
  <c r="L140" i="8" a="1"/>
  <c r="L140" i="8" s="1"/>
  <c r="L153" i="8" s="1"/>
  <c r="E140" i="8" a="1"/>
  <c r="E140" i="8" s="1"/>
  <c r="E153" i="8" s="1"/>
  <c r="E177" i="8" s="1"/>
  <c r="E181" i="8" s="1"/>
  <c r="H140" i="8" a="1"/>
  <c r="H140" i="8" s="1"/>
  <c r="H153" i="8" s="1"/>
  <c r="T157" i="8"/>
  <c r="F137" i="8" a="1"/>
  <c r="F137" i="8" s="1"/>
  <c r="F150" i="8" s="1"/>
  <c r="N159" i="8" s="1"/>
  <c r="S150" i="8"/>
  <c r="P151" i="8"/>
  <c r="G178" i="8"/>
  <c r="G182" i="8" s="1"/>
  <c r="U157" i="8"/>
  <c r="I137" i="8" a="1"/>
  <c r="I137" i="8" s="1"/>
  <c r="I150" i="8" s="1"/>
  <c r="F196" i="4"/>
  <c r="F189" i="4"/>
  <c r="F190" i="4"/>
  <c r="F195" i="4"/>
  <c r="F192" i="4"/>
  <c r="F193" i="4"/>
  <c r="F178" i="4"/>
  <c r="F182" i="4" s="1"/>
  <c r="I137" i="4" a="1"/>
  <c r="I137" i="4" s="1"/>
  <c r="I150" i="4" s="1"/>
  <c r="E137" i="4" a="1"/>
  <c r="E137" i="4" s="1"/>
  <c r="E150" i="4" s="1"/>
  <c r="H137" i="4" a="1"/>
  <c r="H137" i="4" s="1"/>
  <c r="H150" i="4" s="1"/>
  <c r="G137" i="4" a="1"/>
  <c r="G137" i="4" s="1"/>
  <c r="G150" i="4" s="1"/>
  <c r="E178" i="4"/>
  <c r="E182" i="4" s="1"/>
  <c r="K178" i="4"/>
  <c r="K182" i="4" s="1"/>
  <c r="I140" i="4" a="1"/>
  <c r="I140" i="4" s="1"/>
  <c r="I153" i="4" s="1"/>
  <c r="H140" i="4" a="1"/>
  <c r="H140" i="4" s="1"/>
  <c r="H153" i="4" s="1"/>
  <c r="M140" i="4" a="1"/>
  <c r="M140" i="4" s="1"/>
  <c r="M153" i="4" s="1"/>
  <c r="K140" i="4" a="1"/>
  <c r="K140" i="4" s="1"/>
  <c r="K153" i="4" s="1"/>
  <c r="J140" i="4" a="1"/>
  <c r="J140" i="4" s="1"/>
  <c r="J153" i="4" s="1"/>
  <c r="E140" i="4" a="1"/>
  <c r="E140" i="4" s="1"/>
  <c r="E153" i="4" s="1"/>
  <c r="L140" i="4" a="1"/>
  <c r="L140" i="4" s="1"/>
  <c r="L153" i="4" s="1"/>
  <c r="F140" i="4" a="1"/>
  <c r="F140" i="4" s="1"/>
  <c r="F153" i="4" s="1"/>
  <c r="G140" i="4" a="1"/>
  <c r="G140" i="4" s="1"/>
  <c r="G153" i="4" s="1"/>
  <c r="H179" i="4"/>
  <c r="H183" i="4" s="1"/>
  <c r="E179" i="4"/>
  <c r="E183" i="4" s="1"/>
  <c r="F137" i="4" a="1"/>
  <c r="F137" i="4" s="1"/>
  <c r="F150" i="4" s="1"/>
  <c r="L178" i="4"/>
  <c r="L182" i="4" s="1"/>
  <c r="G179" i="4"/>
  <c r="G183" i="4" s="1"/>
  <c r="K137" i="4" a="1"/>
  <c r="K137" i="4" s="1"/>
  <c r="K150" i="4" s="1"/>
  <c r="K179" i="4"/>
  <c r="K183" i="4" s="1"/>
  <c r="J179" i="4"/>
  <c r="J183" i="4" s="1"/>
  <c r="M179" i="4"/>
  <c r="M183" i="4" s="1"/>
  <c r="E143" i="4" a="1"/>
  <c r="E143" i="4" s="1"/>
  <c r="E156" i="4" s="1"/>
  <c r="L143" i="4" a="1"/>
  <c r="L143" i="4" s="1"/>
  <c r="L156" i="4" s="1"/>
  <c r="K143" i="4" a="1"/>
  <c r="K143" i="4" s="1"/>
  <c r="K156" i="4" s="1"/>
  <c r="J143" i="4" a="1"/>
  <c r="J143" i="4" s="1"/>
  <c r="J156" i="4" s="1"/>
  <c r="F143" i="4" a="1"/>
  <c r="F143" i="4" s="1"/>
  <c r="F156" i="4" s="1"/>
  <c r="G143" i="4" a="1"/>
  <c r="G143" i="4" s="1"/>
  <c r="G156" i="4" s="1"/>
  <c r="H143" i="4" a="1"/>
  <c r="H143" i="4" s="1"/>
  <c r="H156" i="4" s="1"/>
  <c r="M143" i="4" a="1"/>
  <c r="M143" i="4" s="1"/>
  <c r="M156" i="4" s="1"/>
  <c r="I143" i="4" a="1"/>
  <c r="I143" i="4" s="1"/>
  <c r="I156" i="4" s="1"/>
  <c r="G127" i="4"/>
  <c r="F179" i="4"/>
  <c r="F183" i="4" s="1"/>
  <c r="J137" i="4" a="1"/>
  <c r="J137" i="4" s="1"/>
  <c r="J150" i="4" s="1"/>
  <c r="J178" i="4"/>
  <c r="J182" i="4" s="1"/>
  <c r="M178" i="4"/>
  <c r="M182" i="4" s="1"/>
  <c r="M137" i="4" a="1"/>
  <c r="M137" i="4" s="1"/>
  <c r="M150" i="4" s="1"/>
  <c r="L179" i="4"/>
  <c r="L183" i="4" s="1"/>
  <c r="I179" i="4"/>
  <c r="I183" i="4" s="1"/>
  <c r="G178" i="4"/>
  <c r="G182" i="4" s="1"/>
  <c r="I178" i="4"/>
  <c r="I182" i="4" s="1"/>
  <c r="H178" i="4"/>
  <c r="H182" i="4" s="1"/>
  <c r="F188" i="8" l="1"/>
  <c r="W151" i="8"/>
  <c r="P150" i="8"/>
  <c r="W154" i="8"/>
  <c r="P132" i="8" a="1"/>
  <c r="P132" i="8" s="1"/>
  <c r="W157" i="8"/>
  <c r="Q150" i="8"/>
  <c r="W150" i="8" s="1"/>
  <c r="H177" i="8"/>
  <c r="H181" i="8" s="1"/>
  <c r="H184" i="8" s="1"/>
  <c r="H200" i="8" s="1"/>
  <c r="S153" i="8"/>
  <c r="J203" i="8"/>
  <c r="S156" i="8"/>
  <c r="J206" i="8"/>
  <c r="G200" i="8"/>
  <c r="G208" i="8"/>
  <c r="G205" i="8"/>
  <c r="G202" i="8"/>
  <c r="G201" i="8"/>
  <c r="E184" i="8"/>
  <c r="R153" i="8"/>
  <c r="N156" i="8"/>
  <c r="E206" i="8"/>
  <c r="F194" i="8"/>
  <c r="J207" i="8"/>
  <c r="Q156" i="8"/>
  <c r="O150" i="8"/>
  <c r="F177" i="8"/>
  <c r="F181" i="8" s="1"/>
  <c r="F184" i="8" s="1"/>
  <c r="O156" i="8"/>
  <c r="N153" i="8"/>
  <c r="E203" i="8"/>
  <c r="F191" i="8"/>
  <c r="U153" i="8"/>
  <c r="P153" i="8"/>
  <c r="G203" i="8"/>
  <c r="V153" i="8"/>
  <c r="G207" i="8"/>
  <c r="R156" i="8"/>
  <c r="U156" i="8"/>
  <c r="T150" i="8"/>
  <c r="K177" i="8"/>
  <c r="K181" i="8" s="1"/>
  <c r="K184" i="8" s="1"/>
  <c r="K200" i="8" s="1"/>
  <c r="J200" i="8"/>
  <c r="J208" i="8"/>
  <c r="J202" i="8"/>
  <c r="J205" i="8"/>
  <c r="J201" i="8"/>
  <c r="G206" i="8"/>
  <c r="P156" i="8"/>
  <c r="M177" i="8"/>
  <c r="M181" i="8" s="1"/>
  <c r="M184" i="8" s="1"/>
  <c r="M200" i="8" s="1"/>
  <c r="V150" i="8"/>
  <c r="V156" i="8"/>
  <c r="I177" i="8"/>
  <c r="I181" i="8" s="1"/>
  <c r="I184" i="8" s="1"/>
  <c r="I200" i="8" s="1"/>
  <c r="R150" i="8"/>
  <c r="Q153" i="8"/>
  <c r="L177" i="8"/>
  <c r="L181" i="8" s="1"/>
  <c r="L184" i="8" s="1"/>
  <c r="U150" i="8"/>
  <c r="T156" i="8"/>
  <c r="E177" i="4"/>
  <c r="E181" i="4" s="1"/>
  <c r="E184" i="4" s="1"/>
  <c r="F194" i="4"/>
  <c r="F191" i="4"/>
  <c r="F188" i="4"/>
  <c r="G177" i="4"/>
  <c r="G181" i="4" s="1"/>
  <c r="G184" i="4" s="1"/>
  <c r="G206" i="4" s="1"/>
  <c r="J177" i="4"/>
  <c r="J181" i="4" s="1"/>
  <c r="J184" i="4" s="1"/>
  <c r="J203" i="4" s="1"/>
  <c r="F177" i="4"/>
  <c r="F181" i="4" s="1"/>
  <c r="F184" i="4" s="1"/>
  <c r="M177" i="4"/>
  <c r="M181" i="4" s="1"/>
  <c r="M184" i="4" s="1"/>
  <c r="M200" i="4" s="1"/>
  <c r="K177" i="4"/>
  <c r="K181" i="4" s="1"/>
  <c r="K184" i="4" s="1"/>
  <c r="E5" i="5" a="1"/>
  <c r="E5" i="5" s="1"/>
  <c r="N14" i="5" s="1"/>
  <c r="I177" i="4"/>
  <c r="I181" i="4" s="1"/>
  <c r="I184" i="4" s="1"/>
  <c r="H177" i="4"/>
  <c r="H181" i="4" s="1"/>
  <c r="H184" i="4" s="1"/>
  <c r="N159" i="4"/>
  <c r="L177" i="4"/>
  <c r="L181" i="4" s="1"/>
  <c r="L184" i="4" s="1"/>
  <c r="N181" i="8" l="1"/>
  <c r="W156" i="8"/>
  <c r="W153" i="8"/>
  <c r="H206" i="8"/>
  <c r="M206" i="8"/>
  <c r="K206" i="8"/>
  <c r="F203" i="8"/>
  <c r="F201" i="8"/>
  <c r="F208" i="8"/>
  <c r="F205" i="8"/>
  <c r="F204" i="8"/>
  <c r="F202" i="8"/>
  <c r="F207" i="8"/>
  <c r="L200" i="8"/>
  <c r="L202" i="8"/>
  <c r="L208" i="8"/>
  <c r="L205" i="8"/>
  <c r="L201" i="8"/>
  <c r="L204" i="8"/>
  <c r="L207" i="8"/>
  <c r="L206" i="8"/>
  <c r="M202" i="8"/>
  <c r="M201" i="8"/>
  <c r="M205" i="8"/>
  <c r="M208" i="8"/>
  <c r="M207" i="8"/>
  <c r="M204" i="8"/>
  <c r="H203" i="8"/>
  <c r="I206" i="8"/>
  <c r="I203" i="8"/>
  <c r="F206" i="8"/>
  <c r="L203" i="8"/>
  <c r="H205" i="8"/>
  <c r="H208" i="8"/>
  <c r="H202" i="8"/>
  <c r="H201" i="8"/>
  <c r="H204" i="8"/>
  <c r="H207" i="8"/>
  <c r="K203" i="8"/>
  <c r="K202" i="8"/>
  <c r="K201" i="8"/>
  <c r="K208" i="8"/>
  <c r="K205" i="8"/>
  <c r="K207" i="8"/>
  <c r="K204" i="8"/>
  <c r="I202" i="8"/>
  <c r="I205" i="8"/>
  <c r="I208" i="8"/>
  <c r="I207" i="8"/>
  <c r="I201" i="8"/>
  <c r="I204" i="8"/>
  <c r="M203" i="8"/>
  <c r="F200" i="8"/>
  <c r="N184" i="8"/>
  <c r="N185" i="8" s="1"/>
  <c r="N186" i="8" s="1"/>
  <c r="G188" i="8" a="1"/>
  <c r="E205" i="8"/>
  <c r="E208" i="8"/>
  <c r="E202" i="8"/>
  <c r="E204" i="8"/>
  <c r="E201" i="8"/>
  <c r="E200" i="8"/>
  <c r="E213" i="8" s="1" a="1"/>
  <c r="E213" i="8" s="1"/>
  <c r="E207" i="8"/>
  <c r="N184" i="4"/>
  <c r="B188" i="4" a="1"/>
  <c r="M206" i="4"/>
  <c r="J200" i="4"/>
  <c r="H207" i="4"/>
  <c r="H202" i="4"/>
  <c r="H200" i="4"/>
  <c r="H205" i="4"/>
  <c r="H208" i="4"/>
  <c r="H204" i="4"/>
  <c r="H201" i="4"/>
  <c r="H203" i="4"/>
  <c r="H206" i="4"/>
  <c r="F201" i="4"/>
  <c r="F207" i="4"/>
  <c r="F208" i="4"/>
  <c r="F202" i="4"/>
  <c r="F205" i="4"/>
  <c r="F204" i="4"/>
  <c r="F206" i="4"/>
  <c r="F200" i="4"/>
  <c r="F203" i="4"/>
  <c r="K207" i="4"/>
  <c r="K205" i="4"/>
  <c r="K208" i="4"/>
  <c r="K201" i="4"/>
  <c r="K204" i="4"/>
  <c r="K202" i="4"/>
  <c r="K203" i="4"/>
  <c r="K206" i="4"/>
  <c r="K200" i="4"/>
  <c r="L204" i="4"/>
  <c r="L207" i="4"/>
  <c r="L200" i="4"/>
  <c r="L202" i="4"/>
  <c r="L205" i="4"/>
  <c r="L201" i="4"/>
  <c r="L208" i="4"/>
  <c r="E15" i="5" a="1"/>
  <c r="E207" i="4"/>
  <c r="E208" i="4"/>
  <c r="E200" i="4"/>
  <c r="E204" i="4"/>
  <c r="E201" i="4"/>
  <c r="E202" i="4"/>
  <c r="E205" i="4"/>
  <c r="E60" i="5" a="1"/>
  <c r="E60" i="5" s="1"/>
  <c r="L203" i="4"/>
  <c r="E203" i="4"/>
  <c r="I204" i="4"/>
  <c r="I208" i="4"/>
  <c r="I202" i="4"/>
  <c r="I207" i="4"/>
  <c r="I205" i="4"/>
  <c r="I200" i="4"/>
  <c r="I201" i="4"/>
  <c r="L206" i="4"/>
  <c r="I203" i="4"/>
  <c r="M203" i="4"/>
  <c r="M208" i="4"/>
  <c r="M202" i="4"/>
  <c r="M204" i="4"/>
  <c r="M207" i="4"/>
  <c r="M201" i="4"/>
  <c r="M205" i="4"/>
  <c r="J206" i="4"/>
  <c r="J207" i="4"/>
  <c r="J205" i="4"/>
  <c r="J204" i="4"/>
  <c r="J208" i="4"/>
  <c r="J202" i="4"/>
  <c r="J201" i="4"/>
  <c r="E206" i="4"/>
  <c r="G203" i="4"/>
  <c r="G208" i="4"/>
  <c r="G204" i="4"/>
  <c r="G205" i="4"/>
  <c r="G207" i="4"/>
  <c r="G201" i="4"/>
  <c r="G202" i="4"/>
  <c r="G200" i="4"/>
  <c r="I206" i="4"/>
  <c r="D191" i="8" l="1"/>
  <c r="E191" i="8" s="1"/>
  <c r="B191" i="8" s="1"/>
  <c r="E50" i="9" s="1"/>
  <c r="F50" i="9" s="1"/>
  <c r="H50" i="9" s="1"/>
  <c r="D190" i="8"/>
  <c r="E190" i="8" s="1"/>
  <c r="B190" i="8" s="1"/>
  <c r="E49" i="9" s="1"/>
  <c r="F49" i="9" s="1"/>
  <c r="H49" i="9" s="1"/>
  <c r="D195" i="8"/>
  <c r="E195" i="8" s="1"/>
  <c r="B195" i="8" s="1"/>
  <c r="E54" i="9" s="1"/>
  <c r="F54" i="9" s="1"/>
  <c r="H54" i="9" s="1"/>
  <c r="D196" i="8"/>
  <c r="E196" i="8" s="1"/>
  <c r="B196" i="8" s="1"/>
  <c r="E55" i="9" s="1"/>
  <c r="F55" i="9" s="1"/>
  <c r="H55" i="9" s="1"/>
  <c r="D193" i="8"/>
  <c r="E193" i="8" s="1"/>
  <c r="B193" i="8" s="1"/>
  <c r="E52" i="9" s="1"/>
  <c r="F52" i="9" s="1"/>
  <c r="H52" i="9" s="1"/>
  <c r="D194" i="8"/>
  <c r="E194" i="8" s="1"/>
  <c r="B194" i="8" s="1"/>
  <c r="E53" i="9" s="1"/>
  <c r="F53" i="9" s="1"/>
  <c r="H53" i="9" s="1"/>
  <c r="D189" i="8"/>
  <c r="E189" i="8" s="1"/>
  <c r="B189" i="8" s="1"/>
  <c r="E48" i="9" s="1"/>
  <c r="F48" i="9" s="1"/>
  <c r="H48" i="9" s="1"/>
  <c r="D192" i="8"/>
  <c r="E192" i="8" s="1"/>
  <c r="B192" i="8" s="1"/>
  <c r="E51" i="9" s="1"/>
  <c r="F51" i="9" s="1"/>
  <c r="H51" i="9" s="1"/>
  <c r="G188" i="8"/>
  <c r="H193" i="8"/>
  <c r="I193" i="8" s="1"/>
  <c r="H196" i="8"/>
  <c r="I196" i="8" s="1"/>
  <c r="H190" i="8"/>
  <c r="I190" i="8" s="1"/>
  <c r="H189" i="8"/>
  <c r="I189" i="8" s="1"/>
  <c r="H195" i="8"/>
  <c r="I195" i="8" s="1"/>
  <c r="H192" i="8"/>
  <c r="I192" i="8" s="1"/>
  <c r="H194" i="8"/>
  <c r="I194" i="8" s="1"/>
  <c r="H191" i="8"/>
  <c r="I191" i="8" s="1"/>
  <c r="G196" i="4"/>
  <c r="G193" i="4"/>
  <c r="G194" i="4"/>
  <c r="G195" i="4"/>
  <c r="G192" i="4"/>
  <c r="G190" i="4"/>
  <c r="G191" i="4"/>
  <c r="B188" i="4"/>
  <c r="G188" i="4" s="1"/>
  <c r="G189" i="4"/>
  <c r="J14" i="5"/>
  <c r="J30" i="5" s="1"/>
  <c r="E15" i="5"/>
  <c r="E14" i="5" s="1"/>
  <c r="E30" i="5" s="1"/>
  <c r="K14" i="5"/>
  <c r="K30" i="5" s="1"/>
  <c r="L14" i="5"/>
  <c r="L30" i="5" s="1"/>
  <c r="F14" i="5"/>
  <c r="F30" i="5" s="1"/>
  <c r="I14" i="5"/>
  <c r="I30" i="5" s="1"/>
  <c r="H14" i="5"/>
  <c r="H30" i="5" s="1"/>
  <c r="M14" i="5"/>
  <c r="M30" i="5" s="1"/>
  <c r="G14" i="5"/>
  <c r="G30" i="5" s="1"/>
  <c r="E213" i="4" a="1"/>
  <c r="E213" i="4" s="1"/>
  <c r="E21" i="5" a="1"/>
  <c r="D188" i="8" l="1"/>
  <c r="E188" i="8" s="1"/>
  <c r="B188" i="8" s="1"/>
  <c r="E47" i="9" s="1"/>
  <c r="F47" i="9" s="1"/>
  <c r="H47" i="9" s="1"/>
  <c r="H188" i="8"/>
  <c r="I188" i="8" s="1"/>
  <c r="D190" i="4"/>
  <c r="E190" i="4" s="1"/>
  <c r="H190" i="4"/>
  <c r="I190" i="4" s="1"/>
  <c r="D192" i="4"/>
  <c r="E192" i="4" s="1"/>
  <c r="H192" i="4"/>
  <c r="I192" i="4" s="1"/>
  <c r="D195" i="4"/>
  <c r="E195" i="4" s="1"/>
  <c r="H195" i="4"/>
  <c r="I195" i="4" s="1"/>
  <c r="O5" i="5" a="1"/>
  <c r="N9" i="5" s="1"/>
  <c r="D194" i="4"/>
  <c r="E194" i="4" s="1"/>
  <c r="H194" i="4"/>
  <c r="I194" i="4" s="1"/>
  <c r="D193" i="4"/>
  <c r="E193" i="4" s="1"/>
  <c r="H193" i="4"/>
  <c r="I193" i="4" s="1"/>
  <c r="D189" i="4"/>
  <c r="E189" i="4" s="1"/>
  <c r="H189" i="4"/>
  <c r="I189" i="4" s="1"/>
  <c r="D188" i="4"/>
  <c r="E188" i="4" s="1"/>
  <c r="H188" i="4"/>
  <c r="I188" i="4" s="1"/>
  <c r="D191" i="4"/>
  <c r="E191" i="4" s="1"/>
  <c r="H191" i="4"/>
  <c r="I191" i="4" s="1"/>
  <c r="D196" i="4"/>
  <c r="E196" i="4" s="1"/>
  <c r="H196" i="4"/>
  <c r="I196" i="4" s="1"/>
  <c r="G31" i="5"/>
  <c r="J31" i="5"/>
  <c r="E21" i="5"/>
  <c r="K31" i="5"/>
  <c r="F31" i="5"/>
  <c r="H31" i="5"/>
  <c r="I31" i="5"/>
  <c r="L31" i="5"/>
  <c r="M31" i="5"/>
  <c r="E60" i="9" l="1" a="1"/>
  <c r="H56" i="9"/>
  <c r="H57" i="9" s="1"/>
  <c r="C188" i="9" a="1"/>
  <c r="N12" i="5"/>
  <c r="N8" i="5"/>
  <c r="O5" i="5"/>
  <c r="O47" i="5" s="1" a="1"/>
  <c r="O47" i="5" s="1"/>
  <c r="O56" i="5" s="1"/>
  <c r="N13" i="5"/>
  <c r="N10" i="5"/>
  <c r="N11" i="5"/>
  <c r="N6" i="5"/>
  <c r="N7" i="5"/>
  <c r="E31" i="5"/>
  <c r="E36" i="5" a="1"/>
  <c r="E36" i="5" s="1"/>
  <c r="E60" i="9" l="1"/>
  <c r="G68" i="9"/>
  <c r="G62" i="9"/>
  <c r="G65" i="9"/>
  <c r="G64" i="9"/>
  <c r="G61" i="9"/>
  <c r="G66" i="9"/>
  <c r="G67" i="9"/>
  <c r="G63" i="9"/>
  <c r="C188" i="9"/>
  <c r="P5" i="5" a="1"/>
  <c r="P5" i="5" s="1"/>
  <c r="N5" i="5"/>
  <c r="H47" i="5" s="1" a="1"/>
  <c r="H47" i="5" s="1"/>
  <c r="C188" i="5" s="1" a="1"/>
  <c r="C188" i="5" s="1"/>
  <c r="N47" i="5" a="1"/>
  <c r="N47" i="5" s="1"/>
  <c r="N56" i="5" s="1"/>
  <c r="E16" i="5" a="1"/>
  <c r="L17" i="5" s="1"/>
  <c r="F60" i="5" a="1"/>
  <c r="I72" i="9" l="1" a="1"/>
  <c r="I72" i="9" s="1"/>
  <c r="I74" i="9" s="1"/>
  <c r="G60" i="9"/>
  <c r="D88" i="9" a="1"/>
  <c r="Q12" i="5"/>
  <c r="R12" i="5" s="1"/>
  <c r="Q10" i="5"/>
  <c r="R10" i="5" s="1"/>
  <c r="Q7" i="5"/>
  <c r="R7" i="5" s="1"/>
  <c r="Q9" i="5"/>
  <c r="R9" i="5" s="1"/>
  <c r="Q11" i="5"/>
  <c r="R11" i="5" s="1"/>
  <c r="Q13" i="5"/>
  <c r="R13" i="5" s="1"/>
  <c r="Q6" i="5"/>
  <c r="R6" i="5" s="1"/>
  <c r="Q8" i="5"/>
  <c r="R8" i="5" s="1"/>
  <c r="K17" i="5"/>
  <c r="F17" i="5"/>
  <c r="G17" i="5"/>
  <c r="I17" i="5"/>
  <c r="J17" i="5"/>
  <c r="M17" i="5"/>
  <c r="H56" i="5"/>
  <c r="Q5" i="5"/>
  <c r="R5" i="5" s="1"/>
  <c r="E16" i="5"/>
  <c r="E17" i="5" s="1"/>
  <c r="H17" i="5"/>
  <c r="F60" i="5"/>
  <c r="G61" i="5"/>
  <c r="G65" i="5"/>
  <c r="G63" i="5"/>
  <c r="G68" i="5"/>
  <c r="G64" i="5"/>
  <c r="G67" i="5"/>
  <c r="G62" i="5"/>
  <c r="G66" i="5"/>
  <c r="L101" i="9" l="1"/>
  <c r="J96" i="9"/>
  <c r="J102" i="9"/>
  <c r="K100" i="9"/>
  <c r="F96" i="9"/>
  <c r="E94" i="9"/>
  <c r="G94" i="9"/>
  <c r="D88" i="9"/>
  <c r="M94" i="9"/>
  <c r="G100" i="9"/>
  <c r="L100" i="9"/>
  <c r="K101" i="9"/>
  <c r="H90" i="9"/>
  <c r="E97" i="9"/>
  <c r="M99" i="9"/>
  <c r="G90" i="9"/>
  <c r="K95" i="9"/>
  <c r="K96" i="9"/>
  <c r="H94" i="9"/>
  <c r="L102" i="9"/>
  <c r="H100" i="9"/>
  <c r="E95" i="9"/>
  <c r="I102" i="9"/>
  <c r="F100" i="9"/>
  <c r="F94" i="9"/>
  <c r="K90" i="9"/>
  <c r="L96" i="9"/>
  <c r="G101" i="9"/>
  <c r="M100" i="9"/>
  <c r="K99" i="9"/>
  <c r="I99" i="9"/>
  <c r="I100" i="9"/>
  <c r="E101" i="9"/>
  <c r="G102" i="9"/>
  <c r="J100" i="9"/>
  <c r="L95" i="9"/>
  <c r="L98" i="9"/>
  <c r="L99" i="9"/>
  <c r="H96" i="9"/>
  <c r="I97" i="9"/>
  <c r="I101" i="9"/>
  <c r="F102" i="9"/>
  <c r="I90" i="9"/>
  <c r="M98" i="9"/>
  <c r="H99" i="9"/>
  <c r="I94" i="9"/>
  <c r="G95" i="9"/>
  <c r="I98" i="9"/>
  <c r="F98" i="9"/>
  <c r="F99" i="9"/>
  <c r="J94" i="9"/>
  <c r="K94" i="9"/>
  <c r="H98" i="9"/>
  <c r="J101" i="9"/>
  <c r="M96" i="9"/>
  <c r="J95" i="9"/>
  <c r="F90" i="9"/>
  <c r="M102" i="9"/>
  <c r="G96" i="9"/>
  <c r="K102" i="9"/>
  <c r="M90" i="9"/>
  <c r="H101" i="9"/>
  <c r="H102" i="9"/>
  <c r="I96" i="9"/>
  <c r="G98" i="9"/>
  <c r="L94" i="9"/>
  <c r="E96" i="9"/>
  <c r="G99" i="9"/>
  <c r="J90" i="9"/>
  <c r="K97" i="9"/>
  <c r="J98" i="9"/>
  <c r="H97" i="9"/>
  <c r="E90" i="9"/>
  <c r="M101" i="9"/>
  <c r="L90" i="9"/>
  <c r="J97" i="9"/>
  <c r="M95" i="9"/>
  <c r="M97" i="9"/>
  <c r="G97" i="9"/>
  <c r="I95" i="9"/>
  <c r="E102" i="9"/>
  <c r="E99" i="9"/>
  <c r="H95" i="9"/>
  <c r="F101" i="9"/>
  <c r="E98" i="9"/>
  <c r="K98" i="9"/>
  <c r="L97" i="9"/>
  <c r="J99" i="9"/>
  <c r="F95" i="9"/>
  <c r="F97" i="9"/>
  <c r="E100" i="9"/>
  <c r="J72" i="9" a="1"/>
  <c r="J72" i="9" s="1"/>
  <c r="J74" i="9" s="1"/>
  <c r="H72" i="9" a="1"/>
  <c r="H72" i="9" s="1"/>
  <c r="H74" i="9" s="1"/>
  <c r="E72" i="9" a="1"/>
  <c r="E72" i="9" s="1"/>
  <c r="E74" i="9" s="1"/>
  <c r="F72" i="9" a="1"/>
  <c r="F72" i="9" s="1"/>
  <c r="F74" i="9" s="1"/>
  <c r="L72" i="9" a="1"/>
  <c r="L72" i="9" s="1"/>
  <c r="L74" i="9" s="1"/>
  <c r="K72" i="9" a="1"/>
  <c r="K72" i="9" s="1"/>
  <c r="K74" i="9" s="1"/>
  <c r="G72" i="9" a="1"/>
  <c r="G72" i="9" s="1"/>
  <c r="G74" i="9" s="1"/>
  <c r="M72" i="9" a="1"/>
  <c r="M72" i="9" s="1"/>
  <c r="M74" i="9" s="1"/>
  <c r="G60" i="5"/>
  <c r="D88" i="5" a="1"/>
  <c r="N90" i="9" l="1"/>
  <c r="N103" i="9"/>
  <c r="B78" i="9" a="1"/>
  <c r="K90" i="5"/>
  <c r="E96" i="5"/>
  <c r="K99" i="5"/>
  <c r="E100" i="5"/>
  <c r="H101" i="5"/>
  <c r="I95" i="5"/>
  <c r="G101" i="5"/>
  <c r="G96" i="5"/>
  <c r="I90" i="5"/>
  <c r="I99" i="5"/>
  <c r="I100" i="5"/>
  <c r="E102" i="5"/>
  <c r="F96" i="5"/>
  <c r="F95" i="5"/>
  <c r="J97" i="5"/>
  <c r="K100" i="5"/>
  <c r="J90" i="5"/>
  <c r="F97" i="5"/>
  <c r="M97" i="5"/>
  <c r="L98" i="5"/>
  <c r="I98" i="5"/>
  <c r="L96" i="5"/>
  <c r="I97" i="5"/>
  <c r="H94" i="5"/>
  <c r="M99" i="5"/>
  <c r="K94" i="5"/>
  <c r="G98" i="5"/>
  <c r="L100" i="5"/>
  <c r="L101" i="5"/>
  <c r="F101" i="5"/>
  <c r="G100" i="5"/>
  <c r="G94" i="5"/>
  <c r="F90" i="5"/>
  <c r="G99" i="5"/>
  <c r="G97" i="5"/>
  <c r="H95" i="5"/>
  <c r="J96" i="5"/>
  <c r="M102" i="5"/>
  <c r="M100" i="5"/>
  <c r="H100" i="5"/>
  <c r="D88" i="5"/>
  <c r="H102" i="5"/>
  <c r="M101" i="5"/>
  <c r="K95" i="5"/>
  <c r="E97" i="5"/>
  <c r="F99" i="5"/>
  <c r="L94" i="5"/>
  <c r="G90" i="5"/>
  <c r="J101" i="5"/>
  <c r="M94" i="5"/>
  <c r="J94" i="5"/>
  <c r="F102" i="5"/>
  <c r="H99" i="5"/>
  <c r="E94" i="5"/>
  <c r="F100" i="5"/>
  <c r="E98" i="5"/>
  <c r="L97" i="5"/>
  <c r="M90" i="5"/>
  <c r="H98" i="5"/>
  <c r="G102" i="5"/>
  <c r="M95" i="5"/>
  <c r="K101" i="5"/>
  <c r="E99" i="5"/>
  <c r="K102" i="5"/>
  <c r="I101" i="5"/>
  <c r="H96" i="5"/>
  <c r="F98" i="5"/>
  <c r="I96" i="5"/>
  <c r="J100" i="5"/>
  <c r="F94" i="5"/>
  <c r="K98" i="5"/>
  <c r="I102" i="5"/>
  <c r="J102" i="5"/>
  <c r="E90" i="5"/>
  <c r="J98" i="5"/>
  <c r="E101" i="5"/>
  <c r="I94" i="5"/>
  <c r="G95" i="5"/>
  <c r="L99" i="5"/>
  <c r="L102" i="5"/>
  <c r="L90" i="5"/>
  <c r="K97" i="5"/>
  <c r="J99" i="5"/>
  <c r="E95" i="5"/>
  <c r="H97" i="5"/>
  <c r="L95" i="5"/>
  <c r="H90" i="5"/>
  <c r="M96" i="5"/>
  <c r="J95" i="5"/>
  <c r="M98" i="5"/>
  <c r="K96" i="5"/>
  <c r="E72" i="5" a="1"/>
  <c r="E72" i="5" s="1"/>
  <c r="E74" i="5" s="1"/>
  <c r="M72" i="5" a="1"/>
  <c r="M72" i="5" s="1"/>
  <c r="M74" i="5" s="1"/>
  <c r="H72" i="5" a="1"/>
  <c r="H72" i="5" s="1"/>
  <c r="H74" i="5" s="1"/>
  <c r="K72" i="5" a="1"/>
  <c r="K72" i="5" s="1"/>
  <c r="K74" i="5" s="1"/>
  <c r="J72" i="5" a="1"/>
  <c r="J72" i="5" s="1"/>
  <c r="J74" i="5" s="1"/>
  <c r="G72" i="5" a="1"/>
  <c r="G72" i="5" s="1"/>
  <c r="G74" i="5" s="1"/>
  <c r="L72" i="5" a="1"/>
  <c r="L72" i="5" s="1"/>
  <c r="L74" i="5" s="1"/>
  <c r="I72" i="5" a="1"/>
  <c r="I72" i="5" s="1"/>
  <c r="I74" i="5" s="1"/>
  <c r="F72" i="5" a="1"/>
  <c r="F72" i="5" s="1"/>
  <c r="F74" i="5" s="1"/>
  <c r="K86" i="9" l="1"/>
  <c r="K114" i="9" s="1"/>
  <c r="M86" i="9"/>
  <c r="M114" i="9" s="1"/>
  <c r="H86" i="9"/>
  <c r="H114" i="9" s="1"/>
  <c r="L85" i="9"/>
  <c r="L113" i="9" s="1"/>
  <c r="F85" i="9"/>
  <c r="F113" i="9" s="1"/>
  <c r="I84" i="9"/>
  <c r="I112" i="9" s="1"/>
  <c r="M81" i="9"/>
  <c r="M109" i="9" s="1"/>
  <c r="H84" i="9"/>
  <c r="H112" i="9" s="1"/>
  <c r="G80" i="9"/>
  <c r="G108" i="9" s="1"/>
  <c r="G133" i="9" s="1"/>
  <c r="E82" i="9"/>
  <c r="I80" i="9"/>
  <c r="I108" i="9" s="1"/>
  <c r="I133" i="9" s="1"/>
  <c r="M82" i="9"/>
  <c r="M110" i="9" s="1"/>
  <c r="I85" i="9"/>
  <c r="I113" i="9" s="1"/>
  <c r="H85" i="9"/>
  <c r="H113" i="9" s="1"/>
  <c r="J83" i="9"/>
  <c r="J111" i="9" s="1"/>
  <c r="H83" i="9"/>
  <c r="H111" i="9" s="1"/>
  <c r="G79" i="9"/>
  <c r="G107" i="9" s="1"/>
  <c r="J80" i="9"/>
  <c r="J108" i="9" s="1"/>
  <c r="J133" i="9" s="1"/>
  <c r="J86" i="9"/>
  <c r="J114" i="9" s="1"/>
  <c r="E85" i="9"/>
  <c r="K85" i="9"/>
  <c r="K113" i="9" s="1"/>
  <c r="E86" i="9"/>
  <c r="I81" i="9"/>
  <c r="I109" i="9" s="1"/>
  <c r="E81" i="9"/>
  <c r="M79" i="9"/>
  <c r="M107" i="9" s="1"/>
  <c r="M132" i="9" s="1"/>
  <c r="I79" i="9"/>
  <c r="I107" i="9" s="1"/>
  <c r="L84" i="9"/>
  <c r="L112" i="9" s="1"/>
  <c r="B78" i="9"/>
  <c r="G84" i="9"/>
  <c r="G112" i="9" s="1"/>
  <c r="M83" i="9"/>
  <c r="M111" i="9" s="1"/>
  <c r="F82" i="9"/>
  <c r="F110" i="9" s="1"/>
  <c r="J81" i="9"/>
  <c r="J109" i="9" s="1"/>
  <c r="G86" i="9"/>
  <c r="G114" i="9" s="1"/>
  <c r="L82" i="9"/>
  <c r="L110" i="9" s="1"/>
  <c r="H79" i="9"/>
  <c r="H107" i="9" s="1"/>
  <c r="H132" i="9" s="1"/>
  <c r="F84" i="9"/>
  <c r="F112" i="9" s="1"/>
  <c r="K83" i="9"/>
  <c r="K111" i="9" s="1"/>
  <c r="I83" i="9"/>
  <c r="I111" i="9" s="1"/>
  <c r="G83" i="9"/>
  <c r="G111" i="9" s="1"/>
  <c r="K84" i="9"/>
  <c r="K112" i="9" s="1"/>
  <c r="H80" i="9"/>
  <c r="H108" i="9" s="1"/>
  <c r="H133" i="9" s="1"/>
  <c r="J82" i="9"/>
  <c r="J110" i="9" s="1"/>
  <c r="L80" i="9"/>
  <c r="L108" i="9" s="1"/>
  <c r="M84" i="9"/>
  <c r="M112" i="9" s="1"/>
  <c r="E83" i="9"/>
  <c r="I82" i="9"/>
  <c r="I110" i="9" s="1"/>
  <c r="K79" i="9"/>
  <c r="K107" i="9" s="1"/>
  <c r="K132" i="9" s="1"/>
  <c r="J79" i="9"/>
  <c r="J107" i="9" s="1"/>
  <c r="H82" i="9"/>
  <c r="H110" i="9" s="1"/>
  <c r="K82" i="9"/>
  <c r="K110" i="9" s="1"/>
  <c r="M85" i="9"/>
  <c r="M113" i="9" s="1"/>
  <c r="H81" i="9"/>
  <c r="H109" i="9" s="1"/>
  <c r="J84" i="9"/>
  <c r="J112" i="9" s="1"/>
  <c r="F80" i="9"/>
  <c r="F108" i="9" s="1"/>
  <c r="F133" i="9" s="1"/>
  <c r="K80" i="9"/>
  <c r="K108" i="9" s="1"/>
  <c r="K133" i="9" s="1"/>
  <c r="F79" i="9"/>
  <c r="F107" i="9" s="1"/>
  <c r="F132" i="9" s="1"/>
  <c r="I86" i="9"/>
  <c r="I114" i="9" s="1"/>
  <c r="G81" i="9"/>
  <c r="G109" i="9" s="1"/>
  <c r="L83" i="9"/>
  <c r="L111" i="9" s="1"/>
  <c r="F83" i="9"/>
  <c r="F111" i="9" s="1"/>
  <c r="E79" i="9"/>
  <c r="M80" i="9"/>
  <c r="M108" i="9" s="1"/>
  <c r="M133" i="9" s="1"/>
  <c r="G85" i="9"/>
  <c r="G113" i="9" s="1"/>
  <c r="E80" i="9"/>
  <c r="L81" i="9"/>
  <c r="L109" i="9" s="1"/>
  <c r="F81" i="9"/>
  <c r="F109" i="9" s="1"/>
  <c r="F86" i="9"/>
  <c r="F114" i="9" s="1"/>
  <c r="G82" i="9"/>
  <c r="G110" i="9" s="1"/>
  <c r="L79" i="9"/>
  <c r="L107" i="9" s="1"/>
  <c r="L132" i="9" s="1"/>
  <c r="E84" i="9"/>
  <c r="J85" i="9"/>
  <c r="J113" i="9" s="1"/>
  <c r="K81" i="9"/>
  <c r="K109" i="9" s="1"/>
  <c r="L86" i="9"/>
  <c r="L114" i="9" s="1"/>
  <c r="B78" i="5" a="1"/>
  <c r="N103" i="5"/>
  <c r="J132" i="9" l="1"/>
  <c r="L133" i="9"/>
  <c r="G132" i="9"/>
  <c r="I132" i="9"/>
  <c r="E121" i="9"/>
  <c r="E109" i="9"/>
  <c r="N109" i="9" s="1"/>
  <c r="E124" i="9"/>
  <c r="E112" i="9"/>
  <c r="N112" i="9" s="1"/>
  <c r="E125" i="9"/>
  <c r="P120" i="9" s="1"/>
  <c r="E113" i="9"/>
  <c r="N113" i="9" s="1"/>
  <c r="E123" i="9"/>
  <c r="E111" i="9"/>
  <c r="N111" i="9" s="1"/>
  <c r="E126" i="9"/>
  <c r="E114" i="9"/>
  <c r="N114" i="9" s="1"/>
  <c r="E120" i="9"/>
  <c r="E108" i="9"/>
  <c r="J78" i="9"/>
  <c r="J106" i="9" s="1"/>
  <c r="G78" i="9"/>
  <c r="G106" i="9" s="1"/>
  <c r="F78" i="9"/>
  <c r="F106" i="9" s="1"/>
  <c r="K78" i="9"/>
  <c r="K106" i="9" s="1"/>
  <c r="H78" i="9"/>
  <c r="H106" i="9" s="1"/>
  <c r="L78" i="9"/>
  <c r="L106" i="9" s="1"/>
  <c r="M78" i="9"/>
  <c r="M106" i="9" s="1"/>
  <c r="I78" i="9"/>
  <c r="I106" i="9" s="1"/>
  <c r="E78" i="9"/>
  <c r="E122" i="9"/>
  <c r="E110" i="9"/>
  <c r="N110" i="9" s="1"/>
  <c r="E119" i="9"/>
  <c r="E107" i="9"/>
  <c r="K81" i="5"/>
  <c r="K109" i="5" s="1"/>
  <c r="H85" i="5"/>
  <c r="H113" i="5" s="1"/>
  <c r="L83" i="5"/>
  <c r="L111" i="5" s="1"/>
  <c r="M85" i="5"/>
  <c r="M113" i="5" s="1"/>
  <c r="F85" i="5"/>
  <c r="F113" i="5" s="1"/>
  <c r="K84" i="5"/>
  <c r="K112" i="5" s="1"/>
  <c r="G83" i="5"/>
  <c r="G111" i="5" s="1"/>
  <c r="M81" i="5"/>
  <c r="M109" i="5" s="1"/>
  <c r="J85" i="5"/>
  <c r="J113" i="5" s="1"/>
  <c r="K85" i="5"/>
  <c r="K113" i="5" s="1"/>
  <c r="I82" i="5"/>
  <c r="I110" i="5" s="1"/>
  <c r="J82" i="5"/>
  <c r="J110" i="5" s="1"/>
  <c r="H84" i="5"/>
  <c r="H112" i="5" s="1"/>
  <c r="H79" i="5"/>
  <c r="H107" i="5" s="1"/>
  <c r="B78" i="5"/>
  <c r="K80" i="5"/>
  <c r="K108" i="5" s="1"/>
  <c r="G82" i="5"/>
  <c r="G110" i="5" s="1"/>
  <c r="H81" i="5"/>
  <c r="H109" i="5" s="1"/>
  <c r="J80" i="5"/>
  <c r="J108" i="5" s="1"/>
  <c r="K83" i="5"/>
  <c r="K111" i="5" s="1"/>
  <c r="E85" i="5"/>
  <c r="J81" i="5"/>
  <c r="J109" i="5" s="1"/>
  <c r="L85" i="5"/>
  <c r="L113" i="5" s="1"/>
  <c r="E86" i="5"/>
  <c r="L82" i="5"/>
  <c r="L110" i="5" s="1"/>
  <c r="F81" i="5"/>
  <c r="F109" i="5" s="1"/>
  <c r="L81" i="5"/>
  <c r="L109" i="5" s="1"/>
  <c r="E79" i="5"/>
  <c r="E82" i="5"/>
  <c r="G81" i="5"/>
  <c r="G109" i="5" s="1"/>
  <c r="I86" i="5"/>
  <c r="I114" i="5" s="1"/>
  <c r="J83" i="5"/>
  <c r="J111" i="5" s="1"/>
  <c r="L79" i="5"/>
  <c r="L107" i="5" s="1"/>
  <c r="G80" i="5"/>
  <c r="G108" i="5" s="1"/>
  <c r="G133" i="5" s="1"/>
  <c r="I85" i="5"/>
  <c r="I113" i="5" s="1"/>
  <c r="G79" i="5"/>
  <c r="G107" i="5" s="1"/>
  <c r="I81" i="5"/>
  <c r="I109" i="5" s="1"/>
  <c r="F82" i="5"/>
  <c r="F110" i="5" s="1"/>
  <c r="F80" i="5"/>
  <c r="F108" i="5" s="1"/>
  <c r="H82" i="5"/>
  <c r="H110" i="5" s="1"/>
  <c r="F79" i="5"/>
  <c r="F107" i="5" s="1"/>
  <c r="G86" i="5"/>
  <c r="G114" i="5" s="1"/>
  <c r="H80" i="5"/>
  <c r="H108" i="5" s="1"/>
  <c r="H83" i="5"/>
  <c r="H111" i="5" s="1"/>
  <c r="F83" i="5"/>
  <c r="F111" i="5" s="1"/>
  <c r="M82" i="5"/>
  <c r="M110" i="5" s="1"/>
  <c r="M86" i="5"/>
  <c r="M114" i="5" s="1"/>
  <c r="K82" i="5"/>
  <c r="K110" i="5" s="1"/>
  <c r="F84" i="5"/>
  <c r="F112" i="5" s="1"/>
  <c r="M84" i="5"/>
  <c r="M112" i="5" s="1"/>
  <c r="E83" i="5"/>
  <c r="E84" i="5"/>
  <c r="I79" i="5"/>
  <c r="I107" i="5" s="1"/>
  <c r="L80" i="5"/>
  <c r="L108" i="5" s="1"/>
  <c r="M83" i="5"/>
  <c r="M111" i="5" s="1"/>
  <c r="E81" i="5"/>
  <c r="F86" i="5"/>
  <c r="F114" i="5" s="1"/>
  <c r="G85" i="5"/>
  <c r="G113" i="5" s="1"/>
  <c r="H86" i="5"/>
  <c r="H114" i="5" s="1"/>
  <c r="I80" i="5"/>
  <c r="I108" i="5" s="1"/>
  <c r="G84" i="5"/>
  <c r="G112" i="5" s="1"/>
  <c r="J84" i="5"/>
  <c r="J112" i="5" s="1"/>
  <c r="L86" i="5"/>
  <c r="L114" i="5" s="1"/>
  <c r="K79" i="5"/>
  <c r="K107" i="5" s="1"/>
  <c r="M80" i="5"/>
  <c r="M108" i="5" s="1"/>
  <c r="I84" i="5"/>
  <c r="I112" i="5" s="1"/>
  <c r="K86" i="5"/>
  <c r="K114" i="5" s="1"/>
  <c r="J86" i="5"/>
  <c r="J114" i="5" s="1"/>
  <c r="L84" i="5"/>
  <c r="L112" i="5" s="1"/>
  <c r="I83" i="5"/>
  <c r="I111" i="5" s="1"/>
  <c r="E80" i="5"/>
  <c r="J79" i="5"/>
  <c r="J107" i="5" s="1"/>
  <c r="J132" i="5" s="1"/>
  <c r="M79" i="5"/>
  <c r="M107" i="5" s="1"/>
  <c r="J120" i="9" l="1"/>
  <c r="Q118" i="9"/>
  <c r="G120" i="9" a="1"/>
  <c r="G120" i="9" s="1"/>
  <c r="J119" i="9"/>
  <c r="P118" i="9"/>
  <c r="G119" i="9" a="1"/>
  <c r="G119" i="9" s="1"/>
  <c r="N108" i="9"/>
  <c r="K120" i="9" s="1"/>
  <c r="F120" i="9" s="1" a="1"/>
  <c r="F120" i="9" s="1"/>
  <c r="E133" i="9"/>
  <c r="I115" i="9"/>
  <c r="I131" i="9"/>
  <c r="Q119" i="9"/>
  <c r="L131" i="9"/>
  <c r="L115" i="9"/>
  <c r="P119" i="9"/>
  <c r="G122" i="9" a="1"/>
  <c r="G122" i="9" s="1"/>
  <c r="N87" i="9"/>
  <c r="E118" i="9"/>
  <c r="E106" i="9"/>
  <c r="K115" i="9"/>
  <c r="K131" i="9"/>
  <c r="F115" i="9"/>
  <c r="F131" i="9"/>
  <c r="O120" i="9"/>
  <c r="Q120" i="9"/>
  <c r="G126" i="9" a="1"/>
  <c r="G126" i="9" s="1"/>
  <c r="M115" i="9"/>
  <c r="M131" i="9"/>
  <c r="G131" i="9"/>
  <c r="G115" i="9"/>
  <c r="H115" i="9"/>
  <c r="H131" i="9"/>
  <c r="N107" i="9"/>
  <c r="K119" i="9" s="1"/>
  <c r="F125" i="9" s="1" a="1"/>
  <c r="F125" i="9" s="1"/>
  <c r="E132" i="9"/>
  <c r="J131" i="9"/>
  <c r="J115" i="9"/>
  <c r="O119" i="9"/>
  <c r="I133" i="5"/>
  <c r="G132" i="5"/>
  <c r="H132" i="5"/>
  <c r="F133" i="5"/>
  <c r="L132" i="5"/>
  <c r="J133" i="5"/>
  <c r="E126" i="5"/>
  <c r="E114" i="5"/>
  <c r="N114" i="5" s="1"/>
  <c r="E125" i="5"/>
  <c r="E113" i="5"/>
  <c r="N113" i="5" s="1"/>
  <c r="E121" i="5"/>
  <c r="E109" i="5"/>
  <c r="N109" i="5" s="1"/>
  <c r="H133" i="5"/>
  <c r="L133" i="5"/>
  <c r="M133" i="5"/>
  <c r="I132" i="5"/>
  <c r="F132" i="5"/>
  <c r="E122" i="5"/>
  <c r="E110" i="5"/>
  <c r="N110" i="5" s="1"/>
  <c r="K132" i="5"/>
  <c r="E124" i="5"/>
  <c r="E112" i="5"/>
  <c r="N112" i="5" s="1"/>
  <c r="E119" i="5"/>
  <c r="E107" i="5"/>
  <c r="K133" i="5"/>
  <c r="G78" i="5"/>
  <c r="G106" i="5" s="1"/>
  <c r="G131" i="5" s="1"/>
  <c r="F78" i="5"/>
  <c r="F106" i="5" s="1"/>
  <c r="F131" i="5" s="1"/>
  <c r="K78" i="5"/>
  <c r="K106" i="5" s="1"/>
  <c r="K131" i="5" s="1"/>
  <c r="E78" i="5"/>
  <c r="H78" i="5"/>
  <c r="H106" i="5" s="1"/>
  <c r="H131" i="5" s="1"/>
  <c r="I78" i="5"/>
  <c r="I106" i="5" s="1"/>
  <c r="I131" i="5" s="1"/>
  <c r="L78" i="5"/>
  <c r="L106" i="5" s="1"/>
  <c r="L131" i="5" s="1"/>
  <c r="J78" i="5"/>
  <c r="J106" i="5" s="1"/>
  <c r="J131" i="5" s="1"/>
  <c r="M78" i="5"/>
  <c r="M106" i="5" s="1"/>
  <c r="M131" i="5" s="1"/>
  <c r="E123" i="5"/>
  <c r="E111" i="5"/>
  <c r="N111" i="5" s="1"/>
  <c r="E120" i="5"/>
  <c r="E108" i="5"/>
  <c r="M132" i="5"/>
  <c r="F119" i="9" l="1" a="1"/>
  <c r="F119" i="9" s="1"/>
  <c r="P121" i="9"/>
  <c r="Q121" i="9"/>
  <c r="N106" i="9"/>
  <c r="K118" i="9" s="1"/>
  <c r="E115" i="9"/>
  <c r="N115" i="9"/>
  <c r="E131" i="9"/>
  <c r="K145" i="9" a="1"/>
  <c r="K145" i="9" s="1"/>
  <c r="K158" i="9" s="1"/>
  <c r="G145" i="9" a="1"/>
  <c r="G145" i="9" s="1"/>
  <c r="G158" i="9" s="1"/>
  <c r="H138" i="9" a="1"/>
  <c r="H138" i="9" s="1"/>
  <c r="H151" i="9" s="1"/>
  <c r="G138" i="9" a="1"/>
  <c r="G138" i="9" s="1"/>
  <c r="G151" i="9" s="1"/>
  <c r="F138" i="9" a="1"/>
  <c r="F138" i="9" s="1"/>
  <c r="F151" i="9" s="1"/>
  <c r="T118" i="9" a="1"/>
  <c r="E127" i="9"/>
  <c r="O118" i="9"/>
  <c r="O121" i="9" s="1"/>
  <c r="S118" i="9" s="1" a="1"/>
  <c r="J118" i="9"/>
  <c r="F126" i="9" a="1"/>
  <c r="F126" i="9" s="1"/>
  <c r="F122" i="9" a="1"/>
  <c r="F122" i="9" s="1"/>
  <c r="G125" i="9" a="1"/>
  <c r="G125" i="9" s="1"/>
  <c r="L119" i="9"/>
  <c r="O135" i="9" s="1"/>
  <c r="G139" i="9" a="1"/>
  <c r="G139" i="9" s="1"/>
  <c r="G152" i="9" s="1"/>
  <c r="H139" i="9" a="1"/>
  <c r="H139" i="9" s="1"/>
  <c r="H152" i="9" s="1"/>
  <c r="L139" i="9" a="1"/>
  <c r="L139" i="9" s="1"/>
  <c r="L152" i="9" s="1"/>
  <c r="U118" i="9" a="1"/>
  <c r="F123" i="9" a="1"/>
  <c r="F123" i="9" s="1"/>
  <c r="G123" i="9" a="1"/>
  <c r="G123" i="9" s="1"/>
  <c r="L120" i="9"/>
  <c r="O139" i="9" s="1"/>
  <c r="J119" i="5"/>
  <c r="G122" i="5" s="1" a="1"/>
  <c r="G122" i="5" s="1"/>
  <c r="N107" i="5"/>
  <c r="K119" i="5" s="1"/>
  <c r="F125" i="5" s="1" a="1"/>
  <c r="F125" i="5" s="1"/>
  <c r="E132" i="5"/>
  <c r="N108" i="5"/>
  <c r="K120" i="5" s="1"/>
  <c r="F120" i="5" s="1" a="1"/>
  <c r="F120" i="5" s="1"/>
  <c r="E133" i="5"/>
  <c r="J120" i="5"/>
  <c r="G120" i="5" s="1" a="1"/>
  <c r="G120" i="5" s="1"/>
  <c r="N87" i="5"/>
  <c r="E118" i="5"/>
  <c r="E106" i="5"/>
  <c r="E138" i="9" l="1" a="1"/>
  <c r="E138" i="9" s="1"/>
  <c r="E151" i="9" s="1"/>
  <c r="F145" i="9" a="1"/>
  <c r="F145" i="9" s="1"/>
  <c r="F158" i="9" s="1"/>
  <c r="F196" i="9" s="1"/>
  <c r="M145" i="9" a="1"/>
  <c r="M145" i="9" s="1"/>
  <c r="M158" i="9" s="1"/>
  <c r="E145" i="9" a="1"/>
  <c r="E145" i="9" s="1"/>
  <c r="E158" i="9" s="1"/>
  <c r="H141" i="9" a="1"/>
  <c r="H141" i="9" s="1"/>
  <c r="H154" i="9" s="1"/>
  <c r="M141" i="9" a="1"/>
  <c r="M141" i="9" s="1"/>
  <c r="M154" i="9" s="1"/>
  <c r="M139" i="9" a="1"/>
  <c r="M139" i="9" s="1"/>
  <c r="M152" i="9" s="1"/>
  <c r="V152" i="9" s="1"/>
  <c r="F141" i="9" a="1"/>
  <c r="F141" i="9" s="1"/>
  <c r="F154" i="9" s="1"/>
  <c r="J141" i="9" a="1"/>
  <c r="J141" i="9" s="1"/>
  <c r="J154" i="9" s="1"/>
  <c r="S154" i="9" s="1"/>
  <c r="I139" i="9" a="1"/>
  <c r="I139" i="9" s="1"/>
  <c r="I152" i="9" s="1"/>
  <c r="I179" i="9" s="1"/>
  <c r="I183" i="9" s="1"/>
  <c r="L141" i="9" a="1"/>
  <c r="L141" i="9" s="1"/>
  <c r="L154" i="9" s="1"/>
  <c r="K138" i="9" a="1"/>
  <c r="K138" i="9" s="1"/>
  <c r="K151" i="9" s="1"/>
  <c r="T151" i="9" s="1"/>
  <c r="J139" i="9" a="1"/>
  <c r="J139" i="9" s="1"/>
  <c r="J152" i="9" s="1"/>
  <c r="G141" i="9" a="1"/>
  <c r="G141" i="9" s="1"/>
  <c r="G154" i="9" s="1"/>
  <c r="G178" i="9" s="1"/>
  <c r="G182" i="9" s="1"/>
  <c r="K139" i="9" a="1"/>
  <c r="K139" i="9" s="1"/>
  <c r="K152" i="9" s="1"/>
  <c r="E139" i="9" a="1"/>
  <c r="E139" i="9" s="1"/>
  <c r="E152" i="9" s="1"/>
  <c r="E179" i="9" s="1"/>
  <c r="E183" i="9" s="1"/>
  <c r="L138" i="9" a="1"/>
  <c r="L138" i="9" s="1"/>
  <c r="L151" i="9" s="1"/>
  <c r="H145" i="9" a="1"/>
  <c r="H145" i="9" s="1"/>
  <c r="H158" i="9" s="1"/>
  <c r="H179" i="9" s="1"/>
  <c r="H183" i="9" s="1"/>
  <c r="R152" i="9"/>
  <c r="U152" i="9"/>
  <c r="M179" i="9"/>
  <c r="M183" i="9" s="1"/>
  <c r="M138" i="9" a="1"/>
  <c r="M138" i="9" s="1"/>
  <c r="M151" i="9" s="1"/>
  <c r="I145" i="9" a="1"/>
  <c r="I145" i="9" s="1"/>
  <c r="I158" i="9" s="1"/>
  <c r="P158" i="9"/>
  <c r="U151" i="9"/>
  <c r="O154" i="9"/>
  <c r="L145" i="9" a="1"/>
  <c r="L145" i="9" s="1"/>
  <c r="L158" i="9" s="1"/>
  <c r="S152" i="9"/>
  <c r="N152" i="9"/>
  <c r="F190" i="9"/>
  <c r="V158" i="9"/>
  <c r="N158" i="9"/>
  <c r="T152" i="9"/>
  <c r="N151" i="9"/>
  <c r="F189" i="9"/>
  <c r="P151" i="9"/>
  <c r="K141" i="9" a="1"/>
  <c r="K141" i="9" s="1"/>
  <c r="K154" i="9" s="1"/>
  <c r="S118" i="9"/>
  <c r="T158" i="9"/>
  <c r="U154" i="9"/>
  <c r="E142" i="9" a="1"/>
  <c r="E142" i="9" s="1"/>
  <c r="E155" i="9" s="1"/>
  <c r="J142" i="9" a="1"/>
  <c r="J142" i="9" s="1"/>
  <c r="J155" i="9" s="1"/>
  <c r="J179" i="9" s="1"/>
  <c r="J183" i="9" s="1"/>
  <c r="M142" i="9" a="1"/>
  <c r="M142" i="9" s="1"/>
  <c r="M155" i="9" s="1"/>
  <c r="L142" i="9" a="1"/>
  <c r="L142" i="9" s="1"/>
  <c r="L155" i="9" s="1"/>
  <c r="L179" i="9" s="1"/>
  <c r="L183" i="9" s="1"/>
  <c r="H142" i="9" a="1"/>
  <c r="H142" i="9" s="1"/>
  <c r="H155" i="9" s="1"/>
  <c r="K142" i="9" a="1"/>
  <c r="K142" i="9" s="1"/>
  <c r="K155" i="9" s="1"/>
  <c r="K179" i="9" s="1"/>
  <c r="K183" i="9" s="1"/>
  <c r="F142" i="9" a="1"/>
  <c r="F142" i="9" s="1"/>
  <c r="F155" i="9" s="1"/>
  <c r="G142" i="9" a="1"/>
  <c r="G142" i="9" s="1"/>
  <c r="G155" i="9" s="1"/>
  <c r="I142" i="9" a="1"/>
  <c r="I142" i="9" s="1"/>
  <c r="I155" i="9" s="1"/>
  <c r="R135" i="9"/>
  <c r="T135" i="9"/>
  <c r="Q135" i="9"/>
  <c r="S135" i="9"/>
  <c r="P135" i="9"/>
  <c r="X135" i="9"/>
  <c r="W135" i="9"/>
  <c r="U135" i="9"/>
  <c r="V135" i="9"/>
  <c r="P136" i="9" s="1" a="1"/>
  <c r="P136" i="9" s="1"/>
  <c r="J138" i="9" a="1"/>
  <c r="J138" i="9" s="1"/>
  <c r="J151" i="9" s="1"/>
  <c r="E141" i="9" a="1"/>
  <c r="E141" i="9" s="1"/>
  <c r="E154" i="9" s="1"/>
  <c r="E178" i="9" s="1"/>
  <c r="E182" i="9" s="1"/>
  <c r="V154" i="9"/>
  <c r="T118" i="9"/>
  <c r="O151" i="9"/>
  <c r="R139" i="9"/>
  <c r="X139" i="9"/>
  <c r="V139" i="9"/>
  <c r="Q139" i="9"/>
  <c r="W139" i="9"/>
  <c r="U139" i="9"/>
  <c r="P139" i="9"/>
  <c r="S139" i="9"/>
  <c r="T139" i="9"/>
  <c r="F139" i="9" a="1"/>
  <c r="F139" i="9" s="1"/>
  <c r="F152" i="9" s="1"/>
  <c r="G144" i="9" a="1"/>
  <c r="G144" i="9" s="1"/>
  <c r="G157" i="9" s="1"/>
  <c r="F144" i="9" a="1"/>
  <c r="F144" i="9" s="1"/>
  <c r="F157" i="9" s="1"/>
  <c r="F178" i="9" s="1"/>
  <c r="F182" i="9" s="1"/>
  <c r="H144" i="9" a="1"/>
  <c r="H144" i="9" s="1"/>
  <c r="H157" i="9" s="1"/>
  <c r="H178" i="9" s="1"/>
  <c r="H182" i="9" s="1"/>
  <c r="J144" i="9" a="1"/>
  <c r="J144" i="9" s="1"/>
  <c r="J157" i="9" s="1"/>
  <c r="L144" i="9" a="1"/>
  <c r="L144" i="9" s="1"/>
  <c r="L157" i="9" s="1"/>
  <c r="L178" i="9" s="1"/>
  <c r="L182" i="9" s="1"/>
  <c r="E144" i="9" a="1"/>
  <c r="E144" i="9" s="1"/>
  <c r="E157" i="9" s="1"/>
  <c r="K144" i="9" a="1"/>
  <c r="K144" i="9" s="1"/>
  <c r="K157" i="9" s="1"/>
  <c r="K178" i="9" s="1"/>
  <c r="K182" i="9" s="1"/>
  <c r="I144" i="9" a="1"/>
  <c r="I144" i="9" s="1"/>
  <c r="I157" i="9" s="1"/>
  <c r="R157" i="9" s="1"/>
  <c r="M144" i="9" a="1"/>
  <c r="M144" i="9" s="1"/>
  <c r="M157" i="9" s="1"/>
  <c r="I138" i="9" a="1"/>
  <c r="I138" i="9" s="1"/>
  <c r="I151" i="9" s="1"/>
  <c r="I141" i="9" a="1"/>
  <c r="I141" i="9" s="1"/>
  <c r="I154" i="9" s="1"/>
  <c r="G118" i="9" a="1"/>
  <c r="G118" i="9" s="1"/>
  <c r="L118" i="9"/>
  <c r="O131" i="9" s="1"/>
  <c r="G124" i="9" a="1"/>
  <c r="G124" i="9" s="1"/>
  <c r="G121" i="9" a="1"/>
  <c r="G121" i="9" s="1"/>
  <c r="Q154" i="9"/>
  <c r="Q152" i="9"/>
  <c r="P152" i="9"/>
  <c r="G179" i="9"/>
  <c r="G183" i="9" s="1"/>
  <c r="U118" i="9"/>
  <c r="Q151" i="9"/>
  <c r="J145" i="9" a="1"/>
  <c r="J145" i="9" s="1"/>
  <c r="J158" i="9" s="1"/>
  <c r="F118" i="9" a="1"/>
  <c r="F118" i="9" s="1"/>
  <c r="F124" i="9" a="1"/>
  <c r="F124" i="9" s="1"/>
  <c r="F121" i="9" a="1"/>
  <c r="F121" i="9" s="1"/>
  <c r="G123" i="5" a="1"/>
  <c r="G123" i="5" s="1"/>
  <c r="G119" i="5" a="1"/>
  <c r="G119" i="5" s="1"/>
  <c r="G125" i="5" a="1"/>
  <c r="G125" i="5" s="1"/>
  <c r="F119" i="5" a="1"/>
  <c r="F119" i="5" s="1"/>
  <c r="F126" i="5" a="1"/>
  <c r="F126" i="5" s="1"/>
  <c r="F123" i="5" a="1"/>
  <c r="F123" i="5" s="1"/>
  <c r="G126" i="5" a="1"/>
  <c r="G126" i="5" s="1"/>
  <c r="L120" i="5"/>
  <c r="I139" i="5" s="1" a="1"/>
  <c r="I139" i="5" s="1"/>
  <c r="I152" i="5" s="1"/>
  <c r="G139" i="5" a="1"/>
  <c r="G139" i="5" s="1"/>
  <c r="G152" i="5" s="1"/>
  <c r="E131" i="5"/>
  <c r="N115" i="5"/>
  <c r="N106" i="5"/>
  <c r="K118" i="5" s="1"/>
  <c r="F122" i="5" a="1"/>
  <c r="F122" i="5" s="1"/>
  <c r="L119" i="5"/>
  <c r="E127" i="5"/>
  <c r="J118" i="5"/>
  <c r="P154" i="9" l="1"/>
  <c r="O158" i="9"/>
  <c r="Q158" i="9"/>
  <c r="W158" i="9" s="1"/>
  <c r="P140" i="9" a="1"/>
  <c r="P140" i="9" s="1"/>
  <c r="J140" i="9" a="1"/>
  <c r="J140" i="9" s="1"/>
  <c r="J153" i="9" s="1"/>
  <c r="E140" i="9" a="1"/>
  <c r="E140" i="9" s="1"/>
  <c r="E153" i="9" s="1"/>
  <c r="I140" i="9" a="1"/>
  <c r="I140" i="9" s="1"/>
  <c r="I153" i="9" s="1"/>
  <c r="F140" i="9" a="1"/>
  <c r="F140" i="9" s="1"/>
  <c r="F153" i="9" s="1"/>
  <c r="H140" i="9" a="1"/>
  <c r="H140" i="9" s="1"/>
  <c r="H153" i="9" s="1"/>
  <c r="M140" i="9" a="1"/>
  <c r="M140" i="9" s="1"/>
  <c r="M153" i="9" s="1"/>
  <c r="L140" i="9" a="1"/>
  <c r="L140" i="9" s="1"/>
  <c r="L153" i="9" s="1"/>
  <c r="U153" i="9" s="1"/>
  <c r="K140" i="9" a="1"/>
  <c r="K140" i="9" s="1"/>
  <c r="K153" i="9" s="1"/>
  <c r="G140" i="9" a="1"/>
  <c r="G140" i="9" s="1"/>
  <c r="G153" i="9" s="1"/>
  <c r="O157" i="9"/>
  <c r="R131" i="9"/>
  <c r="X131" i="9"/>
  <c r="P131" i="9"/>
  <c r="V131" i="9"/>
  <c r="U131" i="9"/>
  <c r="Q131" i="9"/>
  <c r="W131" i="9"/>
  <c r="T131" i="9"/>
  <c r="S131" i="9"/>
  <c r="P157" i="9"/>
  <c r="N155" i="9"/>
  <c r="F193" i="9"/>
  <c r="H137" i="9" a="1"/>
  <c r="H137" i="9" s="1"/>
  <c r="H150" i="9" s="1"/>
  <c r="M137" i="9" a="1"/>
  <c r="M137" i="9" s="1"/>
  <c r="M150" i="9" s="1"/>
  <c r="I137" i="9" a="1"/>
  <c r="I137" i="9" s="1"/>
  <c r="I150" i="9" s="1"/>
  <c r="K137" i="9" a="1"/>
  <c r="K137" i="9" s="1"/>
  <c r="K150" i="9" s="1"/>
  <c r="G137" i="9" a="1"/>
  <c r="G137" i="9" s="1"/>
  <c r="G150" i="9" s="1"/>
  <c r="E137" i="9" a="1"/>
  <c r="E137" i="9" s="1"/>
  <c r="E150" i="9" s="1"/>
  <c r="F137" i="9" a="1"/>
  <c r="F137" i="9" s="1"/>
  <c r="F150" i="9" s="1"/>
  <c r="L137" i="9" a="1"/>
  <c r="L137" i="9" s="1"/>
  <c r="L150" i="9" s="1"/>
  <c r="J137" i="9" a="1"/>
  <c r="J137" i="9" s="1"/>
  <c r="J150" i="9" s="1"/>
  <c r="R155" i="9"/>
  <c r="U158" i="9"/>
  <c r="P155" i="9"/>
  <c r="V157" i="9"/>
  <c r="S151" i="9"/>
  <c r="J178" i="9"/>
  <c r="J182" i="9" s="1"/>
  <c r="O155" i="9"/>
  <c r="R151" i="9"/>
  <c r="W151" i="9" s="1"/>
  <c r="I178" i="9"/>
  <c r="I182" i="9" s="1"/>
  <c r="N182" i="9" s="1"/>
  <c r="N157" i="9"/>
  <c r="F195" i="9"/>
  <c r="T155" i="9"/>
  <c r="T154" i="9"/>
  <c r="R154" i="9"/>
  <c r="S158" i="9"/>
  <c r="Q155" i="9"/>
  <c r="N154" i="9"/>
  <c r="W154" i="9" s="1"/>
  <c r="F192" i="9"/>
  <c r="S157" i="9"/>
  <c r="U155" i="9"/>
  <c r="R158" i="9"/>
  <c r="T157" i="9"/>
  <c r="Q157" i="9"/>
  <c r="V155" i="9"/>
  <c r="V151" i="9"/>
  <c r="M178" i="9"/>
  <c r="M182" i="9" s="1"/>
  <c r="O152" i="9"/>
  <c r="W152" i="9" s="1"/>
  <c r="F179" i="9"/>
  <c r="F183" i="9" s="1"/>
  <c r="N183" i="9" s="1"/>
  <c r="U157" i="9"/>
  <c r="G127" i="9"/>
  <c r="M143" i="9" a="1"/>
  <c r="M143" i="9" s="1"/>
  <c r="M156" i="9" s="1"/>
  <c r="F143" i="9" a="1"/>
  <c r="F143" i="9" s="1"/>
  <c r="F156" i="9" s="1"/>
  <c r="J143" i="9" a="1"/>
  <c r="J143" i="9" s="1"/>
  <c r="J156" i="9" s="1"/>
  <c r="K143" i="9" a="1"/>
  <c r="K143" i="9" s="1"/>
  <c r="K156" i="9" s="1"/>
  <c r="I143" i="9" a="1"/>
  <c r="I143" i="9" s="1"/>
  <c r="I156" i="9" s="1"/>
  <c r="L143" i="9" a="1"/>
  <c r="L143" i="9" s="1"/>
  <c r="L156" i="9" s="1"/>
  <c r="H143" i="9" a="1"/>
  <c r="H143" i="9" s="1"/>
  <c r="H156" i="9" s="1"/>
  <c r="E143" i="9" a="1"/>
  <c r="E143" i="9" s="1"/>
  <c r="E156" i="9" s="1"/>
  <c r="G143" i="9" a="1"/>
  <c r="G143" i="9" s="1"/>
  <c r="G156" i="9" s="1"/>
  <c r="S155" i="9"/>
  <c r="M142" i="5" a="1"/>
  <c r="M142" i="5" s="1"/>
  <c r="M155" i="5" s="1"/>
  <c r="L142" i="5" a="1"/>
  <c r="L142" i="5" s="1"/>
  <c r="L155" i="5" s="1"/>
  <c r="G142" i="5" a="1"/>
  <c r="G142" i="5" s="1"/>
  <c r="G155" i="5" s="1"/>
  <c r="H142" i="5" a="1"/>
  <c r="H142" i="5" s="1"/>
  <c r="H155" i="5" s="1"/>
  <c r="L145" i="5" a="1"/>
  <c r="L145" i="5" s="1"/>
  <c r="L158" i="5" s="1"/>
  <c r="H145" i="5" a="1"/>
  <c r="H145" i="5" s="1"/>
  <c r="H158" i="5" s="1"/>
  <c r="G145" i="5" a="1"/>
  <c r="G145" i="5" s="1"/>
  <c r="G158" i="5" s="1"/>
  <c r="G179" i="5" s="1"/>
  <c r="G183" i="5" s="1"/>
  <c r="I145" i="5" a="1"/>
  <c r="I145" i="5" s="1"/>
  <c r="I158" i="5" s="1"/>
  <c r="F145" i="5" a="1"/>
  <c r="F145" i="5" s="1"/>
  <c r="F158" i="5" s="1"/>
  <c r="M145" i="5" a="1"/>
  <c r="M145" i="5" s="1"/>
  <c r="M158" i="5" s="1"/>
  <c r="K145" i="5" a="1"/>
  <c r="K145" i="5" s="1"/>
  <c r="K158" i="5" s="1"/>
  <c r="E145" i="5" a="1"/>
  <c r="E145" i="5" s="1"/>
  <c r="E158" i="5" s="1"/>
  <c r="J145" i="5" a="1"/>
  <c r="J145" i="5" s="1"/>
  <c r="J158" i="5" s="1"/>
  <c r="G138" i="5" a="1"/>
  <c r="G138" i="5" s="1"/>
  <c r="G151" i="5" s="1"/>
  <c r="H138" i="5" a="1"/>
  <c r="H138" i="5" s="1"/>
  <c r="H151" i="5" s="1"/>
  <c r="G144" i="5" a="1"/>
  <c r="G144" i="5" s="1"/>
  <c r="G157" i="5" s="1"/>
  <c r="J138" i="5" a="1"/>
  <c r="J138" i="5" s="1"/>
  <c r="J151" i="5" s="1"/>
  <c r="F144" i="5" a="1"/>
  <c r="F144" i="5" s="1"/>
  <c r="F157" i="5" s="1"/>
  <c r="M144" i="5" a="1"/>
  <c r="M144" i="5" s="1"/>
  <c r="M157" i="5" s="1"/>
  <c r="L141" i="5" a="1"/>
  <c r="L141" i="5" s="1"/>
  <c r="L154" i="5" s="1"/>
  <c r="H144" i="5" a="1"/>
  <c r="H144" i="5" s="1"/>
  <c r="H157" i="5" s="1"/>
  <c r="J144" i="5" a="1"/>
  <c r="J144" i="5" s="1"/>
  <c r="J157" i="5" s="1"/>
  <c r="E138" i="5" a="1"/>
  <c r="E138" i="5" s="1"/>
  <c r="E151" i="5" s="1"/>
  <c r="I138" i="5" a="1"/>
  <c r="I138" i="5" s="1"/>
  <c r="I151" i="5" s="1"/>
  <c r="L138" i="5" a="1"/>
  <c r="L138" i="5" s="1"/>
  <c r="L151" i="5" s="1"/>
  <c r="L144" i="5" a="1"/>
  <c r="L144" i="5" s="1"/>
  <c r="L157" i="5" s="1"/>
  <c r="K138" i="5" a="1"/>
  <c r="K138" i="5" s="1"/>
  <c r="K151" i="5" s="1"/>
  <c r="H141" i="5" a="1"/>
  <c r="H141" i="5" s="1"/>
  <c r="H154" i="5" s="1"/>
  <c r="I144" i="5" a="1"/>
  <c r="I144" i="5" s="1"/>
  <c r="I157" i="5" s="1"/>
  <c r="K144" i="5" a="1"/>
  <c r="K144" i="5" s="1"/>
  <c r="K157" i="5" s="1"/>
  <c r="E144" i="5" a="1"/>
  <c r="E144" i="5" s="1"/>
  <c r="E157" i="5" s="1"/>
  <c r="K141" i="5" a="1"/>
  <c r="K141" i="5" s="1"/>
  <c r="K154" i="5" s="1"/>
  <c r="F138" i="5" a="1"/>
  <c r="F138" i="5" s="1"/>
  <c r="F151" i="5" s="1"/>
  <c r="I141" i="5" a="1"/>
  <c r="I141" i="5" s="1"/>
  <c r="I154" i="5" s="1"/>
  <c r="G141" i="5" a="1"/>
  <c r="G141" i="5" s="1"/>
  <c r="G154" i="5" s="1"/>
  <c r="E141" i="5" a="1"/>
  <c r="E141" i="5" s="1"/>
  <c r="E154" i="5" s="1"/>
  <c r="J141" i="5" a="1"/>
  <c r="J141" i="5" s="1"/>
  <c r="J154" i="5" s="1"/>
  <c r="M141" i="5" a="1"/>
  <c r="M141" i="5" s="1"/>
  <c r="M154" i="5" s="1"/>
  <c r="F141" i="5" a="1"/>
  <c r="F141" i="5" s="1"/>
  <c r="F154" i="5" s="1"/>
  <c r="M138" i="5" a="1"/>
  <c r="M138" i="5" s="1"/>
  <c r="M151" i="5" s="1"/>
  <c r="E142" i="5" a="1"/>
  <c r="E142" i="5" s="1"/>
  <c r="E155" i="5" s="1"/>
  <c r="M139" i="5" a="1"/>
  <c r="M139" i="5" s="1"/>
  <c r="M152" i="5" s="1"/>
  <c r="I142" i="5" a="1"/>
  <c r="I142" i="5" s="1"/>
  <c r="I155" i="5" s="1"/>
  <c r="K142" i="5" a="1"/>
  <c r="K142" i="5" s="1"/>
  <c r="K155" i="5" s="1"/>
  <c r="F121" i="5" a="1"/>
  <c r="F121" i="5" s="1"/>
  <c r="F118" i="5" a="1"/>
  <c r="F118" i="5" s="1"/>
  <c r="F124" i="5" a="1"/>
  <c r="F124" i="5" s="1"/>
  <c r="F142" i="5" a="1"/>
  <c r="F142" i="5" s="1"/>
  <c r="F155" i="5" s="1"/>
  <c r="L118" i="5"/>
  <c r="G124" i="5" a="1"/>
  <c r="G124" i="5" s="1"/>
  <c r="G121" i="5" a="1"/>
  <c r="G121" i="5" s="1"/>
  <c r="G118" i="5" a="1"/>
  <c r="G118" i="5" s="1"/>
  <c r="H139" i="5" a="1"/>
  <c r="H139" i="5" s="1"/>
  <c r="H152" i="5" s="1"/>
  <c r="K139" i="5" a="1"/>
  <c r="K139" i="5" s="1"/>
  <c r="K152" i="5" s="1"/>
  <c r="F139" i="5" a="1"/>
  <c r="F139" i="5" s="1"/>
  <c r="F152" i="5" s="1"/>
  <c r="J139" i="5" a="1"/>
  <c r="J139" i="5" s="1"/>
  <c r="J152" i="5" s="1"/>
  <c r="L139" i="5" a="1"/>
  <c r="L139" i="5" s="1"/>
  <c r="L152" i="5" s="1"/>
  <c r="L179" i="5" s="1"/>
  <c r="L183" i="5" s="1"/>
  <c r="E139" i="5" a="1"/>
  <c r="E139" i="5" s="1"/>
  <c r="E152" i="5" s="1"/>
  <c r="J142" i="5" a="1"/>
  <c r="J142" i="5" s="1"/>
  <c r="J155" i="5" s="1"/>
  <c r="P132" i="9" l="1" a="1"/>
  <c r="P132" i="9" s="1"/>
  <c r="W157" i="9"/>
  <c r="T153" i="9"/>
  <c r="G177" i="9"/>
  <c r="G181" i="9" s="1"/>
  <c r="G184" i="9" s="1"/>
  <c r="G200" i="9" s="1"/>
  <c r="P156" i="9"/>
  <c r="Q156" i="9"/>
  <c r="P153" i="9"/>
  <c r="N150" i="9"/>
  <c r="E177" i="9"/>
  <c r="E181" i="9" s="1"/>
  <c r="N159" i="9"/>
  <c r="U156" i="9"/>
  <c r="U150" i="9"/>
  <c r="L177" i="9"/>
  <c r="L181" i="9" s="1"/>
  <c r="L184" i="9" s="1"/>
  <c r="L200" i="9" s="1"/>
  <c r="V156" i="9"/>
  <c r="P150" i="9"/>
  <c r="V153" i="9"/>
  <c r="O150" i="9"/>
  <c r="T150" i="9"/>
  <c r="K177" i="9"/>
  <c r="K181" i="9" s="1"/>
  <c r="K184" i="9" s="1"/>
  <c r="K200" i="9"/>
  <c r="Q153" i="9"/>
  <c r="R156" i="9"/>
  <c r="R150" i="9"/>
  <c r="I177" i="9"/>
  <c r="I181" i="9" s="1"/>
  <c r="I184" i="9" s="1"/>
  <c r="I203" i="9" s="1"/>
  <c r="F177" i="9"/>
  <c r="F181" i="9" s="1"/>
  <c r="F184" i="9" s="1"/>
  <c r="F203" i="9" s="1"/>
  <c r="O153" i="9"/>
  <c r="F188" i="9"/>
  <c r="S150" i="9"/>
  <c r="J177" i="9"/>
  <c r="J181" i="9" s="1"/>
  <c r="J184" i="9" s="1"/>
  <c r="J206" i="9" s="1"/>
  <c r="O156" i="9"/>
  <c r="W155" i="9"/>
  <c r="V150" i="9"/>
  <c r="M177" i="9"/>
  <c r="M181" i="9" s="1"/>
  <c r="M184" i="9" s="1"/>
  <c r="R153" i="9"/>
  <c r="S156" i="9"/>
  <c r="Q150" i="9"/>
  <c r="H177" i="9"/>
  <c r="H181" i="9" s="1"/>
  <c r="H184" i="9" s="1"/>
  <c r="H206" i="9" s="1"/>
  <c r="N153" i="9"/>
  <c r="F191" i="9"/>
  <c r="T156" i="9"/>
  <c r="N156" i="9"/>
  <c r="F194" i="9"/>
  <c r="S153" i="9"/>
  <c r="I178" i="5"/>
  <c r="I182" i="5" s="1"/>
  <c r="L178" i="5"/>
  <c r="L182" i="5" s="1"/>
  <c r="I179" i="5"/>
  <c r="I183" i="5" s="1"/>
  <c r="F189" i="5"/>
  <c r="F178" i="5"/>
  <c r="F182" i="5" s="1"/>
  <c r="F192" i="5"/>
  <c r="J179" i="5"/>
  <c r="J183" i="5" s="1"/>
  <c r="F195" i="5"/>
  <c r="E178" i="5"/>
  <c r="E182" i="5" s="1"/>
  <c r="F179" i="5"/>
  <c r="F183" i="5" s="1"/>
  <c r="F193" i="5"/>
  <c r="F190" i="5"/>
  <c r="E179" i="5"/>
  <c r="E183" i="5" s="1"/>
  <c r="K179" i="5"/>
  <c r="K183" i="5" s="1"/>
  <c r="M179" i="5"/>
  <c r="M183" i="5" s="1"/>
  <c r="H179" i="5"/>
  <c r="H183" i="5" s="1"/>
  <c r="J178" i="5"/>
  <c r="J182" i="5" s="1"/>
  <c r="M137" i="5" a="1"/>
  <c r="M137" i="5" s="1"/>
  <c r="M150" i="5" s="1"/>
  <c r="L137" i="5" a="1"/>
  <c r="L137" i="5" s="1"/>
  <c r="L150" i="5" s="1"/>
  <c r="J137" i="5" a="1"/>
  <c r="J137" i="5" s="1"/>
  <c r="J150" i="5" s="1"/>
  <c r="K137" i="5" a="1"/>
  <c r="K137" i="5" s="1"/>
  <c r="K150" i="5" s="1"/>
  <c r="H137" i="5" a="1"/>
  <c r="H137" i="5" s="1"/>
  <c r="H150" i="5" s="1"/>
  <c r="I137" i="5" a="1"/>
  <c r="I137" i="5" s="1"/>
  <c r="I150" i="5" s="1"/>
  <c r="G137" i="5" a="1"/>
  <c r="G137" i="5" s="1"/>
  <c r="G150" i="5" s="1"/>
  <c r="F137" i="5" a="1"/>
  <c r="F137" i="5" s="1"/>
  <c r="F150" i="5" s="1"/>
  <c r="G127" i="5"/>
  <c r="E137" i="5" a="1"/>
  <c r="E137" i="5" s="1"/>
  <c r="E150" i="5" s="1"/>
  <c r="M178" i="5"/>
  <c r="M182" i="5" s="1"/>
  <c r="G178" i="5"/>
  <c r="G182" i="5" s="1"/>
  <c r="M140" i="5" a="1"/>
  <c r="M140" i="5" s="1"/>
  <c r="M153" i="5" s="1"/>
  <c r="G140" i="5" a="1"/>
  <c r="G140" i="5" s="1"/>
  <c r="G153" i="5" s="1"/>
  <c r="E140" i="5" a="1"/>
  <c r="E140" i="5" s="1"/>
  <c r="E153" i="5" s="1"/>
  <c r="L140" i="5" a="1"/>
  <c r="L140" i="5" s="1"/>
  <c r="L153" i="5" s="1"/>
  <c r="J140" i="5" a="1"/>
  <c r="J140" i="5" s="1"/>
  <c r="J153" i="5" s="1"/>
  <c r="K140" i="5" a="1"/>
  <c r="K140" i="5" s="1"/>
  <c r="K153" i="5" s="1"/>
  <c r="I140" i="5" a="1"/>
  <c r="I140" i="5" s="1"/>
  <c r="I153" i="5" s="1"/>
  <c r="H140" i="5" a="1"/>
  <c r="H140" i="5" s="1"/>
  <c r="H153" i="5" s="1"/>
  <c r="F140" i="5" a="1"/>
  <c r="F140" i="5" s="1"/>
  <c r="F153" i="5" s="1"/>
  <c r="K178" i="5"/>
  <c r="K182" i="5" s="1"/>
  <c r="H178" i="5"/>
  <c r="H182" i="5" s="1"/>
  <c r="F196" i="5"/>
  <c r="L143" i="5" a="1"/>
  <c r="L143" i="5" s="1"/>
  <c r="L156" i="5" s="1"/>
  <c r="K143" i="5" a="1"/>
  <c r="K143" i="5" s="1"/>
  <c r="K156" i="5" s="1"/>
  <c r="H143" i="5" a="1"/>
  <c r="H143" i="5" s="1"/>
  <c r="H156" i="5" s="1"/>
  <c r="M143" i="5" a="1"/>
  <c r="M143" i="5" s="1"/>
  <c r="M156" i="5" s="1"/>
  <c r="I143" i="5" a="1"/>
  <c r="I143" i="5" s="1"/>
  <c r="I156" i="5" s="1"/>
  <c r="F143" i="5" a="1"/>
  <c r="F143" i="5" s="1"/>
  <c r="F156" i="5" s="1"/>
  <c r="E143" i="5" a="1"/>
  <c r="E143" i="5" s="1"/>
  <c r="E156" i="5" s="1"/>
  <c r="J143" i="5" a="1"/>
  <c r="J143" i="5" s="1"/>
  <c r="J156" i="5" s="1"/>
  <c r="G143" i="5" a="1"/>
  <c r="G143" i="5" s="1"/>
  <c r="G156" i="5" s="1"/>
  <c r="W156" i="9" l="1"/>
  <c r="F206" i="9"/>
  <c r="G203" i="9"/>
  <c r="J203" i="9"/>
  <c r="W153" i="9"/>
  <c r="E184" i="9"/>
  <c r="N181" i="9"/>
  <c r="I206" i="9"/>
  <c r="L203" i="9"/>
  <c r="L202" i="9"/>
  <c r="L201" i="9"/>
  <c r="L204" i="9"/>
  <c r="L207" i="9"/>
  <c r="L205" i="9"/>
  <c r="L208" i="9"/>
  <c r="G206" i="9"/>
  <c r="G201" i="9"/>
  <c r="G208" i="9"/>
  <c r="G204" i="9"/>
  <c r="G202" i="9"/>
  <c r="G205" i="9"/>
  <c r="G207" i="9"/>
  <c r="M202" i="9"/>
  <c r="M204" i="9"/>
  <c r="M208" i="9"/>
  <c r="M205" i="9"/>
  <c r="M201" i="9"/>
  <c r="M207" i="9"/>
  <c r="M203" i="9"/>
  <c r="H201" i="9"/>
  <c r="H202" i="9"/>
  <c r="H208" i="9"/>
  <c r="H204" i="9"/>
  <c r="H205" i="9"/>
  <c r="H207" i="9"/>
  <c r="M206" i="9"/>
  <c r="I207" i="9"/>
  <c r="I202" i="9"/>
  <c r="I201" i="9"/>
  <c r="I205" i="9"/>
  <c r="I204" i="9"/>
  <c r="I208" i="9"/>
  <c r="H200" i="9"/>
  <c r="J200" i="9"/>
  <c r="J202" i="9"/>
  <c r="J204" i="9"/>
  <c r="J201" i="9"/>
  <c r="J207" i="9"/>
  <c r="J205" i="9"/>
  <c r="J208" i="9"/>
  <c r="H203" i="9"/>
  <c r="W150" i="9"/>
  <c r="K202" i="9"/>
  <c r="K201" i="9"/>
  <c r="K208" i="9"/>
  <c r="K205" i="9"/>
  <c r="K207" i="9"/>
  <c r="K204" i="9"/>
  <c r="F201" i="9"/>
  <c r="F204" i="9"/>
  <c r="F208" i="9"/>
  <c r="F207" i="9"/>
  <c r="F205" i="9"/>
  <c r="F202" i="9"/>
  <c r="F200" i="9"/>
  <c r="L206" i="9"/>
  <c r="K203" i="9"/>
  <c r="K206" i="9"/>
  <c r="M200" i="9"/>
  <c r="I200" i="9"/>
  <c r="K177" i="5"/>
  <c r="K181" i="5" s="1"/>
  <c r="K184" i="5" s="1"/>
  <c r="I177" i="5"/>
  <c r="I181" i="5" s="1"/>
  <c r="I184" i="5" s="1"/>
  <c r="H177" i="5"/>
  <c r="H181" i="5" s="1"/>
  <c r="H184" i="5" s="1"/>
  <c r="F177" i="5"/>
  <c r="F181" i="5" s="1"/>
  <c r="F184" i="5" s="1"/>
  <c r="F200" i="5" s="1"/>
  <c r="E5" i="6" a="1"/>
  <c r="E5" i="6" s="1"/>
  <c r="N14" i="6" s="1"/>
  <c r="N159" i="5"/>
  <c r="F188" i="5"/>
  <c r="E177" i="5"/>
  <c r="E181" i="5" s="1"/>
  <c r="E184" i="5" s="1"/>
  <c r="E203" i="5" s="1"/>
  <c r="F191" i="5"/>
  <c r="J177" i="5"/>
  <c r="J181" i="5" s="1"/>
  <c r="J184" i="5" s="1"/>
  <c r="L177" i="5"/>
  <c r="L181" i="5" s="1"/>
  <c r="L184" i="5" s="1"/>
  <c r="F194" i="5"/>
  <c r="G177" i="5"/>
  <c r="G181" i="5" s="1"/>
  <c r="G184" i="5" s="1"/>
  <c r="G200" i="5" s="1"/>
  <c r="M177" i="5"/>
  <c r="M181" i="5" s="1"/>
  <c r="M184" i="5" s="1"/>
  <c r="M200" i="5" s="1"/>
  <c r="N184" i="9" l="1"/>
  <c r="N185" i="9" s="1"/>
  <c r="N186" i="9" s="1"/>
  <c r="G188" i="9" a="1"/>
  <c r="E208" i="9"/>
  <c r="E202" i="9"/>
  <c r="E201" i="9"/>
  <c r="E207" i="9"/>
  <c r="E204" i="9"/>
  <c r="E205" i="9"/>
  <c r="E206" i="9"/>
  <c r="E203" i="9"/>
  <c r="E200" i="9"/>
  <c r="E213" i="9" s="1" a="1"/>
  <c r="E213" i="9" s="1"/>
  <c r="N184" i="5"/>
  <c r="E200" i="5"/>
  <c r="I203" i="5"/>
  <c r="I202" i="5"/>
  <c r="I201" i="5"/>
  <c r="I205" i="5"/>
  <c r="I204" i="5"/>
  <c r="I208" i="5"/>
  <c r="I207" i="5"/>
  <c r="I200" i="5"/>
  <c r="M206" i="5"/>
  <c r="K200" i="5"/>
  <c r="K206" i="5"/>
  <c r="K207" i="5"/>
  <c r="K201" i="5"/>
  <c r="K202" i="5"/>
  <c r="K204" i="5"/>
  <c r="K208" i="5"/>
  <c r="K205" i="5"/>
  <c r="L206" i="5"/>
  <c r="L201" i="5"/>
  <c r="L202" i="5"/>
  <c r="L207" i="5"/>
  <c r="L203" i="5"/>
  <c r="L204" i="5"/>
  <c r="L200" i="5"/>
  <c r="L208" i="5"/>
  <c r="L205" i="5"/>
  <c r="H203" i="5"/>
  <c r="H207" i="5"/>
  <c r="H205" i="5"/>
  <c r="H208" i="5"/>
  <c r="H204" i="5"/>
  <c r="H202" i="5"/>
  <c r="H206" i="5"/>
  <c r="H200" i="5"/>
  <c r="H201" i="5"/>
  <c r="J200" i="5"/>
  <c r="J204" i="5"/>
  <c r="J207" i="5"/>
  <c r="J208" i="5"/>
  <c r="J202" i="5"/>
  <c r="J201" i="5"/>
  <c r="J205" i="5"/>
  <c r="J203" i="5"/>
  <c r="J206" i="5"/>
  <c r="B188" i="5" a="1"/>
  <c r="E204" i="5"/>
  <c r="E208" i="5"/>
  <c r="E15" i="6" a="1"/>
  <c r="E202" i="5"/>
  <c r="E205" i="5"/>
  <c r="E201" i="5"/>
  <c r="E207" i="5"/>
  <c r="I206" i="5"/>
  <c r="F203" i="5"/>
  <c r="F202" i="5"/>
  <c r="F205" i="5"/>
  <c r="F204" i="5"/>
  <c r="F201" i="5"/>
  <c r="F208" i="5"/>
  <c r="F207" i="5"/>
  <c r="G206" i="5"/>
  <c r="G203" i="5"/>
  <c r="G202" i="5"/>
  <c r="G201" i="5"/>
  <c r="G207" i="5"/>
  <c r="G205" i="5"/>
  <c r="G204" i="5"/>
  <c r="G208" i="5"/>
  <c r="E60" i="6" a="1"/>
  <c r="E60" i="6" s="1"/>
  <c r="K203" i="5"/>
  <c r="E206" i="5"/>
  <c r="M203" i="5"/>
  <c r="M201" i="5"/>
  <c r="M204" i="5"/>
  <c r="M208" i="5"/>
  <c r="M202" i="5"/>
  <c r="M205" i="5"/>
  <c r="M207" i="5"/>
  <c r="F206" i="5"/>
  <c r="G188" i="9" l="1"/>
  <c r="D189" i="9"/>
  <c r="E189" i="9" s="1"/>
  <c r="B189" i="9" s="1"/>
  <c r="D191" i="9"/>
  <c r="E191" i="9" s="1"/>
  <c r="B191" i="9" s="1"/>
  <c r="D196" i="9"/>
  <c r="E196" i="9" s="1"/>
  <c r="B196" i="9" s="1"/>
  <c r="D190" i="9"/>
  <c r="E190" i="9" s="1"/>
  <c r="B190" i="9" s="1"/>
  <c r="D194" i="9"/>
  <c r="E194" i="9" s="1"/>
  <c r="B194" i="9" s="1"/>
  <c r="D192" i="9"/>
  <c r="E192" i="9" s="1"/>
  <c r="B192" i="9" s="1"/>
  <c r="D193" i="9"/>
  <c r="E193" i="9" s="1"/>
  <c r="B193" i="9" s="1"/>
  <c r="D195" i="9"/>
  <c r="E195" i="9" s="1"/>
  <c r="B195" i="9" s="1"/>
  <c r="H189" i="9"/>
  <c r="I189" i="9" s="1"/>
  <c r="H190" i="9"/>
  <c r="I190" i="9" s="1"/>
  <c r="H196" i="9"/>
  <c r="I196" i="9" s="1"/>
  <c r="H192" i="9"/>
  <c r="I192" i="9" s="1"/>
  <c r="H193" i="9"/>
  <c r="I193" i="9" s="1"/>
  <c r="H195" i="9"/>
  <c r="I195" i="9" s="1"/>
  <c r="H191" i="9"/>
  <c r="I191" i="9" s="1"/>
  <c r="H194" i="9"/>
  <c r="I194" i="9" s="1"/>
  <c r="E21" i="6" a="1"/>
  <c r="E21" i="6" s="1"/>
  <c r="E36" i="6" s="1" a="1"/>
  <c r="E36" i="6" s="1"/>
  <c r="J14" i="6"/>
  <c r="J30" i="6" s="1"/>
  <c r="G14" i="6"/>
  <c r="G30" i="6" s="1"/>
  <c r="E15" i="6"/>
  <c r="E14" i="6" s="1"/>
  <c r="E30" i="6" s="1"/>
  <c r="I14" i="6"/>
  <c r="I30" i="6" s="1"/>
  <c r="F14" i="6"/>
  <c r="F30" i="6" s="1"/>
  <c r="L14" i="6"/>
  <c r="L30" i="6" s="1"/>
  <c r="H14" i="6"/>
  <c r="H30" i="6" s="1"/>
  <c r="K14" i="6"/>
  <c r="K30" i="6" s="1"/>
  <c r="M14" i="6"/>
  <c r="M30" i="6" s="1"/>
  <c r="E213" i="5" a="1"/>
  <c r="E213" i="5" s="1"/>
  <c r="G196" i="5"/>
  <c r="G190" i="5"/>
  <c r="B188" i="5"/>
  <c r="G188" i="5" s="1"/>
  <c r="G192" i="5"/>
  <c r="G191" i="5"/>
  <c r="G193" i="5"/>
  <c r="G189" i="5"/>
  <c r="G194" i="5"/>
  <c r="G195" i="5"/>
  <c r="D188" i="9" l="1"/>
  <c r="E188" i="9" s="1"/>
  <c r="B188" i="9" s="1"/>
  <c r="H188" i="9"/>
  <c r="I188" i="9" s="1"/>
  <c r="J31" i="6"/>
  <c r="F31" i="6"/>
  <c r="I31" i="6"/>
  <c r="E31" i="6"/>
  <c r="M31" i="6"/>
  <c r="K31" i="6"/>
  <c r="L31" i="6"/>
  <c r="G31" i="6"/>
  <c r="H31" i="6"/>
  <c r="D192" i="5"/>
  <c r="E192" i="5" s="1"/>
  <c r="H192" i="5"/>
  <c r="I192" i="5" s="1"/>
  <c r="H188" i="5"/>
  <c r="I188" i="5" s="1"/>
  <c r="D188" i="5"/>
  <c r="E188" i="5" s="1"/>
  <c r="D190" i="5"/>
  <c r="E190" i="5" s="1"/>
  <c r="H190" i="5"/>
  <c r="I190" i="5" s="1"/>
  <c r="O5" i="6" a="1"/>
  <c r="D194" i="5"/>
  <c r="E194" i="5" s="1"/>
  <c r="H194" i="5"/>
  <c r="I194" i="5" s="1"/>
  <c r="D189" i="5"/>
  <c r="E189" i="5" s="1"/>
  <c r="H189" i="5"/>
  <c r="I189" i="5" s="1"/>
  <c r="H193" i="5"/>
  <c r="I193" i="5" s="1"/>
  <c r="D193" i="5"/>
  <c r="E193" i="5" s="1"/>
  <c r="D196" i="5"/>
  <c r="E196" i="5" s="1"/>
  <c r="H196" i="5"/>
  <c r="I196" i="5" s="1"/>
  <c r="H195" i="5"/>
  <c r="I195" i="5" s="1"/>
  <c r="D195" i="5"/>
  <c r="E195" i="5" s="1"/>
  <c r="D191" i="5"/>
  <c r="E191" i="5" s="1"/>
  <c r="H191" i="5"/>
  <c r="I191" i="5" s="1"/>
  <c r="N10" i="6" l="1"/>
  <c r="N12" i="6"/>
  <c r="O5" i="6"/>
  <c r="F60" i="6" s="1" a="1"/>
  <c r="N8" i="6"/>
  <c r="N13" i="6"/>
  <c r="N7" i="6"/>
  <c r="N11" i="6"/>
  <c r="N9" i="6"/>
  <c r="N6" i="6"/>
  <c r="N47" i="6" l="1" a="1"/>
  <c r="N47" i="6" s="1"/>
  <c r="N56" i="6" s="1"/>
  <c r="F60" i="6"/>
  <c r="G62" i="6"/>
  <c r="G61" i="6"/>
  <c r="G65" i="6"/>
  <c r="G64" i="6"/>
  <c r="G63" i="6"/>
  <c r="G66" i="6"/>
  <c r="G67" i="6"/>
  <c r="G68" i="6"/>
  <c r="O47" i="6" a="1"/>
  <c r="O47" i="6" s="1"/>
  <c r="O56" i="6" s="1"/>
  <c r="E16" i="6" a="1"/>
  <c r="N5" i="6"/>
  <c r="H47" i="6" s="1" a="1"/>
  <c r="H47" i="6" s="1"/>
  <c r="P5" i="6" a="1"/>
  <c r="E16" i="6" l="1"/>
  <c r="E17" i="6" s="1"/>
  <c r="H17" i="6"/>
  <c r="L17" i="6"/>
  <c r="K17" i="6"/>
  <c r="G17" i="6"/>
  <c r="F17" i="6"/>
  <c r="J17" i="6"/>
  <c r="M17" i="6"/>
  <c r="I17" i="6"/>
  <c r="C188" i="6" a="1"/>
  <c r="C188" i="6" s="1"/>
  <c r="H56" i="6"/>
  <c r="P5" i="6"/>
  <c r="Q5" i="6" s="1"/>
  <c r="R5" i="6" s="1"/>
  <c r="Q12" i="6"/>
  <c r="R12" i="6" s="1"/>
  <c r="Q8" i="6"/>
  <c r="R8" i="6" s="1"/>
  <c r="Q7" i="6"/>
  <c r="R7" i="6" s="1"/>
  <c r="Q9" i="6"/>
  <c r="R9" i="6" s="1"/>
  <c r="Q13" i="6"/>
  <c r="R13" i="6" s="1"/>
  <c r="Q11" i="6"/>
  <c r="R11" i="6" s="1"/>
  <c r="Q6" i="6"/>
  <c r="R6" i="6" s="1"/>
  <c r="Q10" i="6"/>
  <c r="R10" i="6" s="1"/>
  <c r="G60" i="6"/>
  <c r="D88" i="6" a="1"/>
  <c r="G90" i="6" l="1"/>
  <c r="H99" i="6"/>
  <c r="L102" i="6"/>
  <c r="G100" i="6"/>
  <c r="L95" i="6"/>
  <c r="F98" i="6"/>
  <c r="M96" i="6"/>
  <c r="J99" i="6"/>
  <c r="L90" i="6"/>
  <c r="F101" i="6"/>
  <c r="H102" i="6"/>
  <c r="F97" i="6"/>
  <c r="I99" i="6"/>
  <c r="E94" i="6"/>
  <c r="E99" i="6"/>
  <c r="H98" i="6"/>
  <c r="M100" i="6"/>
  <c r="K94" i="6"/>
  <c r="I98" i="6"/>
  <c r="M95" i="6"/>
  <c r="M90" i="6"/>
  <c r="F96" i="6"/>
  <c r="M98" i="6"/>
  <c r="G101" i="6"/>
  <c r="J100" i="6"/>
  <c r="J97" i="6"/>
  <c r="I100" i="6"/>
  <c r="E95" i="6"/>
  <c r="M99" i="6"/>
  <c r="M94" i="6"/>
  <c r="I90" i="6"/>
  <c r="F95" i="6"/>
  <c r="K90" i="6"/>
  <c r="E101" i="6"/>
  <c r="E90" i="6"/>
  <c r="I102" i="6"/>
  <c r="K101" i="6"/>
  <c r="F90" i="6"/>
  <c r="E100" i="6"/>
  <c r="I97" i="6"/>
  <c r="J96" i="6"/>
  <c r="I94" i="6"/>
  <c r="G99" i="6"/>
  <c r="E97" i="6"/>
  <c r="H97" i="6"/>
  <c r="G98" i="6"/>
  <c r="J94" i="6"/>
  <c r="H100" i="6"/>
  <c r="H94" i="6"/>
  <c r="K102" i="6"/>
  <c r="L100" i="6"/>
  <c r="M101" i="6"/>
  <c r="E102" i="6"/>
  <c r="M102" i="6"/>
  <c r="J90" i="6"/>
  <c r="L99" i="6"/>
  <c r="M97" i="6"/>
  <c r="I96" i="6"/>
  <c r="L101" i="6"/>
  <c r="L98" i="6"/>
  <c r="G96" i="6"/>
  <c r="J102" i="6"/>
  <c r="D88" i="6"/>
  <c r="H96" i="6"/>
  <c r="F100" i="6"/>
  <c r="F102" i="6"/>
  <c r="J101" i="6"/>
  <c r="F94" i="6"/>
  <c r="G94" i="6"/>
  <c r="J95" i="6"/>
  <c r="H95" i="6"/>
  <c r="L94" i="6"/>
  <c r="E96" i="6"/>
  <c r="H90" i="6"/>
  <c r="K100" i="6"/>
  <c r="J98" i="6"/>
  <c r="G102" i="6"/>
  <c r="E98" i="6"/>
  <c r="K99" i="6"/>
  <c r="K97" i="6"/>
  <c r="I101" i="6"/>
  <c r="K95" i="6"/>
  <c r="G97" i="6"/>
  <c r="G95" i="6"/>
  <c r="I95" i="6"/>
  <c r="K98" i="6"/>
  <c r="F99" i="6"/>
  <c r="L96" i="6"/>
  <c r="K96" i="6"/>
  <c r="L97" i="6"/>
  <c r="H101" i="6"/>
  <c r="M72" i="6" a="1"/>
  <c r="M72" i="6" s="1"/>
  <c r="M74" i="6" s="1"/>
  <c r="J72" i="6" a="1"/>
  <c r="J72" i="6" s="1"/>
  <c r="J74" i="6" s="1"/>
  <c r="K72" i="6" a="1"/>
  <c r="K72" i="6" s="1"/>
  <c r="K74" i="6" s="1"/>
  <c r="F72" i="6" a="1"/>
  <c r="F72" i="6" s="1"/>
  <c r="F74" i="6" s="1"/>
  <c r="G72" i="6" a="1"/>
  <c r="G72" i="6" s="1"/>
  <c r="G74" i="6" s="1"/>
  <c r="H72" i="6" a="1"/>
  <c r="H72" i="6" s="1"/>
  <c r="H74" i="6" s="1"/>
  <c r="I72" i="6" a="1"/>
  <c r="I72" i="6" s="1"/>
  <c r="I74" i="6" s="1"/>
  <c r="E72" i="6" a="1"/>
  <c r="E72" i="6" s="1"/>
  <c r="E74" i="6" s="1"/>
  <c r="L72" i="6" a="1"/>
  <c r="L72" i="6" s="1"/>
  <c r="L74" i="6" s="1"/>
  <c r="N103" i="6" l="1"/>
  <c r="B78" i="6" a="1"/>
  <c r="K79" i="6" l="1"/>
  <c r="K107" i="6" s="1"/>
  <c r="E86" i="6"/>
  <c r="L83" i="6"/>
  <c r="L111" i="6" s="1"/>
  <c r="G85" i="6"/>
  <c r="G113" i="6" s="1"/>
  <c r="M85" i="6"/>
  <c r="M113" i="6" s="1"/>
  <c r="F81" i="6"/>
  <c r="F109" i="6" s="1"/>
  <c r="M83" i="6"/>
  <c r="M111" i="6" s="1"/>
  <c r="F82" i="6"/>
  <c r="F110" i="6" s="1"/>
  <c r="E79" i="6"/>
  <c r="F80" i="6"/>
  <c r="F108" i="6" s="1"/>
  <c r="I84" i="6"/>
  <c r="I112" i="6" s="1"/>
  <c r="M86" i="6"/>
  <c r="M114" i="6" s="1"/>
  <c r="E81" i="6"/>
  <c r="J86" i="6"/>
  <c r="J114" i="6" s="1"/>
  <c r="I85" i="6"/>
  <c r="I113" i="6" s="1"/>
  <c r="J79" i="6"/>
  <c r="J107" i="6" s="1"/>
  <c r="J84" i="6"/>
  <c r="J112" i="6" s="1"/>
  <c r="G81" i="6"/>
  <c r="G109" i="6" s="1"/>
  <c r="J81" i="6"/>
  <c r="J109" i="6" s="1"/>
  <c r="M82" i="6"/>
  <c r="M110" i="6" s="1"/>
  <c r="H82" i="6"/>
  <c r="H110" i="6" s="1"/>
  <c r="G83" i="6"/>
  <c r="G111" i="6" s="1"/>
  <c r="M80" i="6"/>
  <c r="M108" i="6" s="1"/>
  <c r="I86" i="6"/>
  <c r="I114" i="6" s="1"/>
  <c r="G82" i="6"/>
  <c r="G110" i="6" s="1"/>
  <c r="B78" i="6"/>
  <c r="L80" i="6"/>
  <c r="L108" i="6" s="1"/>
  <c r="M79" i="6"/>
  <c r="M107" i="6" s="1"/>
  <c r="J80" i="6"/>
  <c r="J108" i="6" s="1"/>
  <c r="M84" i="6"/>
  <c r="M112" i="6" s="1"/>
  <c r="L81" i="6"/>
  <c r="L109" i="6" s="1"/>
  <c r="F79" i="6"/>
  <c r="F107" i="6" s="1"/>
  <c r="M81" i="6"/>
  <c r="M109" i="6" s="1"/>
  <c r="H85" i="6"/>
  <c r="H113" i="6" s="1"/>
  <c r="I83" i="6"/>
  <c r="I111" i="6" s="1"/>
  <c r="E83" i="6"/>
  <c r="J83" i="6"/>
  <c r="J111" i="6" s="1"/>
  <c r="G86" i="6"/>
  <c r="G114" i="6" s="1"/>
  <c r="L84" i="6"/>
  <c r="L112" i="6" s="1"/>
  <c r="L86" i="6"/>
  <c r="L114" i="6" s="1"/>
  <c r="I80" i="6"/>
  <c r="I108" i="6" s="1"/>
  <c r="K86" i="6"/>
  <c r="K114" i="6" s="1"/>
  <c r="E82" i="6"/>
  <c r="J85" i="6"/>
  <c r="J113" i="6" s="1"/>
  <c r="K84" i="6"/>
  <c r="K112" i="6" s="1"/>
  <c r="F85" i="6"/>
  <c r="F113" i="6" s="1"/>
  <c r="K80" i="6"/>
  <c r="K108" i="6" s="1"/>
  <c r="K133" i="6" s="1"/>
  <c r="F86" i="6"/>
  <c r="F114" i="6" s="1"/>
  <c r="L82" i="6"/>
  <c r="L110" i="6" s="1"/>
  <c r="K83" i="6"/>
  <c r="K111" i="6" s="1"/>
  <c r="H81" i="6"/>
  <c r="H109" i="6" s="1"/>
  <c r="F84" i="6"/>
  <c r="F112" i="6" s="1"/>
  <c r="J82" i="6"/>
  <c r="J110" i="6" s="1"/>
  <c r="I81" i="6"/>
  <c r="I109" i="6" s="1"/>
  <c r="G80" i="6"/>
  <c r="G108" i="6" s="1"/>
  <c r="E85" i="6"/>
  <c r="K85" i="6"/>
  <c r="K113" i="6" s="1"/>
  <c r="H84" i="6"/>
  <c r="H112" i="6" s="1"/>
  <c r="K81" i="6"/>
  <c r="K109" i="6" s="1"/>
  <c r="I79" i="6"/>
  <c r="I107" i="6" s="1"/>
  <c r="I132" i="6" s="1"/>
  <c r="H83" i="6"/>
  <c r="H111" i="6" s="1"/>
  <c r="K82" i="6"/>
  <c r="K110" i="6" s="1"/>
  <c r="H80" i="6"/>
  <c r="H108" i="6" s="1"/>
  <c r="F83" i="6"/>
  <c r="F111" i="6" s="1"/>
  <c r="L85" i="6"/>
  <c r="L113" i="6" s="1"/>
  <c r="E80" i="6"/>
  <c r="H79" i="6"/>
  <c r="H107" i="6" s="1"/>
  <c r="G79" i="6"/>
  <c r="G107" i="6" s="1"/>
  <c r="G132" i="6" s="1"/>
  <c r="H86" i="6"/>
  <c r="H114" i="6" s="1"/>
  <c r="L79" i="6"/>
  <c r="L107" i="6" s="1"/>
  <c r="L132" i="6" s="1"/>
  <c r="E84" i="6"/>
  <c r="G84" i="6"/>
  <c r="G112" i="6" s="1"/>
  <c r="I82" i="6"/>
  <c r="I110" i="6" s="1"/>
  <c r="L133" i="6" l="1"/>
  <c r="M133" i="6"/>
  <c r="E123" i="6"/>
  <c r="E111" i="6"/>
  <c r="N111" i="6" s="1"/>
  <c r="F133" i="6"/>
  <c r="F132" i="6"/>
  <c r="G133" i="6"/>
  <c r="E122" i="6"/>
  <c r="E110" i="6"/>
  <c r="N110" i="6" s="1"/>
  <c r="I133" i="6"/>
  <c r="J133" i="6"/>
  <c r="M132" i="6"/>
  <c r="J132" i="6"/>
  <c r="H133" i="6"/>
  <c r="E107" i="6"/>
  <c r="E119" i="6"/>
  <c r="E125" i="6"/>
  <c r="E113" i="6"/>
  <c r="N113" i="6" s="1"/>
  <c r="E120" i="6"/>
  <c r="E108" i="6"/>
  <c r="E78" i="6"/>
  <c r="L78" i="6"/>
  <c r="L106" i="6" s="1"/>
  <c r="L131" i="6" s="1"/>
  <c r="G78" i="6"/>
  <c r="G106" i="6" s="1"/>
  <c r="G131" i="6" s="1"/>
  <c r="H78" i="6"/>
  <c r="H106" i="6" s="1"/>
  <c r="H131" i="6" s="1"/>
  <c r="I78" i="6"/>
  <c r="I106" i="6" s="1"/>
  <c r="I131" i="6" s="1"/>
  <c r="F78" i="6"/>
  <c r="F106" i="6" s="1"/>
  <c r="F131" i="6" s="1"/>
  <c r="J78" i="6"/>
  <c r="J106" i="6" s="1"/>
  <c r="J131" i="6" s="1"/>
  <c r="K78" i="6"/>
  <c r="K106" i="6" s="1"/>
  <c r="K131" i="6" s="1"/>
  <c r="M78" i="6"/>
  <c r="M106" i="6" s="1"/>
  <c r="M131" i="6" s="1"/>
  <c r="E126" i="6"/>
  <c r="E114" i="6"/>
  <c r="N114" i="6" s="1"/>
  <c r="E112" i="6"/>
  <c r="N112" i="6" s="1"/>
  <c r="E124" i="6"/>
  <c r="H132" i="6"/>
  <c r="E121" i="6"/>
  <c r="E109" i="6"/>
  <c r="N109" i="6" s="1"/>
  <c r="K132" i="6"/>
  <c r="E133" i="6" l="1"/>
  <c r="N108" i="6"/>
  <c r="K120" i="6" s="1"/>
  <c r="F126" i="6" s="1" a="1"/>
  <c r="F126" i="6" s="1"/>
  <c r="J120" i="6"/>
  <c r="G126" i="6" s="1" a="1"/>
  <c r="G126" i="6" s="1"/>
  <c r="E118" i="6"/>
  <c r="E106" i="6"/>
  <c r="N87" i="6"/>
  <c r="J119" i="6"/>
  <c r="G122" i="6" s="1" a="1"/>
  <c r="G122" i="6" s="1"/>
  <c r="E132" i="6"/>
  <c r="N107" i="6"/>
  <c r="K119" i="6" s="1"/>
  <c r="F119" i="6" s="1" a="1"/>
  <c r="F119" i="6" s="1"/>
  <c r="N106" i="6" l="1"/>
  <c r="K118" i="6" s="1"/>
  <c r="N115" i="6"/>
  <c r="E131" i="6"/>
  <c r="G120" i="6" a="1"/>
  <c r="G120" i="6" s="1"/>
  <c r="L120" i="6"/>
  <c r="J145" i="6" s="1" a="1"/>
  <c r="J145" i="6" s="1"/>
  <c r="J158" i="6" s="1"/>
  <c r="E127" i="6"/>
  <c r="J118" i="6"/>
  <c r="G123" i="6" a="1"/>
  <c r="G123" i="6" s="1"/>
  <c r="F120" i="6" a="1"/>
  <c r="F120" i="6" s="1"/>
  <c r="G119" i="6" a="1"/>
  <c r="G119" i="6" s="1"/>
  <c r="G125" i="6" a="1"/>
  <c r="G125" i="6" s="1"/>
  <c r="L119" i="6"/>
  <c r="H141" i="6" s="1" a="1"/>
  <c r="H141" i="6" s="1"/>
  <c r="H154" i="6" s="1"/>
  <c r="F122" i="6" a="1"/>
  <c r="F122" i="6" s="1"/>
  <c r="F123" i="6" a="1"/>
  <c r="F123" i="6" s="1"/>
  <c r="F125" i="6" a="1"/>
  <c r="F125" i="6" s="1"/>
  <c r="F145" i="6" l="1" a="1"/>
  <c r="F145" i="6" s="1"/>
  <c r="F158" i="6" s="1"/>
  <c r="G145" i="6" a="1"/>
  <c r="G145" i="6" s="1"/>
  <c r="G158" i="6" s="1"/>
  <c r="I145" i="6" a="1"/>
  <c r="I145" i="6" s="1"/>
  <c r="I158" i="6" s="1"/>
  <c r="E145" i="6" a="1"/>
  <c r="E145" i="6" s="1"/>
  <c r="E158" i="6" s="1"/>
  <c r="M145" i="6" a="1"/>
  <c r="M145" i="6" s="1"/>
  <c r="M158" i="6" s="1"/>
  <c r="H145" i="6" a="1"/>
  <c r="H145" i="6" s="1"/>
  <c r="H158" i="6" s="1"/>
  <c r="L145" i="6" a="1"/>
  <c r="L145" i="6" s="1"/>
  <c r="L158" i="6" s="1"/>
  <c r="K145" i="6" a="1"/>
  <c r="K145" i="6" s="1"/>
  <c r="K158" i="6" s="1"/>
  <c r="F124" i="6" a="1"/>
  <c r="F124" i="6" s="1"/>
  <c r="F121" i="6" a="1"/>
  <c r="F121" i="6" s="1"/>
  <c r="L141" i="6" a="1"/>
  <c r="L141" i="6" s="1"/>
  <c r="L154" i="6" s="1"/>
  <c r="K141" i="6" a="1"/>
  <c r="K141" i="6" s="1"/>
  <c r="K154" i="6" s="1"/>
  <c r="G142" i="6" a="1"/>
  <c r="G142" i="6" s="1"/>
  <c r="G155" i="6" s="1"/>
  <c r="I142" i="6" a="1"/>
  <c r="I142" i="6" s="1"/>
  <c r="I155" i="6" s="1"/>
  <c r="E142" i="6" a="1"/>
  <c r="E142" i="6" s="1"/>
  <c r="E155" i="6" s="1"/>
  <c r="K142" i="6" a="1"/>
  <c r="K142" i="6" s="1"/>
  <c r="K155" i="6" s="1"/>
  <c r="J142" i="6" a="1"/>
  <c r="J142" i="6" s="1"/>
  <c r="J155" i="6" s="1"/>
  <c r="L142" i="6" a="1"/>
  <c r="L142" i="6" s="1"/>
  <c r="L155" i="6" s="1"/>
  <c r="M142" i="6" a="1"/>
  <c r="M142" i="6" s="1"/>
  <c r="M155" i="6" s="1"/>
  <c r="H142" i="6" a="1"/>
  <c r="H142" i="6" s="1"/>
  <c r="H155" i="6" s="1"/>
  <c r="F142" i="6" a="1"/>
  <c r="F142" i="6" s="1"/>
  <c r="F155" i="6" s="1"/>
  <c r="J141" i="6" a="1"/>
  <c r="J141" i="6" s="1"/>
  <c r="J154" i="6" s="1"/>
  <c r="F118" i="6" a="1"/>
  <c r="F118" i="6" s="1"/>
  <c r="M141" i="6" a="1"/>
  <c r="M141" i="6" s="1"/>
  <c r="M154" i="6" s="1"/>
  <c r="G141" i="6" a="1"/>
  <c r="G141" i="6" s="1"/>
  <c r="G154" i="6" s="1"/>
  <c r="G118" i="6" a="1"/>
  <c r="G118" i="6" s="1"/>
  <c r="L118" i="6"/>
  <c r="G121" i="6" a="1"/>
  <c r="G121" i="6" s="1"/>
  <c r="G124" i="6" a="1"/>
  <c r="G124" i="6" s="1"/>
  <c r="E141" i="6" a="1"/>
  <c r="E141" i="6" s="1"/>
  <c r="E154" i="6" s="1"/>
  <c r="I141" i="6" a="1"/>
  <c r="I141" i="6" s="1"/>
  <c r="I154" i="6" s="1"/>
  <c r="H144" i="6" a="1"/>
  <c r="H144" i="6" s="1"/>
  <c r="H157" i="6" s="1"/>
  <c r="K144" i="6" a="1"/>
  <c r="K144" i="6" s="1"/>
  <c r="K157" i="6" s="1"/>
  <c r="F144" i="6" a="1"/>
  <c r="F144" i="6" s="1"/>
  <c r="F157" i="6" s="1"/>
  <c r="E144" i="6" a="1"/>
  <c r="E144" i="6" s="1"/>
  <c r="E157" i="6" s="1"/>
  <c r="L144" i="6" a="1"/>
  <c r="L144" i="6" s="1"/>
  <c r="L157" i="6" s="1"/>
  <c r="I144" i="6" a="1"/>
  <c r="I144" i="6" s="1"/>
  <c r="I157" i="6" s="1"/>
  <c r="J144" i="6" a="1"/>
  <c r="J144" i="6" s="1"/>
  <c r="J157" i="6" s="1"/>
  <c r="M144" i="6" a="1"/>
  <c r="M144" i="6" s="1"/>
  <c r="M157" i="6" s="1"/>
  <c r="G144" i="6" a="1"/>
  <c r="G144" i="6" s="1"/>
  <c r="G157" i="6" s="1"/>
  <c r="G138" i="6" a="1"/>
  <c r="G138" i="6" s="1"/>
  <c r="G151" i="6" s="1"/>
  <c r="M138" i="6" a="1"/>
  <c r="M138" i="6" s="1"/>
  <c r="M151" i="6" s="1"/>
  <c r="H138" i="6" a="1"/>
  <c r="H138" i="6" s="1"/>
  <c r="H151" i="6" s="1"/>
  <c r="E138" i="6" a="1"/>
  <c r="E138" i="6" s="1"/>
  <c r="E151" i="6" s="1"/>
  <c r="J138" i="6" a="1"/>
  <c r="J138" i="6" s="1"/>
  <c r="J151" i="6" s="1"/>
  <c r="L138" i="6" a="1"/>
  <c r="L138" i="6" s="1"/>
  <c r="L151" i="6" s="1"/>
  <c r="F138" i="6" a="1"/>
  <c r="F138" i="6" s="1"/>
  <c r="F151" i="6" s="1"/>
  <c r="K138" i="6" a="1"/>
  <c r="K138" i="6" s="1"/>
  <c r="K151" i="6" s="1"/>
  <c r="I138" i="6" a="1"/>
  <c r="I138" i="6" s="1"/>
  <c r="I151" i="6" s="1"/>
  <c r="F139" i="6" a="1"/>
  <c r="F139" i="6" s="1"/>
  <c r="F152" i="6" s="1"/>
  <c r="G139" i="6" a="1"/>
  <c r="G139" i="6" s="1"/>
  <c r="G152" i="6" s="1"/>
  <c r="H139" i="6" a="1"/>
  <c r="H139" i="6" s="1"/>
  <c r="H152" i="6" s="1"/>
  <c r="M139" i="6" a="1"/>
  <c r="M139" i="6" s="1"/>
  <c r="M152" i="6" s="1"/>
  <c r="L139" i="6" a="1"/>
  <c r="L139" i="6" s="1"/>
  <c r="L152" i="6" s="1"/>
  <c r="E139" i="6" a="1"/>
  <c r="E139" i="6" s="1"/>
  <c r="E152" i="6" s="1"/>
  <c r="K139" i="6" a="1"/>
  <c r="K139" i="6" s="1"/>
  <c r="K152" i="6" s="1"/>
  <c r="J139" i="6" a="1"/>
  <c r="J139" i="6" s="1"/>
  <c r="J152" i="6" s="1"/>
  <c r="I139" i="6" a="1"/>
  <c r="I139" i="6" s="1"/>
  <c r="I152" i="6" s="1"/>
  <c r="F141" i="6" a="1"/>
  <c r="F141" i="6" s="1"/>
  <c r="F154" i="6" s="1"/>
  <c r="H179" i="6" l="1"/>
  <c r="H183" i="6" s="1"/>
  <c r="F196" i="6"/>
  <c r="F137" i="6" a="1"/>
  <c r="F137" i="6" s="1"/>
  <c r="F150" i="6" s="1"/>
  <c r="L179" i="6"/>
  <c r="L183" i="6" s="1"/>
  <c r="G179" i="6"/>
  <c r="G183" i="6" s="1"/>
  <c r="J179" i="6"/>
  <c r="J183" i="6" s="1"/>
  <c r="H178" i="6"/>
  <c r="H182" i="6" s="1"/>
  <c r="M178" i="6"/>
  <c r="M182" i="6" s="1"/>
  <c r="K178" i="6"/>
  <c r="K182" i="6" s="1"/>
  <c r="F179" i="6"/>
  <c r="F183" i="6" s="1"/>
  <c r="I179" i="6"/>
  <c r="I183" i="6" s="1"/>
  <c r="L178" i="6"/>
  <c r="L182" i="6" s="1"/>
  <c r="G127" i="6"/>
  <c r="I137" i="6" a="1"/>
  <c r="I137" i="6" s="1"/>
  <c r="I150" i="6" s="1"/>
  <c r="K137" i="6" a="1"/>
  <c r="K137" i="6" s="1"/>
  <c r="K150" i="6" s="1"/>
  <c r="M137" i="6" a="1"/>
  <c r="M137" i="6" s="1"/>
  <c r="M150" i="6" s="1"/>
  <c r="E137" i="6" a="1"/>
  <c r="E137" i="6" s="1"/>
  <c r="E150" i="6" s="1"/>
  <c r="G137" i="6" a="1"/>
  <c r="G137" i="6" s="1"/>
  <c r="G150" i="6" s="1"/>
  <c r="J137" i="6" a="1"/>
  <c r="J137" i="6" s="1"/>
  <c r="J150" i="6" s="1"/>
  <c r="L137" i="6" a="1"/>
  <c r="L137" i="6" s="1"/>
  <c r="L150" i="6" s="1"/>
  <c r="H137" i="6" a="1"/>
  <c r="H137" i="6" s="1"/>
  <c r="H150" i="6" s="1"/>
  <c r="M179" i="6"/>
  <c r="M183" i="6" s="1"/>
  <c r="G178" i="6"/>
  <c r="G182" i="6" s="1"/>
  <c r="F193" i="6"/>
  <c r="I178" i="6"/>
  <c r="I182" i="6" s="1"/>
  <c r="F178" i="6"/>
  <c r="F182" i="6" s="1"/>
  <c r="F195" i="6"/>
  <c r="E179" i="6"/>
  <c r="E183" i="6" s="1"/>
  <c r="F190" i="6"/>
  <c r="F192" i="6"/>
  <c r="J143" i="6" a="1"/>
  <c r="J143" i="6" s="1"/>
  <c r="J156" i="6" s="1"/>
  <c r="I143" i="6" a="1"/>
  <c r="I143" i="6" s="1"/>
  <c r="I156" i="6" s="1"/>
  <c r="H143" i="6" a="1"/>
  <c r="H143" i="6" s="1"/>
  <c r="H156" i="6" s="1"/>
  <c r="K143" i="6" a="1"/>
  <c r="K143" i="6" s="1"/>
  <c r="K156" i="6" s="1"/>
  <c r="L143" i="6" a="1"/>
  <c r="L143" i="6" s="1"/>
  <c r="L156" i="6" s="1"/>
  <c r="M143" i="6" a="1"/>
  <c r="M143" i="6" s="1"/>
  <c r="M156" i="6" s="1"/>
  <c r="G143" i="6" a="1"/>
  <c r="G143" i="6" s="1"/>
  <c r="G156" i="6" s="1"/>
  <c r="F143" i="6" a="1"/>
  <c r="F143" i="6" s="1"/>
  <c r="F156" i="6" s="1"/>
  <c r="E143" i="6" a="1"/>
  <c r="E143" i="6" s="1"/>
  <c r="E156" i="6" s="1"/>
  <c r="L140" i="6" a="1"/>
  <c r="L140" i="6" s="1"/>
  <c r="L153" i="6" s="1"/>
  <c r="H140" i="6" a="1"/>
  <c r="H140" i="6" s="1"/>
  <c r="H153" i="6" s="1"/>
  <c r="K140" i="6" a="1"/>
  <c r="K140" i="6" s="1"/>
  <c r="K153" i="6" s="1"/>
  <c r="I140" i="6" a="1"/>
  <c r="I140" i="6" s="1"/>
  <c r="I153" i="6" s="1"/>
  <c r="F140" i="6" a="1"/>
  <c r="F140" i="6" s="1"/>
  <c r="F153" i="6" s="1"/>
  <c r="E140" i="6" a="1"/>
  <c r="E140" i="6" s="1"/>
  <c r="E153" i="6" s="1"/>
  <c r="G140" i="6" a="1"/>
  <c r="G140" i="6" s="1"/>
  <c r="G153" i="6" s="1"/>
  <c r="J140" i="6" a="1"/>
  <c r="J140" i="6" s="1"/>
  <c r="J153" i="6" s="1"/>
  <c r="M140" i="6" a="1"/>
  <c r="M140" i="6" s="1"/>
  <c r="M153" i="6" s="1"/>
  <c r="J178" i="6"/>
  <c r="J182" i="6" s="1"/>
  <c r="K179" i="6"/>
  <c r="K183" i="6" s="1"/>
  <c r="E178" i="6"/>
  <c r="E182" i="6" s="1"/>
  <c r="F189" i="6"/>
  <c r="M177" i="6" l="1"/>
  <c r="M181" i="6" s="1"/>
  <c r="M184" i="6" s="1"/>
  <c r="G177" i="6"/>
  <c r="G181" i="6" s="1"/>
  <c r="G184" i="6" s="1"/>
  <c r="G203" i="6" s="1"/>
  <c r="K177" i="6"/>
  <c r="K181" i="6" s="1"/>
  <c r="K184" i="6" s="1"/>
  <c r="K200" i="6" s="1"/>
  <c r="I177" i="6"/>
  <c r="I181" i="6" s="1"/>
  <c r="I184" i="6" s="1"/>
  <c r="I200" i="6" s="1"/>
  <c r="F194" i="6"/>
  <c r="F177" i="6"/>
  <c r="F181" i="6" s="1"/>
  <c r="F184" i="6" s="1"/>
  <c r="F203" i="6" s="1"/>
  <c r="H177" i="6"/>
  <c r="H181" i="6" s="1"/>
  <c r="H184" i="6" s="1"/>
  <c r="H200" i="6" s="1"/>
  <c r="F191" i="6"/>
  <c r="L177" i="6"/>
  <c r="L181" i="6" s="1"/>
  <c r="L184" i="6" s="1"/>
  <c r="N159" i="6"/>
  <c r="F188" i="6"/>
  <c r="E177" i="6"/>
  <c r="E181" i="6" s="1"/>
  <c r="E184" i="6" s="1"/>
  <c r="J177" i="6"/>
  <c r="J181" i="6" s="1"/>
  <c r="J184" i="6" s="1"/>
  <c r="J200" i="6" s="1"/>
  <c r="M200" i="6" l="1"/>
  <c r="M208" i="6"/>
  <c r="M202" i="6"/>
  <c r="M203" i="6"/>
  <c r="M206" i="6"/>
  <c r="M201" i="6"/>
  <c r="M205" i="6"/>
  <c r="M204" i="6"/>
  <c r="M207" i="6"/>
  <c r="K203" i="6"/>
  <c r="G206" i="6"/>
  <c r="E206" i="6"/>
  <c r="N184" i="6"/>
  <c r="E200" i="6"/>
  <c r="I203" i="6"/>
  <c r="I202" i="6"/>
  <c r="I205" i="6"/>
  <c r="I207" i="6"/>
  <c r="I208" i="6"/>
  <c r="I201" i="6"/>
  <c r="I204" i="6"/>
  <c r="K206" i="6"/>
  <c r="K207" i="6"/>
  <c r="K201" i="6"/>
  <c r="K204" i="6"/>
  <c r="K208" i="6"/>
  <c r="K205" i="6"/>
  <c r="K202" i="6"/>
  <c r="J206" i="6"/>
  <c r="G200" i="6"/>
  <c r="G204" i="6"/>
  <c r="G208" i="6"/>
  <c r="G202" i="6"/>
  <c r="G205" i="6"/>
  <c r="G207" i="6"/>
  <c r="G201" i="6"/>
  <c r="F206" i="6"/>
  <c r="F205" i="6"/>
  <c r="F208" i="6"/>
  <c r="F201" i="6"/>
  <c r="F207" i="6"/>
  <c r="F204" i="6"/>
  <c r="F202" i="6"/>
  <c r="F200" i="6"/>
  <c r="L206" i="6"/>
  <c r="L204" i="6"/>
  <c r="L207" i="6"/>
  <c r="L208" i="6"/>
  <c r="L201" i="6"/>
  <c r="L202" i="6"/>
  <c r="L205" i="6"/>
  <c r="H207" i="6"/>
  <c r="H204" i="6"/>
  <c r="H208" i="6"/>
  <c r="H205" i="6"/>
  <c r="H202" i="6"/>
  <c r="H201" i="6"/>
  <c r="L200" i="6"/>
  <c r="H206" i="6"/>
  <c r="I206" i="6"/>
  <c r="H203" i="6"/>
  <c r="E207" i="6"/>
  <c r="B188" i="6" a="1"/>
  <c r="E205" i="6"/>
  <c r="E208" i="6"/>
  <c r="E201" i="6"/>
  <c r="E204" i="6"/>
  <c r="E202" i="6"/>
  <c r="J203" i="6"/>
  <c r="J204" i="6"/>
  <c r="J201" i="6"/>
  <c r="J208" i="6"/>
  <c r="J202" i="6"/>
  <c r="J207" i="6"/>
  <c r="J205" i="6"/>
  <c r="E203" i="6"/>
  <c r="L203" i="6"/>
  <c r="G192" i="6" l="1"/>
  <c r="G196" i="6"/>
  <c r="G189" i="6"/>
  <c r="G194" i="6"/>
  <c r="B188" i="6"/>
  <c r="G188" i="6" s="1"/>
  <c r="G191" i="6"/>
  <c r="G193" i="6"/>
  <c r="G195" i="6"/>
  <c r="G190" i="6"/>
  <c r="E213" i="6" a="1"/>
  <c r="E213" i="6" s="1"/>
  <c r="D190" i="6" l="1"/>
  <c r="E190" i="6" s="1"/>
  <c r="H190" i="6"/>
  <c r="I190" i="6" s="1"/>
  <c r="D188" i="6"/>
  <c r="E188" i="6" s="1"/>
  <c r="H188" i="6"/>
  <c r="I188" i="6" s="1"/>
  <c r="H195" i="6"/>
  <c r="I195" i="6" s="1"/>
  <c r="D195" i="6"/>
  <c r="E195" i="6" s="1"/>
  <c r="D191" i="6"/>
  <c r="E191" i="6" s="1"/>
  <c r="H191" i="6"/>
  <c r="I191" i="6" s="1"/>
  <c r="D189" i="6"/>
  <c r="E189" i="6" s="1"/>
  <c r="H189" i="6"/>
  <c r="I189" i="6" s="1"/>
  <c r="H196" i="6"/>
  <c r="I196" i="6" s="1"/>
  <c r="D196" i="6"/>
  <c r="E196" i="6" s="1"/>
  <c r="H193" i="6"/>
  <c r="I193" i="6" s="1"/>
  <c r="D193" i="6"/>
  <c r="E193" i="6" s="1"/>
  <c r="D194" i="6"/>
  <c r="E194" i="6" s="1"/>
  <c r="H194" i="6"/>
  <c r="I194" i="6" s="1"/>
  <c r="D192" i="6"/>
  <c r="E192" i="6" s="1"/>
  <c r="H192" i="6"/>
  <c r="I192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<sst xmlns="http://schemas.openxmlformats.org/spreadsheetml/2006/main" count="4032" uniqueCount="69">
  <si>
    <t>Z</t>
  </si>
  <si>
    <t>A</t>
  </si>
  <si>
    <t>L</t>
  </si>
  <si>
    <t>r</t>
  </si>
  <si>
    <t>s</t>
  </si>
  <si>
    <t>inv</t>
  </si>
  <si>
    <t>exD</t>
  </si>
  <si>
    <t>FD</t>
  </si>
  <si>
    <t>X</t>
  </si>
  <si>
    <t>VA</t>
  </si>
  <si>
    <t>B</t>
  </si>
  <si>
    <t>C</t>
  </si>
  <si>
    <t>d_shock</t>
  </si>
  <si>
    <t>1-d_shock</t>
  </si>
  <si>
    <t>fd_max</t>
  </si>
  <si>
    <t>Demand shock</t>
  </si>
  <si>
    <t>Supply shock</t>
  </si>
  <si>
    <t>p_shock</t>
  </si>
  <si>
    <t>1-p_shock</t>
  </si>
  <si>
    <t>x_max</t>
  </si>
  <si>
    <t>x_md</t>
  </si>
  <si>
    <t>Z_cons</t>
  </si>
  <si>
    <t>constraint</t>
  </si>
  <si>
    <t>Z_need</t>
  </si>
  <si>
    <t>sub</t>
  </si>
  <si>
    <t>bottlneck</t>
  </si>
  <si>
    <t>supply</t>
  </si>
  <si>
    <t>Z_new</t>
  </si>
  <si>
    <t>inv_sec</t>
  </si>
  <si>
    <t>AX</t>
  </si>
  <si>
    <t>Step 1-2</t>
  </si>
  <si>
    <t>Step 3</t>
  </si>
  <si>
    <t>Step 4</t>
  </si>
  <si>
    <t>Step 5</t>
  </si>
  <si>
    <t>exDsec</t>
  </si>
  <si>
    <t>Step 6-7</t>
  </si>
  <si>
    <t>inv/exD</t>
  </si>
  <si>
    <t>Step 8</t>
  </si>
  <si>
    <t>Reallocation</t>
  </si>
  <si>
    <t>lambda</t>
  </si>
  <si>
    <t>invi/inv_sec</t>
  </si>
  <si>
    <t>Step 9</t>
  </si>
  <si>
    <t>ZG</t>
  </si>
  <si>
    <t>AG</t>
  </si>
  <si>
    <t>ZGnew</t>
  </si>
  <si>
    <t>L_new</t>
  </si>
  <si>
    <t>A_new</t>
  </si>
  <si>
    <t>xnew</t>
  </si>
  <si>
    <t>Fdnew</t>
  </si>
  <si>
    <t>xnew_target</t>
  </si>
  <si>
    <t>convergence</t>
  </si>
  <si>
    <t>Agr</t>
  </si>
  <si>
    <t>Ind</t>
  </si>
  <si>
    <t>Serv</t>
  </si>
  <si>
    <t>Only demand and supply constraints apply, no bottlenecks</t>
  </si>
  <si>
    <t>frac</t>
  </si>
  <si>
    <t>inv_i</t>
  </si>
  <si>
    <t>total_inv_i</t>
  </si>
  <si>
    <t>inv_share</t>
  </si>
  <si>
    <t>CODE ALGORITHM</t>
  </si>
  <si>
    <t>x_tilde</t>
  </si>
  <si>
    <t>FD_post</t>
  </si>
  <si>
    <t>diff_d</t>
  </si>
  <si>
    <t>diff_x</t>
  </si>
  <si>
    <t>Total Z reduction</t>
  </si>
  <si>
    <t>negative multiplier</t>
  </si>
  <si>
    <t>Fd implied</t>
  </si>
  <si>
    <t>FD_implied</t>
  </si>
  <si>
    <t>X_s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</si>
</sst>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-* #,##0.000_-;\-* #,##0.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4">
    <xf numFmtId="0" fontId="0" fillId="0" borderId="0" xfId="0"/>
    <xf numFmtId="43" fontId="0" fillId="0" borderId="2" xfId="1" applyFont="1" applyBorder="1"/>
    <xf numFmtId="43" fontId="0" fillId="0" borderId="3" xfId="1" applyFont="1" applyBorder="1"/>
    <xf numFmtId="43" fontId="0" fillId="0" borderId="4" xfId="1" applyFont="1" applyBorder="1"/>
    <xf numFmtId="43" fontId="0" fillId="0" borderId="13" xfId="1" applyFont="1" applyBorder="1"/>
    <xf numFmtId="43" fontId="0" fillId="0" borderId="5" xfId="1" applyFont="1" applyBorder="1"/>
    <xf numFmtId="43" fontId="0" fillId="0" borderId="1" xfId="1" applyFont="1" applyBorder="1"/>
    <xf numFmtId="43" fontId="0" fillId="0" borderId="6" xfId="1" applyFont="1" applyBorder="1"/>
    <xf numFmtId="43" fontId="0" fillId="0" borderId="14" xfId="1" applyFont="1" applyBorder="1"/>
    <xf numFmtId="43" fontId="0" fillId="0" borderId="7" xfId="1" applyFont="1" applyBorder="1"/>
    <xf numFmtId="43" fontId="0" fillId="0" borderId="8" xfId="1" applyFont="1" applyBorder="1"/>
    <xf numFmtId="43" fontId="0" fillId="0" borderId="9" xfId="1" applyFont="1" applyBorder="1"/>
    <xf numFmtId="43" fontId="0" fillId="0" borderId="15" xfId="1" applyFont="1" applyBorder="1"/>
    <xf numFmtId="43" fontId="0" fillId="0" borderId="10" xfId="1" applyFont="1" applyBorder="1"/>
    <xf numFmtId="43" fontId="0" fillId="0" borderId="11" xfId="1" applyFont="1" applyBorder="1"/>
    <xf numFmtId="43" fontId="0" fillId="0" borderId="12" xfId="1" applyFont="1" applyBorder="1"/>
    <xf numFmtId="43" fontId="0" fillId="0" borderId="0" xfId="1" applyFont="1"/>
    <xf numFmtId="164" fontId="0" fillId="0" borderId="0" xfId="1" applyNumberFormat="1" applyFont="1"/>
    <xf numFmtId="165" fontId="0" fillId="0" borderId="0" xfId="0" applyNumberFormat="1"/>
    <xf numFmtId="43" fontId="0" fillId="0" borderId="0" xfId="0" applyNumberFormat="1"/>
    <xf numFmtId="0" fontId="0" fillId="0" borderId="1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43" fontId="0" fillId="0" borderId="30" xfId="1" applyFont="1" applyBorder="1"/>
    <xf numFmtId="0" fontId="0" fillId="0" borderId="2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43" fontId="0" fillId="0" borderId="34" xfId="1" applyFont="1" applyBorder="1"/>
    <xf numFmtId="43" fontId="0" fillId="0" borderId="32" xfId="1" applyFont="1" applyBorder="1"/>
    <xf numFmtId="43" fontId="0" fillId="0" borderId="33" xfId="1" applyFont="1" applyBorder="1"/>
    <xf numFmtId="9" fontId="0" fillId="0" borderId="2" xfId="0" applyNumberFormat="1" applyBorder="1"/>
    <xf numFmtId="9" fontId="0" fillId="0" borderId="5" xfId="0" applyNumberFormat="1" applyBorder="1"/>
    <xf numFmtId="9" fontId="0" fillId="0" borderId="7" xfId="0" applyNumberFormat="1" applyBorder="1"/>
    <xf numFmtId="9" fontId="0" fillId="0" borderId="26" xfId="0" applyNumberFormat="1" applyBorder="1"/>
    <xf numFmtId="9" fontId="0" fillId="0" borderId="27" xfId="0" applyNumberFormat="1" applyBorder="1"/>
    <xf numFmtId="9" fontId="0" fillId="0" borderId="28" xfId="0" applyNumberFormat="1" applyBorder="1"/>
    <xf numFmtId="0" fontId="0" fillId="0" borderId="37" xfId="0" applyBorder="1" applyAlignment="1">
      <alignment horizontal="centerContinuous"/>
    </xf>
    <xf numFmtId="0" fontId="0" fillId="0" borderId="38" xfId="0" applyBorder="1" applyAlignment="1">
      <alignment horizontal="centerContinuous"/>
    </xf>
    <xf numFmtId="43" fontId="0" fillId="0" borderId="13" xfId="1" applyFont="1" applyBorder="1" applyAlignment="1">
      <alignment horizontal="center"/>
    </xf>
    <xf numFmtId="43" fontId="0" fillId="0" borderId="14" xfId="1" applyFont="1" applyBorder="1" applyAlignment="1">
      <alignment horizontal="center"/>
    </xf>
    <xf numFmtId="43" fontId="0" fillId="0" borderId="15" xfId="1" applyFont="1" applyBorder="1" applyAlignment="1">
      <alignment horizontal="center"/>
    </xf>
    <xf numFmtId="43" fontId="0" fillId="0" borderId="10" xfId="1" applyFont="1" applyBorder="1" applyAlignment="1">
      <alignment horizontal="center"/>
    </xf>
    <xf numFmtId="43" fontId="0" fillId="0" borderId="11" xfId="1" applyFont="1" applyBorder="1" applyAlignment="1">
      <alignment horizontal="center"/>
    </xf>
    <xf numFmtId="43" fontId="0" fillId="0" borderId="12" xfId="1" applyFont="1" applyBorder="1" applyAlignment="1">
      <alignment horizontal="center"/>
    </xf>
    <xf numFmtId="43" fontId="0" fillId="0" borderId="29" xfId="1" applyFont="1" applyBorder="1" applyAlignment="1">
      <alignment horizontal="center"/>
    </xf>
    <xf numFmtId="43" fontId="0" fillId="0" borderId="22" xfId="1" applyFont="1" applyBorder="1" applyAlignment="1">
      <alignment horizontal="center"/>
    </xf>
    <xf numFmtId="43" fontId="0" fillId="0" borderId="23" xfId="1" applyFont="1" applyBorder="1" applyAlignment="1">
      <alignment horizontal="center"/>
    </xf>
    <xf numFmtId="0" fontId="0" fillId="0" borderId="21" xfId="0" applyBorder="1" applyAlignment="1">
      <alignment horizontal="center"/>
    </xf>
    <xf numFmtId="43" fontId="0" fillId="0" borderId="39" xfId="1" applyFont="1" applyBorder="1" applyAlignment="1">
      <alignment horizontal="center"/>
    </xf>
    <xf numFmtId="43" fontId="0" fillId="0" borderId="24" xfId="1" applyFont="1" applyBorder="1" applyAlignment="1">
      <alignment horizontal="center"/>
    </xf>
    <xf numFmtId="43" fontId="0" fillId="0" borderId="25" xfId="1" applyFont="1" applyBorder="1" applyAlignment="1">
      <alignment horizontal="center"/>
    </xf>
    <xf numFmtId="43" fontId="0" fillId="0" borderId="13" xfId="0" applyNumberFormat="1" applyBorder="1"/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2" xfId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43" fontId="0" fillId="0" borderId="41" xfId="1" applyFont="1" applyBorder="1"/>
    <xf numFmtId="0" fontId="0" fillId="0" borderId="40" xfId="0" applyBorder="1"/>
    <xf numFmtId="0" fontId="0" fillId="0" borderId="32" xfId="0" applyBorder="1"/>
    <xf numFmtId="0" fontId="0" fillId="0" borderId="42" xfId="0" applyBorder="1"/>
    <xf numFmtId="0" fontId="0" fillId="0" borderId="34" xfId="0" applyBorder="1"/>
    <xf numFmtId="0" fontId="0" fillId="0" borderId="16" xfId="0" applyBorder="1"/>
    <xf numFmtId="43" fontId="0" fillId="0" borderId="16" xfId="0" applyNumberFormat="1" applyBorder="1" applyAlignment="1">
      <alignment horizontal="center"/>
    </xf>
    <xf numFmtId="43" fontId="0" fillId="0" borderId="29" xfId="0" applyNumberFormat="1" applyBorder="1"/>
    <xf numFmtId="43" fontId="0" fillId="0" borderId="22" xfId="0" applyNumberFormat="1" applyBorder="1"/>
    <xf numFmtId="43" fontId="0" fillId="0" borderId="23" xfId="0" applyNumberFormat="1" applyBorder="1"/>
    <xf numFmtId="43" fontId="0" fillId="0" borderId="43" xfId="1" applyFont="1" applyBorder="1"/>
    <xf numFmtId="43" fontId="0" fillId="0" borderId="44" xfId="1" applyFont="1" applyBorder="1"/>
    <xf numFmtId="43" fontId="0" fillId="0" borderId="45" xfId="1" applyFont="1" applyBorder="1"/>
    <xf numFmtId="43" fontId="0" fillId="0" borderId="2" xfId="1" applyFont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43" fontId="0" fillId="0" borderId="5" xfId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43" fontId="0" fillId="2" borderId="2" xfId="1" applyFont="1" applyFill="1" applyBorder="1"/>
    <xf numFmtId="43" fontId="0" fillId="2" borderId="3" xfId="1" applyFont="1" applyFill="1" applyBorder="1"/>
    <xf numFmtId="43" fontId="0" fillId="2" borderId="4" xfId="1" applyFont="1" applyFill="1" applyBorder="1"/>
    <xf numFmtId="43" fontId="0" fillId="2" borderId="5" xfId="1" applyFont="1" applyFill="1" applyBorder="1"/>
    <xf numFmtId="43" fontId="0" fillId="2" borderId="1" xfId="1" applyFont="1" applyFill="1" applyBorder="1"/>
    <xf numFmtId="43" fontId="0" fillId="2" borderId="6" xfId="1" applyFont="1" applyFill="1" applyBorder="1"/>
    <xf numFmtId="43" fontId="0" fillId="2" borderId="7" xfId="1" applyFont="1" applyFill="1" applyBorder="1"/>
    <xf numFmtId="43" fontId="0" fillId="2" borderId="8" xfId="1" applyFont="1" applyFill="1" applyBorder="1"/>
    <xf numFmtId="43" fontId="0" fillId="2" borderId="9" xfId="1" applyFont="1" applyFill="1" applyBorder="1"/>
    <xf numFmtId="43" fontId="0" fillId="2" borderId="13" xfId="1" applyFont="1" applyFill="1" applyBorder="1"/>
    <xf numFmtId="43" fontId="0" fillId="2" borderId="14" xfId="1" applyFont="1" applyFill="1" applyBorder="1"/>
    <xf numFmtId="43" fontId="0" fillId="2" borderId="15" xfId="1" applyFont="1" applyFill="1" applyBorder="1"/>
    <xf numFmtId="166" fontId="0" fillId="0" borderId="13" xfId="1" applyNumberFormat="1" applyFont="1" applyBorder="1" applyAlignment="1">
      <alignment horizontal="center"/>
    </xf>
    <xf numFmtId="166" fontId="0" fillId="0" borderId="14" xfId="1" applyNumberFormat="1" applyFont="1" applyBorder="1" applyAlignment="1">
      <alignment horizontal="center"/>
    </xf>
    <xf numFmtId="166" fontId="0" fillId="0" borderId="15" xfId="1" applyNumberFormat="1" applyFont="1" applyBorder="1" applyAlignment="1">
      <alignment horizontal="center"/>
    </xf>
    <xf numFmtId="43" fontId="0" fillId="3" borderId="0" xfId="1" applyFont="1" applyFill="1"/>
    <xf numFmtId="0" fontId="0" fillId="0" borderId="0" xfId="0" applyAlignment="1">
      <alignment wrapText="1"/>
    </xf>
    <xf numFmtId="9" fontId="0" fillId="0" borderId="0" xfId="2" applyFont="1"/>
    <xf numFmtId="0" fontId="0" fillId="0" borderId="0" xfId="0" applyAlignment="1">
      <alignment horizontal="right"/>
    </xf>
    <xf numFmtId="165" fontId="0" fillId="0" borderId="16" xfId="0" applyNumberFormat="1" applyBorder="1"/>
    <xf numFmtId="43" fontId="0" fillId="0" borderId="16" xfId="1" applyFont="1" applyBorder="1"/>
    <xf numFmtId="165" fontId="0" fillId="0" borderId="19" xfId="0" applyNumberFormat="1" applyBorder="1"/>
    <xf numFmtId="165" fontId="0" fillId="0" borderId="46" xfId="0" applyNumberFormat="1" applyBorder="1"/>
    <xf numFmtId="165" fontId="0" fillId="0" borderId="47" xfId="0" applyNumberFormat="1" applyBorder="1"/>
    <xf numFmtId="165" fontId="0" fillId="0" borderId="48" xfId="0" applyNumberFormat="1" applyBorder="1"/>
    <xf numFmtId="43" fontId="0" fillId="0" borderId="31" xfId="1" applyFont="1" applyBorder="1"/>
    <xf numFmtId="43" fontId="0" fillId="0" borderId="19" xfId="1" applyFont="1" applyBorder="1"/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43" fontId="0" fillId="0" borderId="0" xfId="1" applyFont="1" applyFill="1" applyBorder="1" applyAlignment="1">
      <alignment horizontal="center" vertical="center"/>
    </xf>
    <xf numFmtId="0" fontId="0" fillId="0" borderId="2" xfId="0" applyBorder="1"/>
    <xf numFmtId="0" fontId="0" fillId="0" borderId="4" xfId="0" applyBorder="1"/>
    <xf numFmtId="165" fontId="0" fillId="0" borderId="6" xfId="0" applyNumberFormat="1" applyBorder="1"/>
    <xf numFmtId="165" fontId="0" fillId="0" borderId="9" xfId="0" applyNumberFormat="1" applyBorder="1"/>
    <xf numFmtId="43" fontId="0" fillId="0" borderId="41" xfId="1" applyFont="1" applyBorder="1" applyAlignment="1">
      <alignment horizontal="center" vertical="center"/>
    </xf>
    <xf numFmtId="43" fontId="0" fillId="0" borderId="32" xfId="1" applyFont="1" applyBorder="1" applyAlignment="1">
      <alignment horizontal="center" vertical="center"/>
    </xf>
    <xf numFmtId="43" fontId="0" fillId="4" borderId="2" xfId="1" applyFont="1" applyFill="1" applyBorder="1"/>
    <xf numFmtId="43" fontId="0" fillId="4" borderId="3" xfId="1" applyFont="1" applyFill="1" applyBorder="1"/>
    <xf numFmtId="43" fontId="0" fillId="4" borderId="4" xfId="1" applyFont="1" applyFill="1" applyBorder="1"/>
    <xf numFmtId="43" fontId="0" fillId="4" borderId="5" xfId="1" applyFont="1" applyFill="1" applyBorder="1"/>
    <xf numFmtId="43" fontId="0" fillId="4" borderId="1" xfId="1" applyFont="1" applyFill="1" applyBorder="1"/>
    <xf numFmtId="43" fontId="0" fillId="4" borderId="6" xfId="1" applyFont="1" applyFill="1" applyBorder="1"/>
    <xf numFmtId="43" fontId="0" fillId="4" borderId="7" xfId="1" applyFont="1" applyFill="1" applyBorder="1"/>
    <xf numFmtId="43" fontId="0" fillId="4" borderId="8" xfId="1" applyFont="1" applyFill="1" applyBorder="1"/>
    <xf numFmtId="43" fontId="0" fillId="4" borderId="9" xfId="1" applyFont="1" applyFill="1" applyBorder="1"/>
    <xf numFmtId="43" fontId="0" fillId="2" borderId="10" xfId="1" applyFont="1" applyFill="1" applyBorder="1"/>
    <xf numFmtId="43" fontId="0" fillId="2" borderId="11" xfId="1" applyFont="1" applyFill="1" applyBorder="1"/>
    <xf numFmtId="43" fontId="0" fillId="2" borderId="12" xfId="1" applyFont="1" applyFill="1" applyBorder="1"/>
    <xf numFmtId="43" fontId="0" fillId="0" borderId="13" xfId="1" applyFont="1" applyFill="1" applyBorder="1"/>
    <xf numFmtId="43" fontId="0" fillId="0" borderId="14" xfId="1" applyFont="1" applyFill="1" applyBorder="1"/>
    <xf numFmtId="43" fontId="0" fillId="0" borderId="15" xfId="1" applyFont="1" applyFill="1" applyBorder="1"/>
    <xf numFmtId="43" fontId="1" fillId="0" borderId="1" xfId="1" applyFont="1" applyBorder="1" applyAlignment="1">
      <alignment horizontal="center" vertical="center"/>
    </xf>
    <xf numFmtId="43" fontId="0" fillId="2" borderId="34" xfId="1" applyFont="1" applyFill="1" applyBorder="1"/>
    <xf numFmtId="43" fontId="0" fillId="2" borderId="32" xfId="1" applyFont="1" applyFill="1" applyBorder="1"/>
    <xf numFmtId="43" fontId="0" fillId="2" borderId="33" xfId="1" applyFont="1" applyFill="1" applyBorder="1"/>
    <xf numFmtId="9" fontId="0" fillId="2" borderId="2" xfId="0" applyNumberFormat="1" applyFill="1" applyBorder="1"/>
    <xf numFmtId="9" fontId="0" fillId="2" borderId="5" xfId="0" applyNumberFormat="1" applyFill="1" applyBorder="1"/>
    <xf numFmtId="9" fontId="0" fillId="2" borderId="7" xfId="0" applyNumberFormat="1" applyFill="1" applyBorder="1"/>
    <xf numFmtId="10" fontId="0" fillId="0" borderId="0" xfId="2" applyNumberFormat="1" applyFont="1"/>
  </cellXfs>
  <cellStyles count="3">
    <cellStyle name="Migliaia" xfId="1" builtinId="3"/>
    <cellStyle name="Normale" xfId="0" builtinId="0"/>
    <cellStyle name="Percentuale" xfId="2" builtinId="5"/>
  </cellStyles>
  <dxfs count="36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rgb="FFC0000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i Office">
  <a:themeElements>
    <a:clrScheme name="OpenEconomics 2025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63D57"/>
      </a:accent1>
      <a:accent2>
        <a:srgbClr val="009EA5"/>
      </a:accent2>
      <a:accent3>
        <a:srgbClr val="A9AF00"/>
      </a:accent3>
      <a:accent4>
        <a:srgbClr val="B90057"/>
      </a:accent4>
      <a:accent5>
        <a:srgbClr val="EBB95A"/>
      </a:accent5>
      <a:accent6>
        <a:srgbClr val="2C3D68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F216C-103C-44FA-BAF4-B21DDBB48273}">
  <dimension ref="A3:AJ243"/>
  <sheetViews>
    <sheetView showGridLines="0" topLeftCell="A180" zoomScaleNormal="100" workbookViewId="0">
      <selection activeCell="D188" sqref="D188"/>
    </sheetView>
  </sheetViews>
  <sheetFormatPr defaultRowHeight="15" x14ac:dyDescent="0.25"/>
  <cols>
    <col min="1" max="1" width="12.7109375" style="65" customWidth="1"/>
    <col min="2" max="14" width="12.7109375" customWidth="1"/>
    <col min="15" max="15" width="16.7109375" bestFit="1" customWidth="1"/>
    <col min="16" max="23" width="12.7109375" customWidth="1"/>
    <col min="29" max="29" width="16.28515625" bestFit="1" customWidth="1"/>
  </cols>
  <sheetData>
    <row r="3" spans="3:18" ht="15.75" thickBot="1" x14ac:dyDescent="0.3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.75" thickBot="1" x14ac:dyDescent="0.3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25">
      <c r="C5" s="20" t="s">
        <v>1</v>
      </c>
      <c r="D5" s="28" t="s">
        <v>51</v>
      </c>
      <c r="E5" s="1">
        <v>10</v>
      </c>
      <c r="F5" s="2">
        <v>5</v>
      </c>
      <c r="G5" s="2">
        <v>10</v>
      </c>
      <c r="H5" s="2">
        <v>1</v>
      </c>
      <c r="I5" s="2">
        <v>0</v>
      </c>
      <c r="J5" s="2">
        <v>8</v>
      </c>
      <c r="K5" s="2">
        <v>3</v>
      </c>
      <c r="L5" s="2">
        <v>7</v>
      </c>
      <c r="M5" s="3">
        <v>2</v>
      </c>
      <c r="N5" s="24">
        <v>25</v>
      </c>
      <c r="O5" s="29">
        <f>+SUM(E5:N5)</f>
        <v>71</v>
      </c>
      <c r="P5" s="62" cm="1">
        <f t="array" ref="P5:P13">+MMULT(E21:M29,O5:O13)</f>
        <v>46</v>
      </c>
      <c r="Q5" s="61">
        <f>+P5+N5</f>
        <v>71</v>
      </c>
      <c r="R5" s="61" t="b">
        <f>+Q5=O5</f>
        <v>1</v>
      </c>
    </row>
    <row r="6" spans="3:18" x14ac:dyDescent="0.25">
      <c r="C6" s="20" t="s">
        <v>1</v>
      </c>
      <c r="D6" s="25" t="s">
        <v>52</v>
      </c>
      <c r="E6" s="5">
        <v>8</v>
      </c>
      <c r="F6" s="6">
        <v>3</v>
      </c>
      <c r="G6" s="6">
        <v>9</v>
      </c>
      <c r="H6" s="6">
        <v>4</v>
      </c>
      <c r="I6" s="6">
        <v>2</v>
      </c>
      <c r="J6" s="6">
        <v>10</v>
      </c>
      <c r="K6" s="6">
        <v>1</v>
      </c>
      <c r="L6" s="6">
        <v>4</v>
      </c>
      <c r="M6" s="7">
        <v>7</v>
      </c>
      <c r="N6" s="8">
        <v>7</v>
      </c>
      <c r="O6" s="30">
        <f t="shared" ref="O6:O13" si="0">+SUM(E6:N6)</f>
        <v>55</v>
      </c>
      <c r="P6" s="62">
        <v>48</v>
      </c>
      <c r="Q6" s="61">
        <f t="shared" ref="Q6:Q13" si="1">+P6+N6</f>
        <v>55</v>
      </c>
      <c r="R6" s="61" t="b">
        <f t="shared" ref="R6:R13" si="2">+Q6=O6</f>
        <v>1</v>
      </c>
    </row>
    <row r="7" spans="3:18" x14ac:dyDescent="0.25">
      <c r="C7" s="20" t="s">
        <v>1</v>
      </c>
      <c r="D7" s="25" t="s">
        <v>53</v>
      </c>
      <c r="E7" s="5">
        <v>0</v>
      </c>
      <c r="F7" s="6">
        <v>0</v>
      </c>
      <c r="G7" s="6">
        <v>0</v>
      </c>
      <c r="H7" s="6">
        <v>7</v>
      </c>
      <c r="I7" s="6">
        <v>4</v>
      </c>
      <c r="J7" s="6">
        <v>4</v>
      </c>
      <c r="K7" s="6">
        <v>7</v>
      </c>
      <c r="L7" s="6">
        <v>4</v>
      </c>
      <c r="M7" s="7">
        <v>7</v>
      </c>
      <c r="N7" s="8">
        <v>14</v>
      </c>
      <c r="O7" s="30">
        <f t="shared" si="0"/>
        <v>47</v>
      </c>
      <c r="P7" s="62">
        <v>33</v>
      </c>
      <c r="Q7" s="61">
        <f t="shared" si="1"/>
        <v>47</v>
      </c>
      <c r="R7" s="61" t="b">
        <f t="shared" si="2"/>
        <v>1</v>
      </c>
    </row>
    <row r="8" spans="3:18" x14ac:dyDescent="0.25">
      <c r="C8" s="20" t="s">
        <v>10</v>
      </c>
      <c r="D8" s="25" t="str">
        <f>+D5</f>
        <v>Agr</v>
      </c>
      <c r="E8" s="5">
        <v>9</v>
      </c>
      <c r="F8" s="6">
        <v>5</v>
      </c>
      <c r="G8" s="6">
        <v>4</v>
      </c>
      <c r="H8" s="6">
        <v>7</v>
      </c>
      <c r="I8" s="6">
        <v>10</v>
      </c>
      <c r="J8" s="6">
        <v>9</v>
      </c>
      <c r="K8" s="6">
        <v>10</v>
      </c>
      <c r="L8" s="6">
        <v>9</v>
      </c>
      <c r="M8" s="7">
        <v>9</v>
      </c>
      <c r="N8" s="8">
        <v>10</v>
      </c>
      <c r="O8" s="30">
        <f t="shared" si="0"/>
        <v>82</v>
      </c>
      <c r="P8" s="62">
        <v>72</v>
      </c>
      <c r="Q8" s="61">
        <f t="shared" si="1"/>
        <v>82</v>
      </c>
      <c r="R8" s="61" t="b">
        <f t="shared" si="2"/>
        <v>1</v>
      </c>
    </row>
    <row r="9" spans="3:18" x14ac:dyDescent="0.25">
      <c r="C9" s="20" t="s">
        <v>10</v>
      </c>
      <c r="D9" s="25" t="str">
        <f t="shared" ref="D9:D13" si="3">+D6</f>
        <v>Ind</v>
      </c>
      <c r="E9" s="5">
        <v>4</v>
      </c>
      <c r="F9" s="6">
        <v>2</v>
      </c>
      <c r="G9" s="6">
        <v>3</v>
      </c>
      <c r="H9" s="6">
        <v>6</v>
      </c>
      <c r="I9" s="6">
        <v>7</v>
      </c>
      <c r="J9" s="6">
        <v>4</v>
      </c>
      <c r="K9" s="6">
        <v>9</v>
      </c>
      <c r="L9" s="6">
        <v>2</v>
      </c>
      <c r="M9" s="7">
        <v>8</v>
      </c>
      <c r="N9" s="8">
        <v>5</v>
      </c>
      <c r="O9" s="30">
        <f t="shared" si="0"/>
        <v>50</v>
      </c>
      <c r="P9" s="62">
        <v>45</v>
      </c>
      <c r="Q9" s="61">
        <f t="shared" si="1"/>
        <v>50</v>
      </c>
      <c r="R9" s="61" t="b">
        <f t="shared" si="2"/>
        <v>1</v>
      </c>
    </row>
    <row r="10" spans="3:18" x14ac:dyDescent="0.25">
      <c r="C10" s="20" t="s">
        <v>10</v>
      </c>
      <c r="D10" s="25" t="str">
        <f t="shared" si="3"/>
        <v>Serv</v>
      </c>
      <c r="E10" s="5">
        <v>6</v>
      </c>
      <c r="F10" s="6">
        <v>5</v>
      </c>
      <c r="G10" s="6">
        <v>4</v>
      </c>
      <c r="H10" s="6">
        <v>1</v>
      </c>
      <c r="I10" s="6">
        <v>9</v>
      </c>
      <c r="J10" s="6">
        <v>2</v>
      </c>
      <c r="K10" s="6">
        <v>1</v>
      </c>
      <c r="L10" s="6">
        <v>6</v>
      </c>
      <c r="M10" s="7">
        <v>1</v>
      </c>
      <c r="N10" s="8">
        <v>20</v>
      </c>
      <c r="O10" s="30">
        <f t="shared" si="0"/>
        <v>55</v>
      </c>
      <c r="P10" s="62">
        <v>35</v>
      </c>
      <c r="Q10" s="61">
        <f t="shared" si="1"/>
        <v>55</v>
      </c>
      <c r="R10" s="61" t="b">
        <f t="shared" si="2"/>
        <v>1</v>
      </c>
    </row>
    <row r="11" spans="3:18" x14ac:dyDescent="0.25">
      <c r="C11" s="20" t="s">
        <v>11</v>
      </c>
      <c r="D11" s="25" t="str">
        <f t="shared" si="3"/>
        <v>Agr</v>
      </c>
      <c r="E11" s="5">
        <v>3</v>
      </c>
      <c r="F11" s="6">
        <v>10</v>
      </c>
      <c r="G11" s="6">
        <v>8</v>
      </c>
      <c r="H11" s="6">
        <v>9</v>
      </c>
      <c r="I11" s="6">
        <v>10</v>
      </c>
      <c r="J11" s="6">
        <v>0</v>
      </c>
      <c r="K11" s="6">
        <v>7</v>
      </c>
      <c r="L11" s="6">
        <v>9</v>
      </c>
      <c r="M11" s="7">
        <v>8</v>
      </c>
      <c r="N11" s="8">
        <v>15</v>
      </c>
      <c r="O11" s="30">
        <f t="shared" si="0"/>
        <v>79</v>
      </c>
      <c r="P11" s="62">
        <v>64</v>
      </c>
      <c r="Q11" s="61">
        <f t="shared" si="1"/>
        <v>79</v>
      </c>
      <c r="R11" s="61" t="b">
        <f t="shared" si="2"/>
        <v>1</v>
      </c>
    </row>
    <row r="12" spans="3:18" x14ac:dyDescent="0.25">
      <c r="C12" s="20" t="s">
        <v>11</v>
      </c>
      <c r="D12" s="25" t="str">
        <f t="shared" si="3"/>
        <v>Ind</v>
      </c>
      <c r="E12" s="5">
        <v>1</v>
      </c>
      <c r="F12" s="6">
        <v>8</v>
      </c>
      <c r="G12" s="6">
        <v>0</v>
      </c>
      <c r="H12" s="6">
        <v>9</v>
      </c>
      <c r="I12" s="6">
        <v>0</v>
      </c>
      <c r="J12" s="6">
        <v>0</v>
      </c>
      <c r="K12" s="6">
        <v>8</v>
      </c>
      <c r="L12" s="6">
        <v>10</v>
      </c>
      <c r="M12" s="7">
        <v>1</v>
      </c>
      <c r="N12" s="8">
        <v>28</v>
      </c>
      <c r="O12" s="30">
        <f t="shared" si="0"/>
        <v>65</v>
      </c>
      <c r="P12" s="62">
        <v>37</v>
      </c>
      <c r="Q12" s="61">
        <f t="shared" si="1"/>
        <v>65</v>
      </c>
      <c r="R12" s="61" t="b">
        <f t="shared" si="2"/>
        <v>1</v>
      </c>
    </row>
    <row r="13" spans="3:18" x14ac:dyDescent="0.25">
      <c r="C13" s="20" t="s">
        <v>11</v>
      </c>
      <c r="D13" s="25" t="str">
        <f t="shared" si="3"/>
        <v>Serv</v>
      </c>
      <c r="E13" s="9">
        <v>10</v>
      </c>
      <c r="F13" s="10">
        <v>2</v>
      </c>
      <c r="G13" s="10">
        <v>4</v>
      </c>
      <c r="H13" s="10">
        <v>10</v>
      </c>
      <c r="I13" s="10">
        <v>0</v>
      </c>
      <c r="J13" s="10">
        <v>0</v>
      </c>
      <c r="K13" s="10">
        <v>3</v>
      </c>
      <c r="L13" s="10">
        <v>0</v>
      </c>
      <c r="M13" s="11">
        <v>7</v>
      </c>
      <c r="N13" s="12">
        <v>24</v>
      </c>
      <c r="O13" s="31">
        <f t="shared" si="0"/>
        <v>60</v>
      </c>
      <c r="P13" s="62">
        <v>36</v>
      </c>
      <c r="Q13" s="61">
        <f t="shared" si="1"/>
        <v>60</v>
      </c>
      <c r="R13" s="61" t="b">
        <f t="shared" si="2"/>
        <v>1</v>
      </c>
    </row>
    <row r="14" spans="3:18" x14ac:dyDescent="0.25">
      <c r="D14" s="22" t="s">
        <v>9</v>
      </c>
      <c r="E14" s="13">
        <v>20</v>
      </c>
      <c r="F14" s="14">
        <v>15</v>
      </c>
      <c r="G14" s="14">
        <v>5</v>
      </c>
      <c r="H14" s="14">
        <v>28</v>
      </c>
      <c r="I14" s="14">
        <v>8</v>
      </c>
      <c r="J14" s="14">
        <v>18</v>
      </c>
      <c r="K14" s="14">
        <v>30</v>
      </c>
      <c r="L14" s="14">
        <v>14</v>
      </c>
      <c r="M14" s="15">
        <v>10</v>
      </c>
      <c r="N14" s="19">
        <f>+SUM(E5:M13)</f>
        <v>416</v>
      </c>
      <c r="O14" s="19">
        <f>SUM(O5:O13)</f>
        <v>564</v>
      </c>
      <c r="R14" s="18"/>
    </row>
    <row r="15" spans="3:18" x14ac:dyDescent="0.25">
      <c r="D15" s="20" t="s">
        <v>8</v>
      </c>
      <c r="E15" s="13">
        <f t="shared" ref="E15:L15" si="4">SUM(E5:E14)</f>
        <v>71</v>
      </c>
      <c r="F15" s="14">
        <f t="shared" si="4"/>
        <v>55</v>
      </c>
      <c r="G15" s="14">
        <f t="shared" si="4"/>
        <v>47</v>
      </c>
      <c r="H15" s="14">
        <f t="shared" si="4"/>
        <v>82</v>
      </c>
      <c r="I15" s="14">
        <f t="shared" si="4"/>
        <v>50</v>
      </c>
      <c r="J15" s="14">
        <f t="shared" si="4"/>
        <v>55</v>
      </c>
      <c r="K15" s="14">
        <f t="shared" si="4"/>
        <v>79</v>
      </c>
      <c r="L15" s="14">
        <f t="shared" si="4"/>
        <v>65</v>
      </c>
      <c r="M15" s="15">
        <f>SUM(M5:M14)</f>
        <v>60</v>
      </c>
      <c r="R15" s="18"/>
    </row>
    <row r="16" spans="3:18" x14ac:dyDescent="0.25">
      <c r="E16" s="16" cm="1">
        <f t="array" ref="E16:M16">+TRANSPOSE(O5:O13)</f>
        <v>71</v>
      </c>
      <c r="F16" s="16">
        <v>55</v>
      </c>
      <c r="G16" s="16">
        <v>47</v>
      </c>
      <c r="H16" s="16">
        <v>82</v>
      </c>
      <c r="I16" s="16">
        <v>50</v>
      </c>
      <c r="J16" s="16">
        <v>55</v>
      </c>
      <c r="K16" s="16">
        <v>79</v>
      </c>
      <c r="L16" s="16">
        <v>65</v>
      </c>
      <c r="M16" s="16">
        <v>60</v>
      </c>
      <c r="R16" s="18"/>
    </row>
    <row r="17" spans="3:18" x14ac:dyDescent="0.25">
      <c r="E17" s="17">
        <f>+E15-E16</f>
        <v>0</v>
      </c>
      <c r="F17" s="17">
        <f t="shared" ref="F17:I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ref="J17:M17" si="6">+J15-J16</f>
        <v>0</v>
      </c>
      <c r="K17" s="17">
        <f t="shared" si="6"/>
        <v>0</v>
      </c>
      <c r="L17" s="17">
        <f t="shared" si="6"/>
        <v>0</v>
      </c>
      <c r="M17" s="17">
        <f t="shared" si="6"/>
        <v>0</v>
      </c>
      <c r="R17" s="18"/>
    </row>
    <row r="18" spans="3:18" x14ac:dyDescent="0.25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.75" thickBot="1" x14ac:dyDescent="0.3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.75" thickBot="1" x14ac:dyDescent="0.3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25">
      <c r="C21" s="20" t="s">
        <v>1</v>
      </c>
      <c r="D21" s="28" t="s">
        <v>51</v>
      </c>
      <c r="E21" s="1">
        <f>+E5/E$15</f>
        <v>0.14084507042253522</v>
      </c>
      <c r="F21" s="2">
        <f t="shared" ref="F21:M21" si="7">+F5/F$15</f>
        <v>9.0909090909090912E-2</v>
      </c>
      <c r="G21" s="2">
        <f t="shared" si="7"/>
        <v>0.21276595744680851</v>
      </c>
      <c r="H21" s="2">
        <f t="shared" si="7"/>
        <v>1.2195121951219513E-2</v>
      </c>
      <c r="I21" s="2">
        <f t="shared" si="7"/>
        <v>0</v>
      </c>
      <c r="J21" s="2">
        <f t="shared" si="7"/>
        <v>0.14545454545454545</v>
      </c>
      <c r="K21" s="2">
        <f t="shared" si="7"/>
        <v>3.7974683544303799E-2</v>
      </c>
      <c r="L21" s="2">
        <f t="shared" si="7"/>
        <v>0.1076923076923077</v>
      </c>
      <c r="M21" s="3">
        <f t="shared" si="7"/>
        <v>3.3333333333333333E-2</v>
      </c>
    </row>
    <row r="22" spans="3:18" x14ac:dyDescent="0.25">
      <c r="C22" s="20" t="s">
        <v>1</v>
      </c>
      <c r="D22" s="25" t="s">
        <v>52</v>
      </c>
      <c r="E22" s="5">
        <f t="shared" ref="E22:M22" si="8">+E6/E$15</f>
        <v>0.11267605633802817</v>
      </c>
      <c r="F22" s="6">
        <f t="shared" si="8"/>
        <v>5.4545454545454543E-2</v>
      </c>
      <c r="G22" s="6">
        <f t="shared" si="8"/>
        <v>0.19148936170212766</v>
      </c>
      <c r="H22" s="6">
        <f t="shared" si="8"/>
        <v>4.878048780487805E-2</v>
      </c>
      <c r="I22" s="6">
        <f t="shared" si="8"/>
        <v>0.04</v>
      </c>
      <c r="J22" s="6">
        <f t="shared" si="8"/>
        <v>0.18181818181818182</v>
      </c>
      <c r="K22" s="6">
        <f t="shared" si="8"/>
        <v>1.2658227848101266E-2</v>
      </c>
      <c r="L22" s="6">
        <f t="shared" si="8"/>
        <v>6.1538461538461542E-2</v>
      </c>
      <c r="M22" s="7">
        <f t="shared" si="8"/>
        <v>0.11666666666666667</v>
      </c>
    </row>
    <row r="23" spans="3:18" x14ac:dyDescent="0.25">
      <c r="C23" s="20" t="s">
        <v>1</v>
      </c>
      <c r="D23" s="25" t="s">
        <v>53</v>
      </c>
      <c r="E23" s="5">
        <f t="shared" ref="E23:M23" si="9">+E7/E$15</f>
        <v>0</v>
      </c>
      <c r="F23" s="6">
        <f t="shared" si="9"/>
        <v>0</v>
      </c>
      <c r="G23" s="6">
        <f t="shared" si="9"/>
        <v>0</v>
      </c>
      <c r="H23" s="6">
        <f t="shared" si="9"/>
        <v>8.5365853658536592E-2</v>
      </c>
      <c r="I23" s="6">
        <f t="shared" si="9"/>
        <v>0.08</v>
      </c>
      <c r="J23" s="6">
        <f t="shared" si="9"/>
        <v>7.2727272727272724E-2</v>
      </c>
      <c r="K23" s="6">
        <f t="shared" si="9"/>
        <v>8.8607594936708861E-2</v>
      </c>
      <c r="L23" s="6">
        <f t="shared" si="9"/>
        <v>6.1538461538461542E-2</v>
      </c>
      <c r="M23" s="7">
        <f t="shared" si="9"/>
        <v>0.11666666666666667</v>
      </c>
    </row>
    <row r="24" spans="3:18" x14ac:dyDescent="0.25">
      <c r="C24" s="20" t="s">
        <v>10</v>
      </c>
      <c r="D24" s="25" t="str">
        <f>+D21</f>
        <v>Agr</v>
      </c>
      <c r="E24" s="5">
        <f t="shared" ref="E24:M24" si="10">+E8/E$15</f>
        <v>0.12676056338028169</v>
      </c>
      <c r="F24" s="6">
        <f t="shared" si="10"/>
        <v>9.0909090909090912E-2</v>
      </c>
      <c r="G24" s="6">
        <f t="shared" si="10"/>
        <v>8.5106382978723402E-2</v>
      </c>
      <c r="H24" s="6">
        <f t="shared" si="10"/>
        <v>8.5365853658536592E-2</v>
      </c>
      <c r="I24" s="6">
        <f t="shared" si="10"/>
        <v>0.2</v>
      </c>
      <c r="J24" s="6">
        <f t="shared" si="10"/>
        <v>0.16363636363636364</v>
      </c>
      <c r="K24" s="6">
        <f t="shared" si="10"/>
        <v>0.12658227848101267</v>
      </c>
      <c r="L24" s="6">
        <f t="shared" si="10"/>
        <v>0.13846153846153847</v>
      </c>
      <c r="M24" s="7">
        <f t="shared" si="10"/>
        <v>0.15</v>
      </c>
    </row>
    <row r="25" spans="3:18" x14ac:dyDescent="0.25">
      <c r="C25" s="20" t="s">
        <v>10</v>
      </c>
      <c r="D25" s="25" t="str">
        <f t="shared" ref="D25:D29" si="11">+D22</f>
        <v>Ind</v>
      </c>
      <c r="E25" s="5">
        <f t="shared" ref="E25:M25" si="12">+E9/E$15</f>
        <v>5.6338028169014086E-2</v>
      </c>
      <c r="F25" s="6">
        <f t="shared" si="12"/>
        <v>3.6363636363636362E-2</v>
      </c>
      <c r="G25" s="6">
        <f t="shared" si="12"/>
        <v>6.3829787234042548E-2</v>
      </c>
      <c r="H25" s="6">
        <f t="shared" si="12"/>
        <v>7.3170731707317069E-2</v>
      </c>
      <c r="I25" s="6">
        <f t="shared" si="12"/>
        <v>0.14000000000000001</v>
      </c>
      <c r="J25" s="6">
        <f t="shared" si="12"/>
        <v>7.2727272727272724E-2</v>
      </c>
      <c r="K25" s="6">
        <f t="shared" si="12"/>
        <v>0.11392405063291139</v>
      </c>
      <c r="L25" s="6">
        <f t="shared" si="12"/>
        <v>3.0769230769230771E-2</v>
      </c>
      <c r="M25" s="7">
        <f t="shared" si="12"/>
        <v>0.13333333333333333</v>
      </c>
    </row>
    <row r="26" spans="3:18" x14ac:dyDescent="0.25">
      <c r="C26" s="20" t="s">
        <v>10</v>
      </c>
      <c r="D26" s="25" t="str">
        <f t="shared" si="11"/>
        <v>Serv</v>
      </c>
      <c r="E26" s="5">
        <f t="shared" ref="E26:M26" si="13">+E10/E$15</f>
        <v>8.4507042253521125E-2</v>
      </c>
      <c r="F26" s="6">
        <f t="shared" si="13"/>
        <v>9.0909090909090912E-2</v>
      </c>
      <c r="G26" s="6">
        <f t="shared" si="13"/>
        <v>8.5106382978723402E-2</v>
      </c>
      <c r="H26" s="6">
        <f t="shared" si="13"/>
        <v>1.2195121951219513E-2</v>
      </c>
      <c r="I26" s="6">
        <f t="shared" si="13"/>
        <v>0.18</v>
      </c>
      <c r="J26" s="6">
        <f t="shared" si="13"/>
        <v>3.6363636363636362E-2</v>
      </c>
      <c r="K26" s="6">
        <f t="shared" si="13"/>
        <v>1.2658227848101266E-2</v>
      </c>
      <c r="L26" s="6">
        <f t="shared" si="13"/>
        <v>9.2307692307692313E-2</v>
      </c>
      <c r="M26" s="7">
        <f t="shared" si="13"/>
        <v>1.6666666666666666E-2</v>
      </c>
    </row>
    <row r="27" spans="3:18" x14ac:dyDescent="0.25">
      <c r="C27" s="20" t="s">
        <v>11</v>
      </c>
      <c r="D27" s="25" t="str">
        <f t="shared" si="11"/>
        <v>Agr</v>
      </c>
      <c r="E27" s="5">
        <f t="shared" ref="E27:M27" si="14">+E11/E$15</f>
        <v>4.2253521126760563E-2</v>
      </c>
      <c r="F27" s="6">
        <f t="shared" si="14"/>
        <v>0.18181818181818182</v>
      </c>
      <c r="G27" s="6">
        <f t="shared" si="14"/>
        <v>0.1702127659574468</v>
      </c>
      <c r="H27" s="6">
        <f t="shared" si="14"/>
        <v>0.10975609756097561</v>
      </c>
      <c r="I27" s="6">
        <f t="shared" si="14"/>
        <v>0.2</v>
      </c>
      <c r="J27" s="6">
        <f t="shared" si="14"/>
        <v>0</v>
      </c>
      <c r="K27" s="6">
        <f t="shared" si="14"/>
        <v>8.8607594936708861E-2</v>
      </c>
      <c r="L27" s="6">
        <f t="shared" si="14"/>
        <v>0.13846153846153847</v>
      </c>
      <c r="M27" s="7">
        <f t="shared" si="14"/>
        <v>0.13333333333333333</v>
      </c>
    </row>
    <row r="28" spans="3:18" x14ac:dyDescent="0.25">
      <c r="C28" s="20" t="s">
        <v>11</v>
      </c>
      <c r="D28" s="25" t="str">
        <f t="shared" si="11"/>
        <v>Ind</v>
      </c>
      <c r="E28" s="5">
        <f t="shared" ref="E28:M28" si="15">+E12/E$15</f>
        <v>1.4084507042253521E-2</v>
      </c>
      <c r="F28" s="6">
        <f t="shared" si="15"/>
        <v>0.14545454545454545</v>
      </c>
      <c r="G28" s="6">
        <f t="shared" si="15"/>
        <v>0</v>
      </c>
      <c r="H28" s="6">
        <f t="shared" si="15"/>
        <v>0.10975609756097561</v>
      </c>
      <c r="I28" s="6">
        <f t="shared" si="15"/>
        <v>0</v>
      </c>
      <c r="J28" s="6">
        <f t="shared" si="15"/>
        <v>0</v>
      </c>
      <c r="K28" s="6">
        <f t="shared" si="15"/>
        <v>0.10126582278481013</v>
      </c>
      <c r="L28" s="6">
        <f t="shared" si="15"/>
        <v>0.15384615384615385</v>
      </c>
      <c r="M28" s="7">
        <f t="shared" si="15"/>
        <v>1.6666666666666666E-2</v>
      </c>
    </row>
    <row r="29" spans="3:18" x14ac:dyDescent="0.25">
      <c r="C29" s="20" t="s">
        <v>11</v>
      </c>
      <c r="D29" s="25" t="str">
        <f t="shared" si="11"/>
        <v>Serv</v>
      </c>
      <c r="E29" s="9">
        <f t="shared" ref="E29:M29" si="16">+E13/E$15</f>
        <v>0.14084507042253522</v>
      </c>
      <c r="F29" s="10">
        <f t="shared" si="16"/>
        <v>3.6363636363636362E-2</v>
      </c>
      <c r="G29" s="10">
        <f t="shared" si="16"/>
        <v>8.5106382978723402E-2</v>
      </c>
      <c r="H29" s="10">
        <f t="shared" si="16"/>
        <v>0.12195121951219512</v>
      </c>
      <c r="I29" s="10">
        <f t="shared" si="16"/>
        <v>0</v>
      </c>
      <c r="J29" s="10">
        <f t="shared" si="16"/>
        <v>0</v>
      </c>
      <c r="K29" s="10">
        <f t="shared" si="16"/>
        <v>3.7974683544303799E-2</v>
      </c>
      <c r="L29" s="10">
        <f t="shared" si="16"/>
        <v>0</v>
      </c>
      <c r="M29" s="11">
        <f t="shared" si="16"/>
        <v>0.11666666666666667</v>
      </c>
    </row>
    <row r="30" spans="3:18" x14ac:dyDescent="0.25">
      <c r="D30" s="22" t="s">
        <v>9</v>
      </c>
      <c r="E30" s="13">
        <f t="shared" ref="E30:M30" si="17">+E14/E$15</f>
        <v>0.28169014084507044</v>
      </c>
      <c r="F30" s="14">
        <f t="shared" si="17"/>
        <v>0.27272727272727271</v>
      </c>
      <c r="G30" s="14">
        <f t="shared" si="17"/>
        <v>0.10638297872340426</v>
      </c>
      <c r="H30" s="14">
        <f t="shared" si="17"/>
        <v>0.34146341463414637</v>
      </c>
      <c r="I30" s="14">
        <f t="shared" si="17"/>
        <v>0.16</v>
      </c>
      <c r="J30" s="14">
        <f t="shared" si="17"/>
        <v>0.32727272727272727</v>
      </c>
      <c r="K30" s="14">
        <f t="shared" si="17"/>
        <v>0.379746835443038</v>
      </c>
      <c r="L30" s="14">
        <f t="shared" si="17"/>
        <v>0.2153846153846154</v>
      </c>
      <c r="M30" s="15">
        <f t="shared" si="17"/>
        <v>0.16666666666666666</v>
      </c>
    </row>
    <row r="31" spans="3:18" x14ac:dyDescent="0.25">
      <c r="D31" s="20" t="s">
        <v>8</v>
      </c>
      <c r="E31" s="13">
        <f t="shared" ref="E31:M31" si="18">SUM(E21:E30)</f>
        <v>1</v>
      </c>
      <c r="F31" s="14">
        <f t="shared" si="18"/>
        <v>1</v>
      </c>
      <c r="G31" s="14">
        <f t="shared" si="18"/>
        <v>1</v>
      </c>
      <c r="H31" s="14">
        <f t="shared" si="18"/>
        <v>1</v>
      </c>
      <c r="I31" s="14">
        <f t="shared" si="18"/>
        <v>1</v>
      </c>
      <c r="J31" s="14">
        <f t="shared" si="18"/>
        <v>1</v>
      </c>
      <c r="K31" s="14">
        <f t="shared" si="18"/>
        <v>1</v>
      </c>
      <c r="L31" s="14">
        <f t="shared" si="18"/>
        <v>1</v>
      </c>
      <c r="M31" s="15">
        <f t="shared" si="18"/>
        <v>1</v>
      </c>
    </row>
    <row r="34" spans="2:18" ht="15.75" thickBot="1" x14ac:dyDescent="0.3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2:18" ht="15.75" thickBot="1" x14ac:dyDescent="0.3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2:18" x14ac:dyDescent="0.25">
      <c r="C36" s="20" t="s">
        <v>1</v>
      </c>
      <c r="D36" s="28" t="s">
        <v>51</v>
      </c>
      <c r="E36" s="1" cm="1">
        <f t="array" ref="E36:M44">+MINVERSE(_xlfn.MUNIT(COUNTA($D$36:$D$44))-E21:M29)</f>
        <v>1.3396897673098553</v>
      </c>
      <c r="F36" s="2">
        <v>0.29313766151442472</v>
      </c>
      <c r="G36" s="2">
        <v>0.46062080591971027</v>
      </c>
      <c r="H36" s="2">
        <v>0.20047114765858043</v>
      </c>
      <c r="I36" s="2">
        <v>0.22471967444765886</v>
      </c>
      <c r="J36" s="2">
        <v>0.34329239630226011</v>
      </c>
      <c r="K36" s="2">
        <v>0.21398444112354956</v>
      </c>
      <c r="L36" s="2">
        <v>0.33876647757551959</v>
      </c>
      <c r="M36" s="3">
        <v>0.26323813083081754</v>
      </c>
      <c r="N36" s="16" cm="1">
        <f t="array" ref="N36:N44">+MMULT(_xlfn.ANCHORARRAY(E36),N5:N13)</f>
        <v>71</v>
      </c>
    </row>
    <row r="37" spans="2:18" x14ac:dyDescent="0.25">
      <c r="C37" s="20" t="s">
        <v>1</v>
      </c>
      <c r="D37" s="25" t="s">
        <v>52</v>
      </c>
      <c r="E37" s="5">
        <v>0.33305376452405477</v>
      </c>
      <c r="F37" s="6">
        <v>1.2588962622476694</v>
      </c>
      <c r="G37" s="6">
        <v>0.44906571639362902</v>
      </c>
      <c r="H37" s="6">
        <v>0.24914151781031268</v>
      </c>
      <c r="I37" s="6">
        <v>0.2850825641197372</v>
      </c>
      <c r="J37" s="6">
        <v>0.38551433058519635</v>
      </c>
      <c r="K37" s="6">
        <v>0.19834507137089469</v>
      </c>
      <c r="L37" s="6">
        <v>0.29225190328391093</v>
      </c>
      <c r="M37" s="7">
        <v>0.36621325203064486</v>
      </c>
      <c r="N37" s="16">
        <v>55.000000000000007</v>
      </c>
    </row>
    <row r="38" spans="2:18" x14ac:dyDescent="0.25">
      <c r="C38" s="20" t="s">
        <v>1</v>
      </c>
      <c r="D38" s="25" t="s">
        <v>53</v>
      </c>
      <c r="E38" s="5">
        <v>0.16096426404995831</v>
      </c>
      <c r="F38" s="6">
        <v>0.16098912768389811</v>
      </c>
      <c r="G38" s="6">
        <v>1.1866305477256527</v>
      </c>
      <c r="H38" s="6">
        <v>0.24266960433010817</v>
      </c>
      <c r="I38" s="6">
        <v>0.27162888961053594</v>
      </c>
      <c r="J38" s="6">
        <v>0.20593716184064856</v>
      </c>
      <c r="K38" s="6">
        <v>0.23314113071157197</v>
      </c>
      <c r="L38" s="6">
        <v>0.22869828937505449</v>
      </c>
      <c r="M38" s="7">
        <v>0.3096620435609494</v>
      </c>
      <c r="N38" s="16">
        <v>47.000000000000014</v>
      </c>
    </row>
    <row r="39" spans="2:18" x14ac:dyDescent="0.25">
      <c r="C39" s="20" t="s">
        <v>10</v>
      </c>
      <c r="D39" s="25" t="str">
        <f>+D36</f>
        <v>Agr</v>
      </c>
      <c r="E39" s="5">
        <v>0.46948940027866004</v>
      </c>
      <c r="F39" s="6">
        <v>0.42979983594636084</v>
      </c>
      <c r="G39" s="6">
        <v>0.50026321949972674</v>
      </c>
      <c r="H39" s="6">
        <v>1.4082652483739835</v>
      </c>
      <c r="I39" s="6">
        <v>0.59296552145230841</v>
      </c>
      <c r="J39" s="6">
        <v>0.47360784454465799</v>
      </c>
      <c r="K39" s="6">
        <v>0.42917417879158681</v>
      </c>
      <c r="L39" s="6">
        <v>0.50129474506177585</v>
      </c>
      <c r="M39" s="7">
        <v>0.55237410595478087</v>
      </c>
      <c r="N39" s="16">
        <v>82</v>
      </c>
    </row>
    <row r="40" spans="2:18" x14ac:dyDescent="0.25">
      <c r="C40" s="20" t="s">
        <v>10</v>
      </c>
      <c r="D40" s="25" t="str">
        <f t="shared" ref="D40:D44" si="19">+D37</f>
        <v>Ind</v>
      </c>
      <c r="E40" s="5">
        <v>0.27827723239842433</v>
      </c>
      <c r="F40" s="6">
        <v>0.24820393574606325</v>
      </c>
      <c r="G40" s="6">
        <v>0.33029476378346578</v>
      </c>
      <c r="H40" s="6">
        <v>0.28495600131722088</v>
      </c>
      <c r="I40" s="6">
        <v>1.3995953346694374</v>
      </c>
      <c r="J40" s="6">
        <v>0.26778154004367211</v>
      </c>
      <c r="K40" s="6">
        <v>0.31054185905945586</v>
      </c>
      <c r="L40" s="6">
        <v>0.25504174687087422</v>
      </c>
      <c r="M40" s="7">
        <v>0.40329377754913653</v>
      </c>
      <c r="N40" s="16">
        <v>50</v>
      </c>
    </row>
    <row r="41" spans="2:18" x14ac:dyDescent="0.25">
      <c r="C41" s="20" t="s">
        <v>10</v>
      </c>
      <c r="D41" s="25" t="str">
        <f t="shared" si="19"/>
        <v>Serv</v>
      </c>
      <c r="E41" s="5">
        <v>0.24935170583985158</v>
      </c>
      <c r="F41" s="6">
        <v>0.25257975039975866</v>
      </c>
      <c r="G41" s="6">
        <v>0.28900630839132929</v>
      </c>
      <c r="H41" s="6">
        <v>0.17116188311097175</v>
      </c>
      <c r="I41" s="6">
        <v>0.36899674724360437</v>
      </c>
      <c r="J41" s="6">
        <v>1.201756232476507</v>
      </c>
      <c r="K41" s="6">
        <v>0.16782504737118717</v>
      </c>
      <c r="L41" s="6">
        <v>0.27111308072234536</v>
      </c>
      <c r="M41" s="7">
        <v>0.21882464983647648</v>
      </c>
      <c r="N41" s="16">
        <v>55</v>
      </c>
    </row>
    <row r="42" spans="2:18" x14ac:dyDescent="0.25">
      <c r="C42" s="20" t="s">
        <v>11</v>
      </c>
      <c r="D42" s="25" t="str">
        <f t="shared" si="19"/>
        <v>Agr</v>
      </c>
      <c r="E42" s="5">
        <v>0.35214837075990457</v>
      </c>
      <c r="F42" s="6">
        <v>0.48083150088067539</v>
      </c>
      <c r="G42" s="6">
        <v>0.54248305189281365</v>
      </c>
      <c r="H42" s="6">
        <v>0.42036737225086895</v>
      </c>
      <c r="I42" s="6">
        <v>0.55309703312036218</v>
      </c>
      <c r="J42" s="6">
        <v>0.29794582387163238</v>
      </c>
      <c r="K42" s="6">
        <v>1.376639107748959</v>
      </c>
      <c r="L42" s="6">
        <v>0.46591316610695016</v>
      </c>
      <c r="M42" s="7">
        <v>0.52551986939858886</v>
      </c>
      <c r="N42" s="16">
        <v>79.000000000000014</v>
      </c>
    </row>
    <row r="43" spans="2:18" x14ac:dyDescent="0.25">
      <c r="C43" s="20" t="s">
        <v>11</v>
      </c>
      <c r="D43" s="25" t="str">
        <f t="shared" si="19"/>
        <v>Ind</v>
      </c>
      <c r="E43" s="5">
        <v>0.18895230008671562</v>
      </c>
      <c r="F43" s="6">
        <v>0.33840247482967128</v>
      </c>
      <c r="G43" s="6">
        <v>0.22055756496026482</v>
      </c>
      <c r="H43" s="6">
        <v>0.28461936418358202</v>
      </c>
      <c r="I43" s="6">
        <v>0.19938770529705943</v>
      </c>
      <c r="J43" s="6">
        <v>0.17239619825796176</v>
      </c>
      <c r="K43" s="6">
        <v>0.26168766921156789</v>
      </c>
      <c r="L43" s="6">
        <v>1.3619713120084544</v>
      </c>
      <c r="M43" s="7">
        <v>0.22783338986208793</v>
      </c>
      <c r="N43" s="16">
        <v>65</v>
      </c>
    </row>
    <row r="44" spans="2:18" x14ac:dyDescent="0.25">
      <c r="C44" s="20" t="s">
        <v>11</v>
      </c>
      <c r="D44" s="25" t="str">
        <f t="shared" si="19"/>
        <v>Serv</v>
      </c>
      <c r="E44" s="9">
        <v>0.32278455821683549</v>
      </c>
      <c r="F44" s="10">
        <v>0.19408333704833722</v>
      </c>
      <c r="G44" s="10">
        <v>0.29864603550568125</v>
      </c>
      <c r="H44" s="10">
        <v>0.27809522164442302</v>
      </c>
      <c r="I44" s="10">
        <v>0.17937871997805888</v>
      </c>
      <c r="J44" s="10">
        <v>0.16864275194250614</v>
      </c>
      <c r="K44" s="10">
        <v>0.1831797159010346</v>
      </c>
      <c r="L44" s="10">
        <v>0.17731814158643994</v>
      </c>
      <c r="M44" s="11">
        <v>1.3178105679183645</v>
      </c>
      <c r="N44" s="16">
        <v>60.000000000000021</v>
      </c>
    </row>
    <row r="45" spans="2:18" ht="15.75" thickBot="1" x14ac:dyDescent="0.3"/>
    <row r="46" spans="2:18" ht="15.75" thickBot="1" x14ac:dyDescent="0.3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2:18" x14ac:dyDescent="0.25">
      <c r="B47" s="18"/>
      <c r="C47" s="22" t="s">
        <v>1</v>
      </c>
      <c r="D47" s="28" t="s">
        <v>51</v>
      </c>
      <c r="E47" s="32">
        <v>0</v>
      </c>
      <c r="F47" s="35">
        <f>1-E47</f>
        <v>1</v>
      </c>
      <c r="G47" s="1" cm="1">
        <f t="array" ref="G47:G55">+N5:N13</f>
        <v>25</v>
      </c>
      <c r="H47" s="3">
        <f>+G47*F47</f>
        <v>25</v>
      </c>
      <c r="I47" s="18"/>
      <c r="J47" s="22" t="s">
        <v>1</v>
      </c>
      <c r="K47" s="28" t="s">
        <v>51</v>
      </c>
      <c r="L47" s="32">
        <v>0</v>
      </c>
      <c r="M47" s="35">
        <f>1-L47</f>
        <v>1</v>
      </c>
      <c r="N47" s="1" cm="1">
        <f t="array" ref="N47:N55">+O5:O13</f>
        <v>71</v>
      </c>
      <c r="O47" s="3">
        <f>+N47*M47</f>
        <v>71</v>
      </c>
      <c r="P47" s="18"/>
      <c r="Q47" s="18"/>
      <c r="R47" s="18"/>
    </row>
    <row r="48" spans="2:18" x14ac:dyDescent="0.25">
      <c r="B48" s="18"/>
      <c r="C48" s="20" t="s">
        <v>1</v>
      </c>
      <c r="D48" s="25" t="s">
        <v>52</v>
      </c>
      <c r="E48" s="33">
        <v>0</v>
      </c>
      <c r="F48" s="36">
        <f t="shared" ref="F48:F55" si="20">1-E48</f>
        <v>1</v>
      </c>
      <c r="G48" s="5">
        <v>7</v>
      </c>
      <c r="H48" s="7">
        <f t="shared" ref="H48:H55" si="21">+G48*F48</f>
        <v>7</v>
      </c>
      <c r="I48" s="18"/>
      <c r="J48" s="20" t="s">
        <v>1</v>
      </c>
      <c r="K48" s="25" t="s">
        <v>52</v>
      </c>
      <c r="L48" s="33">
        <v>0</v>
      </c>
      <c r="M48" s="36">
        <f t="shared" ref="M48:M55" si="22">1-L48</f>
        <v>1</v>
      </c>
      <c r="N48" s="5">
        <v>55</v>
      </c>
      <c r="O48" s="7">
        <f t="shared" ref="O48:O55" si="23">+N48*M48</f>
        <v>55</v>
      </c>
      <c r="P48" s="18"/>
    </row>
    <row r="49" spans="1:16" x14ac:dyDescent="0.25">
      <c r="B49" s="18"/>
      <c r="C49" s="20" t="s">
        <v>1</v>
      </c>
      <c r="D49" s="25" t="s">
        <v>53</v>
      </c>
      <c r="E49" s="33">
        <v>0</v>
      </c>
      <c r="F49" s="36">
        <f t="shared" si="20"/>
        <v>1</v>
      </c>
      <c r="G49" s="5">
        <v>14</v>
      </c>
      <c r="H49" s="7">
        <f t="shared" si="21"/>
        <v>14</v>
      </c>
      <c r="I49" s="18"/>
      <c r="J49" s="20" t="s">
        <v>1</v>
      </c>
      <c r="K49" s="25" t="s">
        <v>53</v>
      </c>
      <c r="L49" s="33">
        <v>0.06</v>
      </c>
      <c r="M49" s="36">
        <f t="shared" si="22"/>
        <v>0.94</v>
      </c>
      <c r="N49" s="5">
        <v>47</v>
      </c>
      <c r="O49" s="7">
        <f t="shared" si="23"/>
        <v>44.18</v>
      </c>
      <c r="P49" s="18"/>
    </row>
    <row r="50" spans="1:16" x14ac:dyDescent="0.25">
      <c r="B50" s="18"/>
      <c r="C50" s="20" t="s">
        <v>10</v>
      </c>
      <c r="D50" s="25" t="str">
        <f>+D47</f>
        <v>Agr</v>
      </c>
      <c r="E50" s="33">
        <v>0</v>
      </c>
      <c r="F50" s="36">
        <f t="shared" si="20"/>
        <v>1</v>
      </c>
      <c r="G50" s="5">
        <v>10</v>
      </c>
      <c r="H50" s="7">
        <f t="shared" si="21"/>
        <v>10</v>
      </c>
      <c r="I50" s="18"/>
      <c r="J50" s="20" t="s">
        <v>10</v>
      </c>
      <c r="K50" s="25" t="str">
        <f>+K47</f>
        <v>Agr</v>
      </c>
      <c r="L50" s="33">
        <v>0.1</v>
      </c>
      <c r="M50" s="36">
        <f t="shared" si="22"/>
        <v>0.9</v>
      </c>
      <c r="N50" s="5">
        <v>82</v>
      </c>
      <c r="O50" s="7">
        <f t="shared" si="23"/>
        <v>73.8</v>
      </c>
      <c r="P50" s="18"/>
    </row>
    <row r="51" spans="1:16" x14ac:dyDescent="0.25">
      <c r="B51" s="18"/>
      <c r="C51" s="20" t="s">
        <v>10</v>
      </c>
      <c r="D51" s="25" t="str">
        <f t="shared" ref="D51:D55" si="24">+D48</f>
        <v>Ind</v>
      </c>
      <c r="E51" s="33">
        <v>0</v>
      </c>
      <c r="F51" s="36">
        <f t="shared" si="20"/>
        <v>1</v>
      </c>
      <c r="G51" s="5">
        <v>5</v>
      </c>
      <c r="H51" s="7">
        <f t="shared" si="21"/>
        <v>5</v>
      </c>
      <c r="I51" s="18"/>
      <c r="J51" s="20" t="s">
        <v>10</v>
      </c>
      <c r="K51" s="25" t="str">
        <f t="shared" ref="K51:K55" si="25">+K48</f>
        <v>Ind</v>
      </c>
      <c r="L51" s="33">
        <v>0.05</v>
      </c>
      <c r="M51" s="36">
        <f t="shared" si="22"/>
        <v>0.95</v>
      </c>
      <c r="N51" s="5">
        <v>50</v>
      </c>
      <c r="O51" s="7">
        <f t="shared" si="23"/>
        <v>47.5</v>
      </c>
      <c r="P51" s="18"/>
    </row>
    <row r="52" spans="1:16" x14ac:dyDescent="0.25">
      <c r="B52" s="18"/>
      <c r="C52" s="20" t="s">
        <v>10</v>
      </c>
      <c r="D52" s="25" t="str">
        <f t="shared" si="24"/>
        <v>Serv</v>
      </c>
      <c r="E52" s="33">
        <v>0</v>
      </c>
      <c r="F52" s="36">
        <f t="shared" si="20"/>
        <v>1</v>
      </c>
      <c r="G52" s="5">
        <v>20</v>
      </c>
      <c r="H52" s="7">
        <f t="shared" si="21"/>
        <v>20</v>
      </c>
      <c r="I52" s="18"/>
      <c r="J52" s="20" t="s">
        <v>10</v>
      </c>
      <c r="K52" s="25" t="str">
        <f t="shared" si="25"/>
        <v>Serv</v>
      </c>
      <c r="L52" s="33">
        <v>0.09</v>
      </c>
      <c r="M52" s="36">
        <f t="shared" si="22"/>
        <v>0.91</v>
      </c>
      <c r="N52" s="5">
        <v>55</v>
      </c>
      <c r="O52" s="7">
        <f t="shared" si="23"/>
        <v>50.050000000000004</v>
      </c>
      <c r="P52" s="18"/>
    </row>
    <row r="53" spans="1:16" x14ac:dyDescent="0.25">
      <c r="B53" s="18"/>
      <c r="C53" s="20" t="s">
        <v>11</v>
      </c>
      <c r="D53" s="25" t="str">
        <f t="shared" si="24"/>
        <v>Agr</v>
      </c>
      <c r="E53" s="33">
        <v>0</v>
      </c>
      <c r="F53" s="36">
        <f t="shared" si="20"/>
        <v>1</v>
      </c>
      <c r="G53" s="5">
        <v>15</v>
      </c>
      <c r="H53" s="7">
        <f t="shared" si="21"/>
        <v>15</v>
      </c>
      <c r="I53" s="18"/>
      <c r="J53" s="20" t="s">
        <v>11</v>
      </c>
      <c r="K53" s="25" t="str">
        <f t="shared" si="25"/>
        <v>Agr</v>
      </c>
      <c r="L53" s="33">
        <v>0</v>
      </c>
      <c r="M53" s="36">
        <f t="shared" si="22"/>
        <v>1</v>
      </c>
      <c r="N53" s="5">
        <v>79</v>
      </c>
      <c r="O53" s="7">
        <f t="shared" si="23"/>
        <v>79</v>
      </c>
      <c r="P53" s="18"/>
    </row>
    <row r="54" spans="1:16" x14ac:dyDescent="0.25">
      <c r="B54" s="18"/>
      <c r="C54" s="20" t="s">
        <v>11</v>
      </c>
      <c r="D54" s="25" t="str">
        <f t="shared" si="24"/>
        <v>Ind</v>
      </c>
      <c r="E54" s="33">
        <v>0</v>
      </c>
      <c r="F54" s="36">
        <f t="shared" si="20"/>
        <v>1</v>
      </c>
      <c r="G54" s="5">
        <v>28</v>
      </c>
      <c r="H54" s="7">
        <f t="shared" si="21"/>
        <v>28</v>
      </c>
      <c r="I54" s="18"/>
      <c r="J54" s="20" t="s">
        <v>11</v>
      </c>
      <c r="K54" s="25" t="str">
        <f t="shared" si="25"/>
        <v>Ind</v>
      </c>
      <c r="L54" s="33">
        <v>0.04</v>
      </c>
      <c r="M54" s="36">
        <f t="shared" si="22"/>
        <v>0.96</v>
      </c>
      <c r="N54" s="5">
        <v>65</v>
      </c>
      <c r="O54" s="7">
        <f t="shared" si="23"/>
        <v>62.4</v>
      </c>
      <c r="P54" s="18"/>
    </row>
    <row r="55" spans="1:16" x14ac:dyDescent="0.25">
      <c r="B55" s="18"/>
      <c r="C55" s="20" t="s">
        <v>11</v>
      </c>
      <c r="D55" s="25" t="str">
        <f t="shared" si="24"/>
        <v>Serv</v>
      </c>
      <c r="E55" s="34">
        <v>0</v>
      </c>
      <c r="F55" s="37">
        <f t="shared" si="20"/>
        <v>1</v>
      </c>
      <c r="G55" s="9">
        <v>24</v>
      </c>
      <c r="H55" s="11">
        <f t="shared" si="21"/>
        <v>24</v>
      </c>
      <c r="I55" s="18"/>
      <c r="J55" s="20" t="s">
        <v>11</v>
      </c>
      <c r="K55" s="25" t="str">
        <f t="shared" si="25"/>
        <v>Serv</v>
      </c>
      <c r="L55" s="34">
        <v>0</v>
      </c>
      <c r="M55" s="37">
        <f t="shared" si="22"/>
        <v>1</v>
      </c>
      <c r="N55" s="9">
        <v>60</v>
      </c>
      <c r="O55" s="11">
        <f t="shared" si="23"/>
        <v>60</v>
      </c>
      <c r="P55" s="18"/>
    </row>
    <row r="56" spans="1:16" x14ac:dyDescent="0.25">
      <c r="G56" s="13">
        <f t="shared" ref="G56:H56" si="26">SUM(G47:G55)</f>
        <v>148</v>
      </c>
      <c r="H56" s="15">
        <f t="shared" si="26"/>
        <v>148</v>
      </c>
      <c r="N56" s="13">
        <f t="shared" ref="N56" si="27">SUM(N47:N55)</f>
        <v>564</v>
      </c>
      <c r="O56" s="15">
        <f t="shared" ref="O56" si="28">SUM(O47:O55)</f>
        <v>542.93000000000006</v>
      </c>
    </row>
    <row r="57" spans="1:16" x14ac:dyDescent="0.25">
      <c r="H57" s="18">
        <f>+H56-G56</f>
        <v>0</v>
      </c>
      <c r="O57" s="18">
        <f>+O56-N56</f>
        <v>-21.069999999999936</v>
      </c>
    </row>
    <row r="58" spans="1:16" x14ac:dyDescent="0.25">
      <c r="A58" s="66"/>
    </row>
    <row r="59" spans="1:16" x14ac:dyDescent="0.25">
      <c r="A59" s="68" t="s">
        <v>30</v>
      </c>
      <c r="E59" s="20" t="s">
        <v>20</v>
      </c>
      <c r="F59" s="20" t="str" cm="1">
        <f t="array" ref="F59:F68">+O46:O55</f>
        <v>x_max</v>
      </c>
      <c r="G59" s="20" t="s">
        <v>3</v>
      </c>
    </row>
    <row r="60" spans="1:16" x14ac:dyDescent="0.25">
      <c r="A60" s="67"/>
      <c r="C60" s="20" t="s">
        <v>1</v>
      </c>
      <c r="D60" s="28" t="s">
        <v>51</v>
      </c>
      <c r="E60" s="4" cm="1">
        <f t="array" ref="E60:E68">+MMULT(_xlfn.ANCHORARRAY(E36),H47:H55)</f>
        <v>71</v>
      </c>
      <c r="F60" s="4">
        <v>71</v>
      </c>
      <c r="G60" s="40">
        <f>+MIN(F60/E60,1)</f>
        <v>1</v>
      </c>
      <c r="H60" s="18"/>
      <c r="I60" s="18"/>
    </row>
    <row r="61" spans="1:16" x14ac:dyDescent="0.25">
      <c r="C61" s="20" t="s">
        <v>1</v>
      </c>
      <c r="D61" s="25" t="s">
        <v>52</v>
      </c>
      <c r="E61" s="8">
        <v>55.000000000000007</v>
      </c>
      <c r="F61" s="8">
        <v>55</v>
      </c>
      <c r="G61" s="41">
        <f t="shared" ref="G61:G68" si="29">+MIN(F61/E61,1)</f>
        <v>0.99999999999999989</v>
      </c>
      <c r="H61" s="18"/>
      <c r="I61" s="18"/>
    </row>
    <row r="62" spans="1:16" x14ac:dyDescent="0.25">
      <c r="C62" s="20" t="s">
        <v>1</v>
      </c>
      <c r="D62" s="25" t="s">
        <v>53</v>
      </c>
      <c r="E62" s="8">
        <v>47.000000000000014</v>
      </c>
      <c r="F62" s="8">
        <v>44.18</v>
      </c>
      <c r="G62" s="41">
        <f t="shared" si="29"/>
        <v>0.93999999999999972</v>
      </c>
      <c r="H62" s="18"/>
      <c r="I62" s="18"/>
    </row>
    <row r="63" spans="1:16" x14ac:dyDescent="0.25">
      <c r="C63" s="20" t="s">
        <v>10</v>
      </c>
      <c r="D63" s="25" t="str">
        <f>+D60</f>
        <v>Agr</v>
      </c>
      <c r="E63" s="8">
        <v>82</v>
      </c>
      <c r="F63" s="8">
        <v>73.8</v>
      </c>
      <c r="G63" s="41">
        <f t="shared" si="29"/>
        <v>0.89999999999999991</v>
      </c>
      <c r="H63" s="18"/>
      <c r="I63" s="18"/>
    </row>
    <row r="64" spans="1:16" x14ac:dyDescent="0.25">
      <c r="C64" s="20" t="s">
        <v>10</v>
      </c>
      <c r="D64" s="25" t="str">
        <f t="shared" ref="D64:D68" si="30">+D61</f>
        <v>Ind</v>
      </c>
      <c r="E64" s="8">
        <v>50</v>
      </c>
      <c r="F64" s="8">
        <v>47.5</v>
      </c>
      <c r="G64" s="41">
        <f t="shared" si="29"/>
        <v>0.95</v>
      </c>
      <c r="H64" s="18"/>
      <c r="I64" s="18"/>
    </row>
    <row r="65" spans="1:22" x14ac:dyDescent="0.25">
      <c r="C65" s="20" t="s">
        <v>10</v>
      </c>
      <c r="D65" s="25" t="str">
        <f t="shared" si="30"/>
        <v>Serv</v>
      </c>
      <c r="E65" s="8">
        <v>55</v>
      </c>
      <c r="F65" s="8">
        <v>50.050000000000004</v>
      </c>
      <c r="G65" s="41">
        <f t="shared" si="29"/>
        <v>0.91</v>
      </c>
      <c r="H65" s="18"/>
      <c r="I65" s="18"/>
    </row>
    <row r="66" spans="1:22" x14ac:dyDescent="0.25">
      <c r="C66" s="20" t="s">
        <v>11</v>
      </c>
      <c r="D66" s="25" t="str">
        <f t="shared" si="30"/>
        <v>Agr</v>
      </c>
      <c r="E66" s="8">
        <v>79.000000000000014</v>
      </c>
      <c r="F66" s="8">
        <v>79</v>
      </c>
      <c r="G66" s="41">
        <f t="shared" si="29"/>
        <v>0.99999999999999978</v>
      </c>
      <c r="H66" s="18"/>
      <c r="I66" s="18"/>
    </row>
    <row r="67" spans="1:22" x14ac:dyDescent="0.25">
      <c r="C67" s="20" t="s">
        <v>11</v>
      </c>
      <c r="D67" s="25" t="str">
        <f t="shared" si="30"/>
        <v>Ind</v>
      </c>
      <c r="E67" s="8">
        <v>65</v>
      </c>
      <c r="F67" s="8">
        <v>62.4</v>
      </c>
      <c r="G67" s="41">
        <f t="shared" si="29"/>
        <v>0.96</v>
      </c>
      <c r="H67" s="18"/>
      <c r="I67" s="18"/>
    </row>
    <row r="68" spans="1:22" x14ac:dyDescent="0.25">
      <c r="C68" s="20" t="s">
        <v>11</v>
      </c>
      <c r="D68" s="25" t="str">
        <f t="shared" si="30"/>
        <v>Serv</v>
      </c>
      <c r="E68" s="12">
        <v>60.000000000000021</v>
      </c>
      <c r="F68" s="12">
        <v>60</v>
      </c>
      <c r="G68" s="42">
        <f t="shared" si="29"/>
        <v>0.99999999999999967</v>
      </c>
      <c r="H68" s="18"/>
      <c r="I68" s="18"/>
    </row>
    <row r="69" spans="1:22" x14ac:dyDescent="0.25">
      <c r="A69" s="66"/>
    </row>
    <row r="70" spans="1:22" x14ac:dyDescent="0.25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22" x14ac:dyDescent="0.25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22" x14ac:dyDescent="0.25">
      <c r="C72" t="s">
        <v>25</v>
      </c>
      <c r="D72" s="20" t="s">
        <v>4</v>
      </c>
      <c r="E72" s="43" cm="1">
        <f t="array" ref="E72">+MIN(_xlfn._xlws.FILTER($G$60:$G$68,E21:E29&gt;0))</f>
        <v>0.89999999999999991</v>
      </c>
      <c r="F72" s="44" cm="1">
        <f t="array" ref="F72">+MIN(_xlfn._xlws.FILTER($G$60:$G$68,F21:F29&gt;0))</f>
        <v>0.89999999999999991</v>
      </c>
      <c r="G72" s="44" cm="1">
        <f t="array" ref="G72">+MIN(_xlfn._xlws.FILTER($G$60:$G$68,G21:G29&gt;0))</f>
        <v>0.89999999999999991</v>
      </c>
      <c r="H72" s="44" cm="1">
        <f t="array" ref="H72">+MIN(_xlfn._xlws.FILTER($G$60:$G$68,H21:H29&gt;0))</f>
        <v>0.89999999999999991</v>
      </c>
      <c r="I72" s="44" cm="1">
        <f t="array" ref="I72">+MIN(_xlfn._xlws.FILTER($G$60:$G$68,I21:I29&gt;0))</f>
        <v>0.89999999999999991</v>
      </c>
      <c r="J72" s="44" cm="1">
        <f t="array" ref="J72">+MIN(_xlfn._xlws.FILTER($G$60:$G$68,J21:J29&gt;0))</f>
        <v>0.89999999999999991</v>
      </c>
      <c r="K72" s="44" cm="1">
        <f t="array" ref="K72">+MIN(_xlfn._xlws.FILTER($G$60:$G$68,K21:K29&gt;0))</f>
        <v>0.89999999999999991</v>
      </c>
      <c r="L72" s="44" cm="1">
        <f t="array" ref="L72">+MIN(_xlfn._xlws.FILTER($G$60:$G$68,L21:L29&gt;0))</f>
        <v>0.89999999999999991</v>
      </c>
      <c r="M72" s="45" cm="1">
        <f t="array" ref="M72">+MIN(_xlfn._xlws.FILTER($G$60:$G$68,M21:M29&gt;0))</f>
        <v>0.89999999999999991</v>
      </c>
    </row>
    <row r="73" spans="1:22" ht="15.75" thickBot="1" x14ac:dyDescent="0.3">
      <c r="C73" t="s">
        <v>26</v>
      </c>
      <c r="D73" s="49" t="s">
        <v>18</v>
      </c>
      <c r="E73" s="50" cm="1">
        <f t="array" ref="E73:M73">+TRANSPOSE(M47:M55)</f>
        <v>1</v>
      </c>
      <c r="F73" s="51">
        <v>1</v>
      </c>
      <c r="G73" s="51">
        <v>0.94</v>
      </c>
      <c r="H73" s="51">
        <v>0.9</v>
      </c>
      <c r="I73" s="51">
        <v>0.95</v>
      </c>
      <c r="J73" s="51">
        <v>0.91</v>
      </c>
      <c r="K73" s="51">
        <v>1</v>
      </c>
      <c r="L73" s="51">
        <v>0.96</v>
      </c>
      <c r="M73" s="52">
        <v>1</v>
      </c>
    </row>
    <row r="74" spans="1:22" x14ac:dyDescent="0.25">
      <c r="D74" s="22" t="s">
        <v>22</v>
      </c>
      <c r="E74" s="46">
        <f>+MIN(E72:E73)</f>
        <v>0.89999999999999991</v>
      </c>
      <c r="F74" s="47">
        <f t="shared" ref="F74:M74" si="31">+MIN(F72:F73)</f>
        <v>0.89999999999999991</v>
      </c>
      <c r="G74" s="47">
        <f t="shared" si="31"/>
        <v>0.89999999999999991</v>
      </c>
      <c r="H74" s="47">
        <f t="shared" si="31"/>
        <v>0.89999999999999991</v>
      </c>
      <c r="I74" s="47">
        <f t="shared" si="31"/>
        <v>0.89999999999999991</v>
      </c>
      <c r="J74" s="47">
        <f t="shared" si="31"/>
        <v>0.89999999999999991</v>
      </c>
      <c r="K74" s="47">
        <f t="shared" si="31"/>
        <v>0.89999999999999991</v>
      </c>
      <c r="L74" s="47">
        <f t="shared" si="31"/>
        <v>0.89999999999999991</v>
      </c>
      <c r="M74" s="48">
        <f t="shared" si="31"/>
        <v>0.89999999999999991</v>
      </c>
    </row>
    <row r="75" spans="1:22" x14ac:dyDescent="0.25">
      <c r="A75" s="66"/>
    </row>
    <row r="76" spans="1:22" ht="15.75" thickBot="1" x14ac:dyDescent="0.3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22" ht="15.75" thickBot="1" x14ac:dyDescent="0.3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22" x14ac:dyDescent="0.25">
      <c r="B78" s="63" cm="1">
        <f t="array" ref="B78:B86">+TRANSPOSE(E74:M74)</f>
        <v>0.89999999999999991</v>
      </c>
      <c r="C78" s="20" t="s">
        <v>1</v>
      </c>
      <c r="D78" s="28" t="s">
        <v>51</v>
      </c>
      <c r="E78" s="1">
        <f>+E5*$B78</f>
        <v>9</v>
      </c>
      <c r="F78" s="2">
        <f t="shared" ref="F78:M78" si="32">+F5*$B78</f>
        <v>4.5</v>
      </c>
      <c r="G78" s="2">
        <f t="shared" si="32"/>
        <v>9</v>
      </c>
      <c r="H78" s="2">
        <f t="shared" si="32"/>
        <v>0.89999999999999991</v>
      </c>
      <c r="I78" s="2">
        <f t="shared" si="32"/>
        <v>0</v>
      </c>
      <c r="J78" s="2">
        <f t="shared" si="32"/>
        <v>7.1999999999999993</v>
      </c>
      <c r="K78" s="2">
        <f t="shared" si="32"/>
        <v>2.6999999999999997</v>
      </c>
      <c r="L78" s="2">
        <f t="shared" si="32"/>
        <v>6.2999999999999989</v>
      </c>
      <c r="M78" s="3">
        <f t="shared" si="32"/>
        <v>1.7999999999999998</v>
      </c>
      <c r="N78" s="18"/>
      <c r="O78" s="18"/>
      <c r="P78" s="18"/>
      <c r="Q78" s="18"/>
      <c r="R78" s="18"/>
      <c r="S78" s="18"/>
      <c r="T78" s="18"/>
      <c r="U78" s="18"/>
      <c r="V78" s="18"/>
    </row>
    <row r="79" spans="1:22" x14ac:dyDescent="0.25">
      <c r="B79" s="30">
        <v>0.89999999999999991</v>
      </c>
      <c r="C79" s="20" t="s">
        <v>1</v>
      </c>
      <c r="D79" s="25" t="s">
        <v>52</v>
      </c>
      <c r="E79" s="5">
        <f t="shared" ref="E79:M79" si="33">+E6*$B79</f>
        <v>7.1999999999999993</v>
      </c>
      <c r="F79" s="6">
        <f t="shared" si="33"/>
        <v>2.6999999999999997</v>
      </c>
      <c r="G79" s="6">
        <f t="shared" si="33"/>
        <v>8.1</v>
      </c>
      <c r="H79" s="6">
        <f t="shared" si="33"/>
        <v>3.5999999999999996</v>
      </c>
      <c r="I79" s="6">
        <f t="shared" si="33"/>
        <v>1.7999999999999998</v>
      </c>
      <c r="J79" s="6">
        <f t="shared" si="33"/>
        <v>9</v>
      </c>
      <c r="K79" s="6">
        <f t="shared" si="33"/>
        <v>0.89999999999999991</v>
      </c>
      <c r="L79" s="6">
        <f t="shared" si="33"/>
        <v>3.5999999999999996</v>
      </c>
      <c r="M79" s="7">
        <f t="shared" si="33"/>
        <v>6.2999999999999989</v>
      </c>
      <c r="N79" s="18"/>
      <c r="O79" s="18"/>
      <c r="P79" s="18"/>
      <c r="Q79" s="18"/>
      <c r="R79" s="18"/>
      <c r="S79" s="18"/>
      <c r="T79" s="18"/>
      <c r="U79" s="18"/>
      <c r="V79" s="18"/>
    </row>
    <row r="80" spans="1:22" x14ac:dyDescent="0.25">
      <c r="B80" s="30">
        <v>0.89999999999999991</v>
      </c>
      <c r="C80" s="20" t="s">
        <v>1</v>
      </c>
      <c r="D80" s="25" t="s">
        <v>53</v>
      </c>
      <c r="E80" s="5">
        <f t="shared" ref="E80:M80" si="34">+E7*$B80</f>
        <v>0</v>
      </c>
      <c r="F80" s="6">
        <f t="shared" si="34"/>
        <v>0</v>
      </c>
      <c r="G80" s="6">
        <f t="shared" si="34"/>
        <v>0</v>
      </c>
      <c r="H80" s="6">
        <f t="shared" si="34"/>
        <v>6.2999999999999989</v>
      </c>
      <c r="I80" s="6">
        <f t="shared" si="34"/>
        <v>3.5999999999999996</v>
      </c>
      <c r="J80" s="6">
        <f t="shared" si="34"/>
        <v>3.5999999999999996</v>
      </c>
      <c r="K80" s="6">
        <f t="shared" si="34"/>
        <v>6.2999999999999989</v>
      </c>
      <c r="L80" s="6">
        <f t="shared" si="34"/>
        <v>3.5999999999999996</v>
      </c>
      <c r="M80" s="7">
        <f t="shared" si="34"/>
        <v>6.2999999999999989</v>
      </c>
      <c r="N80" s="18"/>
      <c r="O80" s="18"/>
      <c r="P80" s="18"/>
      <c r="Q80" s="18"/>
      <c r="R80" s="18"/>
      <c r="S80" s="18"/>
      <c r="T80" s="18"/>
      <c r="U80" s="18"/>
      <c r="V80" s="18"/>
    </row>
    <row r="81" spans="1:22" x14ac:dyDescent="0.25">
      <c r="B81" s="30">
        <v>0.89999999999999991</v>
      </c>
      <c r="C81" s="20" t="s">
        <v>10</v>
      </c>
      <c r="D81" s="25" t="str">
        <f>+D78</f>
        <v>Agr</v>
      </c>
      <c r="E81" s="5">
        <f t="shared" ref="E81:M81" si="35">+E8*$B81</f>
        <v>8.1</v>
      </c>
      <c r="F81" s="6">
        <f t="shared" si="35"/>
        <v>4.5</v>
      </c>
      <c r="G81" s="6">
        <f t="shared" si="35"/>
        <v>3.5999999999999996</v>
      </c>
      <c r="H81" s="6">
        <f t="shared" si="35"/>
        <v>6.2999999999999989</v>
      </c>
      <c r="I81" s="6">
        <f t="shared" si="35"/>
        <v>9</v>
      </c>
      <c r="J81" s="6">
        <f t="shared" si="35"/>
        <v>8.1</v>
      </c>
      <c r="K81" s="6">
        <f t="shared" si="35"/>
        <v>9</v>
      </c>
      <c r="L81" s="6">
        <f t="shared" si="35"/>
        <v>8.1</v>
      </c>
      <c r="M81" s="7">
        <f t="shared" si="35"/>
        <v>8.1</v>
      </c>
      <c r="N81" s="18"/>
      <c r="O81" s="18"/>
      <c r="P81" s="18"/>
      <c r="Q81" s="18"/>
      <c r="R81" s="18"/>
      <c r="S81" s="18"/>
      <c r="T81" s="18"/>
      <c r="U81" s="18"/>
      <c r="V81" s="18"/>
    </row>
    <row r="82" spans="1:22" x14ac:dyDescent="0.25">
      <c r="B82" s="30">
        <v>0.89999999999999991</v>
      </c>
      <c r="C82" s="20" t="s">
        <v>10</v>
      </c>
      <c r="D82" s="25" t="str">
        <f t="shared" ref="D82:D86" si="36">+D79</f>
        <v>Ind</v>
      </c>
      <c r="E82" s="5">
        <f t="shared" ref="E82:M82" si="37">+E9*$B82</f>
        <v>3.5999999999999996</v>
      </c>
      <c r="F82" s="6">
        <f t="shared" si="37"/>
        <v>1.7999999999999998</v>
      </c>
      <c r="G82" s="6">
        <f t="shared" si="37"/>
        <v>2.6999999999999997</v>
      </c>
      <c r="H82" s="6">
        <f t="shared" si="37"/>
        <v>5.3999999999999995</v>
      </c>
      <c r="I82" s="6">
        <f t="shared" si="37"/>
        <v>6.2999999999999989</v>
      </c>
      <c r="J82" s="6">
        <f t="shared" si="37"/>
        <v>3.5999999999999996</v>
      </c>
      <c r="K82" s="6">
        <f t="shared" si="37"/>
        <v>8.1</v>
      </c>
      <c r="L82" s="6">
        <f t="shared" si="37"/>
        <v>1.7999999999999998</v>
      </c>
      <c r="M82" s="7">
        <f t="shared" si="37"/>
        <v>7.1999999999999993</v>
      </c>
      <c r="N82" s="18"/>
      <c r="O82" s="18"/>
      <c r="P82" s="18"/>
      <c r="Q82" s="18"/>
      <c r="R82" s="18"/>
      <c r="S82" s="18"/>
      <c r="T82" s="18"/>
      <c r="U82" s="18"/>
      <c r="V82" s="18"/>
    </row>
    <row r="83" spans="1:22" x14ac:dyDescent="0.25">
      <c r="B83" s="30">
        <v>0.89999999999999991</v>
      </c>
      <c r="C83" s="20" t="s">
        <v>10</v>
      </c>
      <c r="D83" s="25" t="str">
        <f t="shared" si="36"/>
        <v>Serv</v>
      </c>
      <c r="E83" s="5">
        <f t="shared" ref="E83:M83" si="38">+E10*$B83</f>
        <v>5.3999999999999995</v>
      </c>
      <c r="F83" s="6">
        <f t="shared" si="38"/>
        <v>4.5</v>
      </c>
      <c r="G83" s="6">
        <f t="shared" si="38"/>
        <v>3.5999999999999996</v>
      </c>
      <c r="H83" s="6">
        <f t="shared" si="38"/>
        <v>0.89999999999999991</v>
      </c>
      <c r="I83" s="6">
        <f t="shared" si="38"/>
        <v>8.1</v>
      </c>
      <c r="J83" s="6">
        <f t="shared" si="38"/>
        <v>1.7999999999999998</v>
      </c>
      <c r="K83" s="6">
        <f t="shared" si="38"/>
        <v>0.89999999999999991</v>
      </c>
      <c r="L83" s="6">
        <f t="shared" si="38"/>
        <v>5.3999999999999995</v>
      </c>
      <c r="M83" s="7">
        <f t="shared" si="38"/>
        <v>0.89999999999999991</v>
      </c>
      <c r="N83" s="18"/>
      <c r="O83" s="18"/>
      <c r="P83" s="18"/>
      <c r="Q83" s="18"/>
      <c r="R83" s="18"/>
      <c r="S83" s="18"/>
      <c r="T83" s="18"/>
      <c r="U83" s="18"/>
      <c r="V83" s="18"/>
    </row>
    <row r="84" spans="1:22" x14ac:dyDescent="0.25">
      <c r="B84" s="30">
        <v>0.89999999999999991</v>
      </c>
      <c r="C84" s="20" t="s">
        <v>11</v>
      </c>
      <c r="D84" s="25" t="str">
        <f t="shared" si="36"/>
        <v>Agr</v>
      </c>
      <c r="E84" s="5">
        <f t="shared" ref="E84:M84" si="39">+E11*$B84</f>
        <v>2.6999999999999997</v>
      </c>
      <c r="F84" s="6">
        <f t="shared" si="39"/>
        <v>9</v>
      </c>
      <c r="G84" s="6">
        <f t="shared" si="39"/>
        <v>7.1999999999999993</v>
      </c>
      <c r="H84" s="6">
        <f t="shared" si="39"/>
        <v>8.1</v>
      </c>
      <c r="I84" s="6">
        <f t="shared" si="39"/>
        <v>9</v>
      </c>
      <c r="J84" s="6">
        <f t="shared" si="39"/>
        <v>0</v>
      </c>
      <c r="K84" s="6">
        <f t="shared" si="39"/>
        <v>6.2999999999999989</v>
      </c>
      <c r="L84" s="6">
        <f t="shared" si="39"/>
        <v>8.1</v>
      </c>
      <c r="M84" s="7">
        <f t="shared" si="39"/>
        <v>7.1999999999999993</v>
      </c>
      <c r="N84" s="18"/>
      <c r="O84" s="18"/>
      <c r="P84" s="18"/>
      <c r="Q84" s="18"/>
      <c r="R84" s="18"/>
      <c r="S84" s="18"/>
      <c r="T84" s="18"/>
      <c r="U84" s="18"/>
      <c r="V84" s="18"/>
    </row>
    <row r="85" spans="1:22" x14ac:dyDescent="0.25">
      <c r="B85" s="30">
        <v>0.89999999999999991</v>
      </c>
      <c r="C85" s="20" t="s">
        <v>11</v>
      </c>
      <c r="D85" s="25" t="str">
        <f t="shared" si="36"/>
        <v>Ind</v>
      </c>
      <c r="E85" s="5">
        <f t="shared" ref="E85:M85" si="40">+E12*$B85</f>
        <v>0.89999999999999991</v>
      </c>
      <c r="F85" s="6">
        <f t="shared" si="40"/>
        <v>7.1999999999999993</v>
      </c>
      <c r="G85" s="6">
        <f t="shared" si="40"/>
        <v>0</v>
      </c>
      <c r="H85" s="6">
        <f t="shared" si="40"/>
        <v>8.1</v>
      </c>
      <c r="I85" s="6">
        <f t="shared" si="40"/>
        <v>0</v>
      </c>
      <c r="J85" s="6">
        <f t="shared" si="40"/>
        <v>0</v>
      </c>
      <c r="K85" s="6">
        <f t="shared" si="40"/>
        <v>7.1999999999999993</v>
      </c>
      <c r="L85" s="6">
        <f t="shared" si="40"/>
        <v>9</v>
      </c>
      <c r="M85" s="7">
        <f t="shared" si="40"/>
        <v>0.89999999999999991</v>
      </c>
      <c r="N85" s="18"/>
      <c r="O85" s="18"/>
      <c r="P85" s="18"/>
      <c r="Q85" s="18"/>
      <c r="R85" s="18"/>
      <c r="S85" s="18"/>
      <c r="T85" s="18"/>
      <c r="U85" s="18"/>
      <c r="V85" s="18"/>
    </row>
    <row r="86" spans="1:22" x14ac:dyDescent="0.25">
      <c r="B86" s="31">
        <v>0.89999999999999991</v>
      </c>
      <c r="C86" s="20" t="s">
        <v>11</v>
      </c>
      <c r="D86" s="25" t="str">
        <f t="shared" si="36"/>
        <v>Serv</v>
      </c>
      <c r="E86" s="9">
        <f t="shared" ref="E86:M86" si="41">+E13*$B86</f>
        <v>9</v>
      </c>
      <c r="F86" s="10">
        <f t="shared" si="41"/>
        <v>1.7999999999999998</v>
      </c>
      <c r="G86" s="10">
        <f t="shared" si="41"/>
        <v>3.5999999999999996</v>
      </c>
      <c r="H86" s="10">
        <f t="shared" si="41"/>
        <v>9</v>
      </c>
      <c r="I86" s="10">
        <f t="shared" si="41"/>
        <v>0</v>
      </c>
      <c r="J86" s="10">
        <f t="shared" si="41"/>
        <v>0</v>
      </c>
      <c r="K86" s="10">
        <f t="shared" si="41"/>
        <v>2.6999999999999997</v>
      </c>
      <c r="L86" s="10">
        <f t="shared" si="41"/>
        <v>0</v>
      </c>
      <c r="M86" s="11">
        <f t="shared" si="41"/>
        <v>6.2999999999999989</v>
      </c>
      <c r="N86" s="18"/>
      <c r="O86" s="18"/>
      <c r="P86" s="18"/>
      <c r="Q86" s="18"/>
      <c r="R86" s="18"/>
      <c r="S86" s="18"/>
      <c r="T86" s="18"/>
      <c r="U86" s="18"/>
      <c r="V86" s="18"/>
    </row>
    <row r="87" spans="1:22" x14ac:dyDescent="0.25">
      <c r="N87" s="19">
        <f>+SUM(E78:M86)</f>
        <v>374.4</v>
      </c>
    </row>
    <row r="88" spans="1:22" x14ac:dyDescent="0.25">
      <c r="D88" s="20" t="str" cm="1">
        <f t="array" ref="D88:M89">+TRANSPOSE(E59:F68)</f>
        <v>x_md</v>
      </c>
      <c r="E88" s="43">
        <v>71</v>
      </c>
      <c r="F88" s="44">
        <v>55.000000000000007</v>
      </c>
      <c r="G88" s="44">
        <v>47.000000000000014</v>
      </c>
      <c r="H88" s="44">
        <v>82</v>
      </c>
      <c r="I88" s="44">
        <v>50</v>
      </c>
      <c r="J88" s="44">
        <v>55</v>
      </c>
      <c r="K88" s="44">
        <v>79.000000000000014</v>
      </c>
      <c r="L88" s="44">
        <v>65</v>
      </c>
      <c r="M88" s="45">
        <v>60.000000000000021</v>
      </c>
    </row>
    <row r="89" spans="1:22" ht="15.75" thickBot="1" x14ac:dyDescent="0.3">
      <c r="D89" s="49" t="str">
        <v>x_max</v>
      </c>
      <c r="E89" s="50">
        <v>71</v>
      </c>
      <c r="F89" s="51">
        <v>55</v>
      </c>
      <c r="G89" s="51">
        <v>44.18</v>
      </c>
      <c r="H89" s="51">
        <v>73.8</v>
      </c>
      <c r="I89" s="51">
        <v>47.5</v>
      </c>
      <c r="J89" s="51">
        <v>50.050000000000004</v>
      </c>
      <c r="K89" s="51">
        <v>79</v>
      </c>
      <c r="L89" s="51">
        <v>62.4</v>
      </c>
      <c r="M89" s="52">
        <v>60</v>
      </c>
    </row>
    <row r="90" spans="1:22" x14ac:dyDescent="0.25">
      <c r="D90" s="22" t="s">
        <v>60</v>
      </c>
      <c r="E90" s="46">
        <f>+MIN(E88:E89)</f>
        <v>71</v>
      </c>
      <c r="F90" s="47">
        <f t="shared" ref="F90:M90" si="42">+MIN(F88:F89)</f>
        <v>55</v>
      </c>
      <c r="G90" s="47">
        <f t="shared" si="42"/>
        <v>44.18</v>
      </c>
      <c r="H90" s="47">
        <f t="shared" si="42"/>
        <v>73.8</v>
      </c>
      <c r="I90" s="47">
        <f t="shared" si="42"/>
        <v>47.5</v>
      </c>
      <c r="J90" s="47">
        <f t="shared" si="42"/>
        <v>50.050000000000004</v>
      </c>
      <c r="K90" s="47">
        <f t="shared" si="42"/>
        <v>79</v>
      </c>
      <c r="L90" s="47">
        <f t="shared" si="42"/>
        <v>62.4</v>
      </c>
      <c r="M90" s="48">
        <f t="shared" si="42"/>
        <v>60</v>
      </c>
      <c r="N90" s="19">
        <f>+SUM(E90:M90)</f>
        <v>542.93000000000006</v>
      </c>
    </row>
    <row r="91" spans="1:22" x14ac:dyDescent="0.25">
      <c r="A91" s="66"/>
    </row>
    <row r="92" spans="1:22" ht="15.75" thickBot="1" x14ac:dyDescent="0.3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22" ht="75.75" thickBot="1" x14ac:dyDescent="0.3">
      <c r="A93" s="67"/>
      <c r="C93" s="98" t="s">
        <v>54</v>
      </c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22" x14ac:dyDescent="0.25">
      <c r="C94" s="20" t="s">
        <v>1</v>
      </c>
      <c r="D94" s="28" t="s">
        <v>51</v>
      </c>
      <c r="E94" s="1">
        <f>+E21*E$88</f>
        <v>10</v>
      </c>
      <c r="F94" s="2">
        <f t="shared" ref="F94:M94" si="43">+F21*F$88</f>
        <v>5.0000000000000009</v>
      </c>
      <c r="G94" s="2">
        <f t="shared" si="43"/>
        <v>10.000000000000004</v>
      </c>
      <c r="H94" s="2">
        <f t="shared" si="43"/>
        <v>1</v>
      </c>
      <c r="I94" s="2">
        <f t="shared" si="43"/>
        <v>0</v>
      </c>
      <c r="J94" s="2">
        <f t="shared" si="43"/>
        <v>8</v>
      </c>
      <c r="K94" s="2">
        <f t="shared" si="43"/>
        <v>3.0000000000000004</v>
      </c>
      <c r="L94" s="2">
        <f t="shared" si="43"/>
        <v>7</v>
      </c>
      <c r="M94" s="3">
        <f t="shared" si="43"/>
        <v>2.0000000000000009</v>
      </c>
      <c r="N94" s="19"/>
      <c r="O94" s="19"/>
      <c r="P94" s="19"/>
      <c r="Q94" s="19"/>
      <c r="R94" s="19"/>
      <c r="S94" s="19"/>
      <c r="T94" s="19"/>
      <c r="U94" s="19"/>
      <c r="V94" s="19"/>
    </row>
    <row r="95" spans="1:22" x14ac:dyDescent="0.25">
      <c r="C95" s="20" t="s">
        <v>1</v>
      </c>
      <c r="D95" s="25" t="s">
        <v>52</v>
      </c>
      <c r="E95" s="5">
        <f t="shared" ref="E95:M95" si="44">+E22*E$88</f>
        <v>8</v>
      </c>
      <c r="F95" s="6">
        <f t="shared" si="44"/>
        <v>3.0000000000000004</v>
      </c>
      <c r="G95" s="6">
        <f t="shared" si="44"/>
        <v>9.0000000000000036</v>
      </c>
      <c r="H95" s="6">
        <f t="shared" si="44"/>
        <v>4</v>
      </c>
      <c r="I95" s="6">
        <f t="shared" si="44"/>
        <v>2</v>
      </c>
      <c r="J95" s="6">
        <f t="shared" si="44"/>
        <v>10</v>
      </c>
      <c r="K95" s="6">
        <f t="shared" si="44"/>
        <v>1.0000000000000002</v>
      </c>
      <c r="L95" s="6">
        <f t="shared" si="44"/>
        <v>4</v>
      </c>
      <c r="M95" s="7">
        <f t="shared" si="44"/>
        <v>7.0000000000000027</v>
      </c>
      <c r="N95" s="19"/>
      <c r="O95" s="19"/>
      <c r="P95" s="19"/>
      <c r="Q95" s="19"/>
      <c r="R95" s="19"/>
      <c r="S95" s="19"/>
      <c r="T95" s="19"/>
      <c r="U95" s="19"/>
      <c r="V95" s="19"/>
    </row>
    <row r="96" spans="1:22" x14ac:dyDescent="0.25">
      <c r="C96" s="20" t="s">
        <v>1</v>
      </c>
      <c r="D96" s="25" t="s">
        <v>53</v>
      </c>
      <c r="E96" s="5">
        <f t="shared" ref="E96:M96" si="45">+E23*E$88</f>
        <v>0</v>
      </c>
      <c r="F96" s="6">
        <f t="shared" si="45"/>
        <v>0</v>
      </c>
      <c r="G96" s="6">
        <f t="shared" si="45"/>
        <v>0</v>
      </c>
      <c r="H96" s="6">
        <f t="shared" si="45"/>
        <v>7.0000000000000009</v>
      </c>
      <c r="I96" s="6">
        <f t="shared" si="45"/>
        <v>4</v>
      </c>
      <c r="J96" s="6">
        <f t="shared" si="45"/>
        <v>4</v>
      </c>
      <c r="K96" s="6">
        <f t="shared" si="45"/>
        <v>7.0000000000000009</v>
      </c>
      <c r="L96" s="6">
        <f t="shared" si="45"/>
        <v>4</v>
      </c>
      <c r="M96" s="7">
        <f t="shared" si="45"/>
        <v>7.0000000000000027</v>
      </c>
      <c r="N96" s="19"/>
      <c r="O96" s="19"/>
      <c r="P96" s="19"/>
      <c r="Q96" s="19"/>
      <c r="R96" s="19"/>
      <c r="S96" s="19"/>
      <c r="T96" s="19"/>
      <c r="U96" s="19"/>
      <c r="V96" s="19"/>
    </row>
    <row r="97" spans="3:36" x14ac:dyDescent="0.25">
      <c r="C97" s="20" t="s">
        <v>10</v>
      </c>
      <c r="D97" s="25" t="str">
        <f>+D94</f>
        <v>Agr</v>
      </c>
      <c r="E97" s="5">
        <f t="shared" ref="E97:M97" si="46">+E24*E$88</f>
        <v>9</v>
      </c>
      <c r="F97" s="6">
        <f t="shared" si="46"/>
        <v>5.0000000000000009</v>
      </c>
      <c r="G97" s="6">
        <f t="shared" si="46"/>
        <v>4.0000000000000009</v>
      </c>
      <c r="H97" s="6">
        <f t="shared" si="46"/>
        <v>7.0000000000000009</v>
      </c>
      <c r="I97" s="6">
        <f t="shared" si="46"/>
        <v>10</v>
      </c>
      <c r="J97" s="6">
        <f t="shared" si="46"/>
        <v>9</v>
      </c>
      <c r="K97" s="6">
        <f t="shared" si="46"/>
        <v>10.000000000000002</v>
      </c>
      <c r="L97" s="6">
        <f t="shared" si="46"/>
        <v>9</v>
      </c>
      <c r="M97" s="7">
        <f t="shared" si="46"/>
        <v>9.0000000000000036</v>
      </c>
      <c r="N97" s="19"/>
      <c r="O97" s="19"/>
      <c r="P97" s="19"/>
      <c r="Q97" s="19"/>
      <c r="R97" s="19"/>
      <c r="S97" s="19"/>
      <c r="T97" s="19"/>
      <c r="U97" s="19"/>
      <c r="V97" s="19"/>
    </row>
    <row r="98" spans="3:36" x14ac:dyDescent="0.25">
      <c r="C98" s="20" t="s">
        <v>10</v>
      </c>
      <c r="D98" s="25" t="str">
        <f t="shared" ref="D98:D102" si="47">+D95</f>
        <v>Ind</v>
      </c>
      <c r="E98" s="5">
        <f t="shared" ref="E98:M98" si="48">+E25*E$88</f>
        <v>4</v>
      </c>
      <c r="F98" s="6">
        <f t="shared" si="48"/>
        <v>2</v>
      </c>
      <c r="G98" s="6">
        <f t="shared" si="48"/>
        <v>3.0000000000000009</v>
      </c>
      <c r="H98" s="6">
        <f t="shared" si="48"/>
        <v>6</v>
      </c>
      <c r="I98" s="6">
        <f t="shared" si="48"/>
        <v>7.0000000000000009</v>
      </c>
      <c r="J98" s="6">
        <f t="shared" si="48"/>
        <v>4</v>
      </c>
      <c r="K98" s="6">
        <f t="shared" si="48"/>
        <v>9.0000000000000018</v>
      </c>
      <c r="L98" s="6">
        <f t="shared" si="48"/>
        <v>2</v>
      </c>
      <c r="M98" s="7">
        <f t="shared" si="48"/>
        <v>8.0000000000000036</v>
      </c>
      <c r="N98" s="19"/>
      <c r="O98" s="19"/>
      <c r="P98" s="19"/>
      <c r="Q98" s="19"/>
      <c r="R98" s="19"/>
      <c r="S98" s="19"/>
      <c r="T98" s="19"/>
      <c r="U98" s="19"/>
      <c r="V98" s="19"/>
    </row>
    <row r="99" spans="3:36" x14ac:dyDescent="0.25">
      <c r="C99" s="20" t="s">
        <v>10</v>
      </c>
      <c r="D99" s="25" t="str">
        <f t="shared" si="47"/>
        <v>Serv</v>
      </c>
      <c r="E99" s="5">
        <f t="shared" ref="E99:M99" si="49">+E26*E$88</f>
        <v>6</v>
      </c>
      <c r="F99" s="6">
        <f t="shared" si="49"/>
        <v>5.0000000000000009</v>
      </c>
      <c r="G99" s="6">
        <f t="shared" si="49"/>
        <v>4.0000000000000009</v>
      </c>
      <c r="H99" s="6">
        <f t="shared" si="49"/>
        <v>1</v>
      </c>
      <c r="I99" s="6">
        <f t="shared" si="49"/>
        <v>9</v>
      </c>
      <c r="J99" s="6">
        <f t="shared" si="49"/>
        <v>2</v>
      </c>
      <c r="K99" s="6">
        <f t="shared" si="49"/>
        <v>1.0000000000000002</v>
      </c>
      <c r="L99" s="6">
        <f t="shared" si="49"/>
        <v>6</v>
      </c>
      <c r="M99" s="7">
        <f t="shared" si="49"/>
        <v>1.0000000000000004</v>
      </c>
      <c r="N99" s="19"/>
      <c r="O99" s="19"/>
      <c r="P99" s="19"/>
      <c r="Q99" s="19"/>
      <c r="R99" s="19"/>
      <c r="S99" s="19"/>
      <c r="T99" s="19"/>
      <c r="U99" s="19"/>
      <c r="V99" s="19"/>
    </row>
    <row r="100" spans="3:36" x14ac:dyDescent="0.25">
      <c r="C100" s="20" t="s">
        <v>11</v>
      </c>
      <c r="D100" s="25" t="str">
        <f t="shared" si="47"/>
        <v>Agr</v>
      </c>
      <c r="E100" s="5">
        <f t="shared" ref="E100:M100" si="50">+E27*E$88</f>
        <v>3</v>
      </c>
      <c r="F100" s="6">
        <f t="shared" si="50"/>
        <v>10.000000000000002</v>
      </c>
      <c r="G100" s="6">
        <f t="shared" si="50"/>
        <v>8.0000000000000018</v>
      </c>
      <c r="H100" s="6">
        <f t="shared" si="50"/>
        <v>9</v>
      </c>
      <c r="I100" s="6">
        <f t="shared" si="50"/>
        <v>10</v>
      </c>
      <c r="J100" s="6">
        <f t="shared" si="50"/>
        <v>0</v>
      </c>
      <c r="K100" s="6">
        <f t="shared" si="50"/>
        <v>7.0000000000000009</v>
      </c>
      <c r="L100" s="6">
        <f t="shared" si="50"/>
        <v>9</v>
      </c>
      <c r="M100" s="7">
        <f t="shared" si="50"/>
        <v>8.0000000000000036</v>
      </c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3:36" x14ac:dyDescent="0.25">
      <c r="C101" s="20" t="s">
        <v>11</v>
      </c>
      <c r="D101" s="25" t="str">
        <f t="shared" si="47"/>
        <v>Ind</v>
      </c>
      <c r="E101" s="5">
        <f t="shared" ref="E101:M101" si="51">+E28*E$88</f>
        <v>1</v>
      </c>
      <c r="F101" s="6">
        <f t="shared" si="51"/>
        <v>8</v>
      </c>
      <c r="G101" s="6">
        <f t="shared" si="51"/>
        <v>0</v>
      </c>
      <c r="H101" s="6">
        <f t="shared" si="51"/>
        <v>9</v>
      </c>
      <c r="I101" s="6">
        <f t="shared" si="51"/>
        <v>0</v>
      </c>
      <c r="J101" s="6">
        <f t="shared" si="51"/>
        <v>0</v>
      </c>
      <c r="K101" s="6">
        <f t="shared" si="51"/>
        <v>8.0000000000000018</v>
      </c>
      <c r="L101" s="6">
        <f t="shared" si="51"/>
        <v>10</v>
      </c>
      <c r="M101" s="7">
        <f t="shared" si="51"/>
        <v>1.0000000000000004</v>
      </c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3:36" x14ac:dyDescent="0.25">
      <c r="C102" s="20" t="s">
        <v>11</v>
      </c>
      <c r="D102" s="25" t="str">
        <f t="shared" si="47"/>
        <v>Serv</v>
      </c>
      <c r="E102" s="9">
        <f t="shared" ref="E102:M102" si="52">+E29*E$88</f>
        <v>10</v>
      </c>
      <c r="F102" s="10">
        <f t="shared" si="52"/>
        <v>2</v>
      </c>
      <c r="G102" s="10">
        <f t="shared" si="52"/>
        <v>4.0000000000000009</v>
      </c>
      <c r="H102" s="10">
        <f t="shared" si="52"/>
        <v>10</v>
      </c>
      <c r="I102" s="10">
        <f t="shared" si="52"/>
        <v>0</v>
      </c>
      <c r="J102" s="10">
        <f t="shared" si="52"/>
        <v>0</v>
      </c>
      <c r="K102" s="10">
        <f t="shared" si="52"/>
        <v>3.0000000000000004</v>
      </c>
      <c r="L102" s="10">
        <f t="shared" si="52"/>
        <v>0</v>
      </c>
      <c r="M102" s="11">
        <f t="shared" si="52"/>
        <v>7.0000000000000027</v>
      </c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3:36" x14ac:dyDescent="0.25">
      <c r="N103" s="19">
        <f>+SUM(E94:M102)</f>
        <v>416</v>
      </c>
    </row>
    <row r="104" spans="3:36" ht="15.75" thickBot="1" x14ac:dyDescent="0.3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36" ht="15.75" thickBot="1" x14ac:dyDescent="0.3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36" x14ac:dyDescent="0.25">
      <c r="C106" s="20" t="s">
        <v>1</v>
      </c>
      <c r="D106" s="28" t="s">
        <v>51</v>
      </c>
      <c r="E106" s="1">
        <f>+MAX(E94-E78,0)</f>
        <v>1</v>
      </c>
      <c r="F106" s="2">
        <f t="shared" ref="F106:M106" si="53">+MAX(F94-F78,0)</f>
        <v>0.50000000000000089</v>
      </c>
      <c r="G106" s="2">
        <f t="shared" si="53"/>
        <v>1.0000000000000036</v>
      </c>
      <c r="H106" s="2">
        <f t="shared" si="53"/>
        <v>0.10000000000000009</v>
      </c>
      <c r="I106" s="2">
        <f t="shared" si="53"/>
        <v>0</v>
      </c>
      <c r="J106" s="2">
        <f t="shared" si="53"/>
        <v>0.80000000000000071</v>
      </c>
      <c r="K106" s="2">
        <f t="shared" si="53"/>
        <v>0.30000000000000071</v>
      </c>
      <c r="L106" s="2">
        <f t="shared" si="53"/>
        <v>0.70000000000000107</v>
      </c>
      <c r="M106" s="3">
        <f t="shared" si="53"/>
        <v>0.20000000000000107</v>
      </c>
      <c r="N106" s="53">
        <f>+SUM(E106:M106)</f>
        <v>4.6000000000000085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6"/>
      <c r="Y106" s="16"/>
      <c r="Z106" s="16"/>
      <c r="AA106" s="16"/>
      <c r="AB106" s="16"/>
      <c r="AC106" s="16"/>
      <c r="AD106" s="16"/>
      <c r="AE106" s="16"/>
      <c r="AF106" s="16"/>
      <c r="AG106" s="18"/>
      <c r="AH106" s="18"/>
      <c r="AI106" s="18"/>
      <c r="AJ106" s="18"/>
    </row>
    <row r="107" spans="3:36" x14ac:dyDescent="0.25">
      <c r="C107" s="20" t="s">
        <v>1</v>
      </c>
      <c r="D107" s="25" t="s">
        <v>52</v>
      </c>
      <c r="E107" s="5">
        <f t="shared" ref="E107:M107" si="54">+MAX(E95-E79,0)</f>
        <v>0.80000000000000071</v>
      </c>
      <c r="F107" s="6">
        <f t="shared" si="54"/>
        <v>0.30000000000000071</v>
      </c>
      <c r="G107" s="6">
        <f t="shared" si="54"/>
        <v>0.90000000000000391</v>
      </c>
      <c r="H107" s="6">
        <f t="shared" si="54"/>
        <v>0.40000000000000036</v>
      </c>
      <c r="I107" s="6">
        <f t="shared" si="54"/>
        <v>0.20000000000000018</v>
      </c>
      <c r="J107" s="6">
        <f t="shared" si="54"/>
        <v>1</v>
      </c>
      <c r="K107" s="6">
        <f t="shared" si="54"/>
        <v>0.10000000000000031</v>
      </c>
      <c r="L107" s="6">
        <f t="shared" si="54"/>
        <v>0.40000000000000036</v>
      </c>
      <c r="M107" s="7">
        <f t="shared" si="54"/>
        <v>0.70000000000000373</v>
      </c>
      <c r="N107" s="8">
        <f t="shared" ref="N107:N114" si="55">+SUM(E107:M107)</f>
        <v>4.8000000000000105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6"/>
      <c r="Y107" s="16"/>
      <c r="Z107" s="16"/>
      <c r="AA107" s="16"/>
      <c r="AB107" s="16"/>
      <c r="AC107" s="16"/>
      <c r="AD107" s="16"/>
      <c r="AE107" s="16"/>
      <c r="AF107" s="16"/>
      <c r="AG107" s="18"/>
      <c r="AH107" s="18"/>
      <c r="AI107" s="18"/>
      <c r="AJ107" s="18"/>
    </row>
    <row r="108" spans="3:36" x14ac:dyDescent="0.25">
      <c r="C108" s="20" t="s">
        <v>1</v>
      </c>
      <c r="D108" s="25" t="s">
        <v>53</v>
      </c>
      <c r="E108" s="5">
        <f t="shared" ref="E108:M108" si="56">+MAX(E96-E80,0)</f>
        <v>0</v>
      </c>
      <c r="F108" s="6">
        <f t="shared" si="56"/>
        <v>0</v>
      </c>
      <c r="G108" s="6">
        <f t="shared" si="56"/>
        <v>0</v>
      </c>
      <c r="H108" s="6">
        <f t="shared" si="56"/>
        <v>0.70000000000000195</v>
      </c>
      <c r="I108" s="6">
        <f t="shared" si="56"/>
        <v>0.40000000000000036</v>
      </c>
      <c r="J108" s="6">
        <f t="shared" si="56"/>
        <v>0.40000000000000036</v>
      </c>
      <c r="K108" s="6">
        <f t="shared" si="56"/>
        <v>0.70000000000000195</v>
      </c>
      <c r="L108" s="6">
        <f t="shared" si="56"/>
        <v>0.40000000000000036</v>
      </c>
      <c r="M108" s="7">
        <f t="shared" si="56"/>
        <v>0.70000000000000373</v>
      </c>
      <c r="N108" s="8">
        <f t="shared" si="55"/>
        <v>3.3000000000000087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6"/>
      <c r="Y108" s="16"/>
      <c r="Z108" s="16"/>
      <c r="AA108" s="16"/>
      <c r="AB108" s="16"/>
      <c r="AC108" s="16"/>
      <c r="AD108" s="16"/>
      <c r="AE108" s="16"/>
      <c r="AF108" s="16"/>
      <c r="AG108" s="18"/>
      <c r="AH108" s="18"/>
      <c r="AI108" s="18"/>
      <c r="AJ108" s="18"/>
    </row>
    <row r="109" spans="3:36" x14ac:dyDescent="0.25">
      <c r="C109" s="20" t="s">
        <v>10</v>
      </c>
      <c r="D109" s="25" t="str">
        <f>+D106</f>
        <v>Agr</v>
      </c>
      <c r="E109" s="5">
        <f t="shared" ref="E109:M109" si="57">+MAX(E97-E81,0)</f>
        <v>0.90000000000000036</v>
      </c>
      <c r="F109" s="6">
        <f t="shared" si="57"/>
        <v>0.50000000000000089</v>
      </c>
      <c r="G109" s="6">
        <f t="shared" si="57"/>
        <v>0.40000000000000124</v>
      </c>
      <c r="H109" s="6">
        <f t="shared" si="57"/>
        <v>0.70000000000000195</v>
      </c>
      <c r="I109" s="6">
        <f t="shared" si="57"/>
        <v>1</v>
      </c>
      <c r="J109" s="6">
        <f t="shared" si="57"/>
        <v>0.90000000000000036</v>
      </c>
      <c r="K109" s="6">
        <f t="shared" si="57"/>
        <v>1.0000000000000018</v>
      </c>
      <c r="L109" s="6">
        <f t="shared" si="57"/>
        <v>0.90000000000000036</v>
      </c>
      <c r="M109" s="7">
        <f t="shared" si="57"/>
        <v>0.90000000000000391</v>
      </c>
      <c r="N109" s="8">
        <f t="shared" si="55"/>
        <v>7.2000000000000108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6"/>
      <c r="Y109" s="16"/>
      <c r="Z109" s="16"/>
      <c r="AA109" s="16"/>
      <c r="AB109" s="16"/>
      <c r="AC109" s="16"/>
      <c r="AD109" s="16"/>
      <c r="AE109" s="16"/>
      <c r="AF109" s="16"/>
      <c r="AG109" s="18"/>
      <c r="AH109" s="18"/>
      <c r="AI109" s="18"/>
      <c r="AJ109" s="18"/>
    </row>
    <row r="110" spans="3:36" x14ac:dyDescent="0.25">
      <c r="C110" s="20" t="s">
        <v>10</v>
      </c>
      <c r="D110" s="25" t="str">
        <f t="shared" ref="D110:D114" si="58">+D107</f>
        <v>Ind</v>
      </c>
      <c r="E110" s="5">
        <f t="shared" ref="E110:M110" si="59">+MAX(E98-E82,0)</f>
        <v>0.40000000000000036</v>
      </c>
      <c r="F110" s="6">
        <f t="shared" si="59"/>
        <v>0.20000000000000018</v>
      </c>
      <c r="G110" s="6">
        <f t="shared" si="59"/>
        <v>0.30000000000000115</v>
      </c>
      <c r="H110" s="6">
        <f t="shared" si="59"/>
        <v>0.60000000000000053</v>
      </c>
      <c r="I110" s="6">
        <f t="shared" si="59"/>
        <v>0.70000000000000195</v>
      </c>
      <c r="J110" s="6">
        <f t="shared" si="59"/>
        <v>0.40000000000000036</v>
      </c>
      <c r="K110" s="6">
        <f t="shared" si="59"/>
        <v>0.90000000000000213</v>
      </c>
      <c r="L110" s="6">
        <f t="shared" si="59"/>
        <v>0.20000000000000018</v>
      </c>
      <c r="M110" s="7">
        <f t="shared" si="59"/>
        <v>0.80000000000000426</v>
      </c>
      <c r="N110" s="8">
        <f t="shared" si="55"/>
        <v>4.5000000000000107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6"/>
      <c r="Y110" s="16"/>
      <c r="Z110" s="16"/>
      <c r="AA110" s="16"/>
      <c r="AB110" s="16"/>
      <c r="AC110" s="16"/>
      <c r="AD110" s="16"/>
      <c r="AE110" s="16"/>
      <c r="AF110" s="16"/>
      <c r="AG110" s="18"/>
      <c r="AH110" s="18"/>
      <c r="AI110" s="18"/>
      <c r="AJ110" s="18"/>
    </row>
    <row r="111" spans="3:36" x14ac:dyDescent="0.25">
      <c r="C111" s="20" t="s">
        <v>10</v>
      </c>
      <c r="D111" s="25" t="str">
        <f t="shared" si="58"/>
        <v>Serv</v>
      </c>
      <c r="E111" s="5">
        <f t="shared" ref="E111:M111" si="60">+MAX(E99-E83,0)</f>
        <v>0.60000000000000053</v>
      </c>
      <c r="F111" s="6">
        <f t="shared" si="60"/>
        <v>0.50000000000000089</v>
      </c>
      <c r="G111" s="6">
        <f t="shared" si="60"/>
        <v>0.40000000000000124</v>
      </c>
      <c r="H111" s="6">
        <f t="shared" si="60"/>
        <v>0.10000000000000009</v>
      </c>
      <c r="I111" s="6">
        <f t="shared" si="60"/>
        <v>0.90000000000000036</v>
      </c>
      <c r="J111" s="6">
        <f t="shared" si="60"/>
        <v>0.20000000000000018</v>
      </c>
      <c r="K111" s="6">
        <f t="shared" si="60"/>
        <v>0.10000000000000031</v>
      </c>
      <c r="L111" s="6">
        <f t="shared" si="60"/>
        <v>0.60000000000000053</v>
      </c>
      <c r="M111" s="7">
        <f t="shared" si="60"/>
        <v>0.10000000000000053</v>
      </c>
      <c r="N111" s="8">
        <f t="shared" si="55"/>
        <v>3.5000000000000044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6"/>
      <c r="Y111" s="16"/>
      <c r="Z111" s="16"/>
      <c r="AA111" s="16"/>
      <c r="AB111" s="16"/>
      <c r="AC111" s="16"/>
      <c r="AD111" s="16"/>
      <c r="AE111" s="16"/>
      <c r="AF111" s="16"/>
      <c r="AG111" s="18"/>
      <c r="AH111" s="18"/>
      <c r="AI111" s="18"/>
      <c r="AJ111" s="18"/>
    </row>
    <row r="112" spans="3:36" x14ac:dyDescent="0.25">
      <c r="C112" s="20" t="s">
        <v>11</v>
      </c>
      <c r="D112" s="25" t="str">
        <f t="shared" si="58"/>
        <v>Agr</v>
      </c>
      <c r="E112" s="5">
        <f t="shared" ref="E112:M112" si="61">+MAX(E100-E84,0)</f>
        <v>0.30000000000000027</v>
      </c>
      <c r="F112" s="6">
        <f t="shared" si="61"/>
        <v>1.0000000000000018</v>
      </c>
      <c r="G112" s="6">
        <f t="shared" si="61"/>
        <v>0.80000000000000249</v>
      </c>
      <c r="H112" s="6">
        <f t="shared" si="61"/>
        <v>0.90000000000000036</v>
      </c>
      <c r="I112" s="6">
        <f t="shared" si="61"/>
        <v>1</v>
      </c>
      <c r="J112" s="6">
        <f t="shared" si="61"/>
        <v>0</v>
      </c>
      <c r="K112" s="6">
        <f t="shared" si="61"/>
        <v>0.70000000000000195</v>
      </c>
      <c r="L112" s="6">
        <f t="shared" si="61"/>
        <v>0.90000000000000036</v>
      </c>
      <c r="M112" s="7">
        <f t="shared" si="61"/>
        <v>0.80000000000000426</v>
      </c>
      <c r="N112" s="8">
        <f t="shared" si="55"/>
        <v>6.4000000000000119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6"/>
      <c r="Y112" s="16"/>
      <c r="Z112" s="16"/>
      <c r="AA112" s="16"/>
      <c r="AB112" s="16"/>
      <c r="AC112" s="16"/>
      <c r="AD112" s="16"/>
      <c r="AE112" s="16"/>
      <c r="AF112" s="16"/>
      <c r="AG112" s="18"/>
      <c r="AH112" s="18"/>
      <c r="AI112" s="18"/>
      <c r="AJ112" s="18"/>
    </row>
    <row r="113" spans="1:36" x14ac:dyDescent="0.25">
      <c r="C113" s="20" t="s">
        <v>11</v>
      </c>
      <c r="D113" s="25" t="str">
        <f t="shared" si="58"/>
        <v>Ind</v>
      </c>
      <c r="E113" s="5">
        <f t="shared" ref="E113:M113" si="62">+MAX(E101-E85,0)</f>
        <v>0.10000000000000009</v>
      </c>
      <c r="F113" s="6">
        <f t="shared" si="62"/>
        <v>0.80000000000000071</v>
      </c>
      <c r="G113" s="6">
        <f t="shared" si="62"/>
        <v>0</v>
      </c>
      <c r="H113" s="6">
        <f t="shared" si="62"/>
        <v>0.90000000000000036</v>
      </c>
      <c r="I113" s="6">
        <f t="shared" si="62"/>
        <v>0</v>
      </c>
      <c r="J113" s="6">
        <f t="shared" si="62"/>
        <v>0</v>
      </c>
      <c r="K113" s="6">
        <f t="shared" si="62"/>
        <v>0.80000000000000249</v>
      </c>
      <c r="L113" s="6">
        <f t="shared" si="62"/>
        <v>1</v>
      </c>
      <c r="M113" s="7">
        <f t="shared" si="62"/>
        <v>0.10000000000000053</v>
      </c>
      <c r="N113" s="8">
        <f t="shared" si="55"/>
        <v>3.7000000000000042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6"/>
      <c r="Y113" s="16"/>
      <c r="Z113" s="16"/>
      <c r="AA113" s="16"/>
      <c r="AB113" s="16"/>
      <c r="AC113" s="16"/>
      <c r="AD113" s="16"/>
      <c r="AE113" s="16"/>
      <c r="AF113" s="16"/>
      <c r="AG113" s="18"/>
      <c r="AH113" s="18"/>
      <c r="AI113" s="18"/>
      <c r="AJ113" s="18"/>
    </row>
    <row r="114" spans="1:36" x14ac:dyDescent="0.25">
      <c r="C114" s="20" t="s">
        <v>11</v>
      </c>
      <c r="D114" s="25" t="str">
        <f t="shared" si="58"/>
        <v>Serv</v>
      </c>
      <c r="E114" s="9">
        <f t="shared" ref="E114:M114" si="63">+MAX(E102-E86,0)</f>
        <v>1</v>
      </c>
      <c r="F114" s="10">
        <f t="shared" si="63"/>
        <v>0.20000000000000018</v>
      </c>
      <c r="G114" s="10">
        <f t="shared" si="63"/>
        <v>0.40000000000000124</v>
      </c>
      <c r="H114" s="10">
        <f t="shared" si="63"/>
        <v>1</v>
      </c>
      <c r="I114" s="10">
        <f t="shared" si="63"/>
        <v>0</v>
      </c>
      <c r="J114" s="10">
        <f t="shared" si="63"/>
        <v>0</v>
      </c>
      <c r="K114" s="10">
        <f t="shared" si="63"/>
        <v>0.30000000000000071</v>
      </c>
      <c r="L114" s="10">
        <f t="shared" si="63"/>
        <v>0</v>
      </c>
      <c r="M114" s="11">
        <f t="shared" si="63"/>
        <v>0.70000000000000373</v>
      </c>
      <c r="N114" s="12">
        <f t="shared" si="55"/>
        <v>3.6000000000000059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6"/>
      <c r="Y114" s="16"/>
      <c r="Z114" s="16"/>
      <c r="AA114" s="16"/>
      <c r="AB114" s="16"/>
      <c r="AC114" s="16"/>
      <c r="AD114" s="16"/>
      <c r="AE114" s="16"/>
      <c r="AF114" s="16"/>
      <c r="AG114" s="18"/>
      <c r="AH114" s="18"/>
      <c r="AI114" s="18"/>
      <c r="AJ114" s="18"/>
    </row>
    <row r="115" spans="1:36" x14ac:dyDescent="0.25">
      <c r="C115" s="57"/>
      <c r="D115" s="57"/>
      <c r="E115" s="13">
        <f t="shared" ref="E115:M115" si="64">SUM(E105:E114)</f>
        <v>5.1000000000000014</v>
      </c>
      <c r="F115" s="14">
        <f t="shared" si="64"/>
        <v>4.0000000000000062</v>
      </c>
      <c r="G115" s="14">
        <f t="shared" si="64"/>
        <v>4.2000000000000153</v>
      </c>
      <c r="H115" s="14">
        <f t="shared" si="64"/>
        <v>5.4000000000000057</v>
      </c>
      <c r="I115" s="14">
        <f t="shared" si="64"/>
        <v>4.2000000000000028</v>
      </c>
      <c r="J115" s="14">
        <f t="shared" si="64"/>
        <v>3.700000000000002</v>
      </c>
      <c r="K115" s="14">
        <f t="shared" si="64"/>
        <v>4.9000000000000128</v>
      </c>
      <c r="L115" s="14">
        <f t="shared" si="64"/>
        <v>5.1000000000000032</v>
      </c>
      <c r="M115" s="15">
        <f t="shared" si="64"/>
        <v>5.0000000000000258</v>
      </c>
      <c r="N115" s="19">
        <f>+SUM(E106:M114)</f>
        <v>41.60000000000008</v>
      </c>
    </row>
    <row r="116" spans="1:36" x14ac:dyDescent="0.25">
      <c r="A116" s="66"/>
    </row>
    <row r="117" spans="1:36" x14ac:dyDescent="0.25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  <c r="N117" s="57" t="s">
        <v>56</v>
      </c>
      <c r="O117" t="str" cm="1">
        <f t="array" ref="O117:Q117">+TRANSPOSE(_xlfn.UNIQUE($D$118:$D$126))</f>
        <v>Agr</v>
      </c>
      <c r="P117" t="str">
        <v>Ind</v>
      </c>
      <c r="Q117" t="str">
        <v>Serv</v>
      </c>
      <c r="R117" s="100" t="s">
        <v>58</v>
      </c>
    </row>
    <row r="118" spans="1:36" x14ac:dyDescent="0.25">
      <c r="A118" s="67"/>
      <c r="C118" s="20" t="s">
        <v>1</v>
      </c>
      <c r="D118" s="20" t="s">
        <v>51</v>
      </c>
      <c r="E118" s="53">
        <f>+MAX(F60-H47-SUM(E78:M78),0)</f>
        <v>4.6000000000000085</v>
      </c>
      <c r="F118" s="53" cm="1">
        <f t="array" ref="F118">+E118/_xlfn.XLOOKUP(D118,_xlfn.ANCHORARRAY($I$118),$K$118:$K$120,,0)</f>
        <v>0.25274725274725279</v>
      </c>
      <c r="G118" s="53" cm="1">
        <f t="array" ref="G118">+E118/_xlfn.XLOOKUP(D118,_xlfn.ANCHORARRAY($I$118),$J$118:$J$120,,0)</f>
        <v>0.41818181818181843</v>
      </c>
      <c r="I118" s="54" t="str" cm="1">
        <f t="array" ref="I118:I120">+_xlfn.UNIQUE(D118:D126)</f>
        <v>Agr</v>
      </c>
      <c r="J118" s="58">
        <f>+SUMIF($D$118:$D$126,I118,$E$118:$E$126)</f>
        <v>11.000000000000014</v>
      </c>
      <c r="K118" s="40">
        <f>+SUMIF($D$106:$D$114,I118,$N$106:$N$114)</f>
        <v>18.200000000000031</v>
      </c>
      <c r="L118" s="40">
        <f>+MIN(1,J118/K118)</f>
        <v>0.60439560439560414</v>
      </c>
      <c r="M118" s="18"/>
      <c r="N118" t="str" cm="1">
        <f t="array" ref="N118:N120">+_xlfn.UNIQUE($C$118:$C$126)</f>
        <v>A</v>
      </c>
      <c r="O118" s="16">
        <f>+SUMIFS($E$118:$E$126,$C$118:$C$126,$N118,$D$118:$D$126,O$117)</f>
        <v>4.6000000000000085</v>
      </c>
      <c r="P118" s="16">
        <f t="shared" ref="P118:Q118" si="65">+SUMIFS($E$118:$E$126,$C$118:$C$126,$N118,$D$118:$D$126,P$117)</f>
        <v>4.7999999999999972</v>
      </c>
      <c r="Q118" s="16">
        <f t="shared" si="65"/>
        <v>0.48000000000000398</v>
      </c>
      <c r="S118" s="99" cm="1">
        <f t="array" ref="S118:S120">+O118:O120/O121</f>
        <v>0.41818181818181843</v>
      </c>
      <c r="T118" s="99" cm="1">
        <f t="array" ref="T118:T120">+P118:P120/P121</f>
        <v>0.60759493670886056</v>
      </c>
      <c r="U118" s="99" cm="1">
        <f t="array" ref="U118:U120">+Q118:Q120/Q121</f>
        <v>0.11764705882353023</v>
      </c>
    </row>
    <row r="119" spans="1:36" x14ac:dyDescent="0.25">
      <c r="C119" s="20" t="s">
        <v>1</v>
      </c>
      <c r="D119" s="20" t="s">
        <v>52</v>
      </c>
      <c r="E119" s="8">
        <f>+MAX(F61-H48-SUM(E79:M79),0)</f>
        <v>4.7999999999999972</v>
      </c>
      <c r="F119" s="8" cm="1">
        <f t="array" ref="F119">+E119/_xlfn.XLOOKUP(D119,_xlfn.ANCHORARRAY($I$118),$K$118:$K$120,,0)</f>
        <v>0.36923076923076825</v>
      </c>
      <c r="G119" s="8" cm="1">
        <f t="array" ref="G119">+E119/_xlfn.XLOOKUP(D119,_xlfn.ANCHORARRAY($I$118),$J$118:$J$120,,0)</f>
        <v>0.60759493670886056</v>
      </c>
      <c r="I119" s="55" t="str">
        <v>Ind</v>
      </c>
      <c r="J119" s="59">
        <f t="shared" ref="J119:J120" si="66">+SUMIF($D$118:$D$126,I119,$E$118:$E$126)</f>
        <v>7.8999999999999986</v>
      </c>
      <c r="K119" s="41">
        <f t="shared" ref="K119:K120" si="67">+SUMIF($D$106:$D$114,I119,$N$106:$N$114)</f>
        <v>13.000000000000027</v>
      </c>
      <c r="L119" s="40">
        <f t="shared" ref="L119:L120" si="68">+MIN(1,J119/K119)</f>
        <v>0.60769230769230631</v>
      </c>
      <c r="M119" s="18"/>
      <c r="N119" t="str">
        <v>B</v>
      </c>
      <c r="O119" s="16">
        <f t="shared" ref="O119:Q120" si="69">+SUMIFS($E$118:$E$126,$C$118:$C$126,$N119,$D$118:$D$126,O$117)</f>
        <v>0</v>
      </c>
      <c r="P119" s="16">
        <f t="shared" si="69"/>
        <v>2</v>
      </c>
      <c r="Q119" s="16">
        <f t="shared" si="69"/>
        <v>0</v>
      </c>
      <c r="S119" s="99">
        <v>0</v>
      </c>
      <c r="T119" s="99">
        <v>0.25316455696202539</v>
      </c>
      <c r="U119" s="99">
        <v>0</v>
      </c>
    </row>
    <row r="120" spans="1:36" x14ac:dyDescent="0.25">
      <c r="C120" s="20" t="s">
        <v>1</v>
      </c>
      <c r="D120" s="20" t="s">
        <v>53</v>
      </c>
      <c r="E120" s="8">
        <f>+MAX(F62-H49-SUM(E80:M80),0)</f>
        <v>0.48000000000000398</v>
      </c>
      <c r="F120" s="8" cm="1">
        <f t="array" ref="F120">+E120/_xlfn.XLOOKUP(D120,_xlfn.ANCHORARRAY($I$118),$K$118:$K$120,,0)</f>
        <v>4.6153846153846448E-2</v>
      </c>
      <c r="G120" s="8" cm="1">
        <f t="array" ref="G120">+E120/_xlfn.XLOOKUP(D120,_xlfn.ANCHORARRAY($I$118),$J$118:$J$120,,0)</f>
        <v>0.11764705882353023</v>
      </c>
      <c r="I120" s="56" t="str">
        <v>Serv</v>
      </c>
      <c r="J120" s="60">
        <f t="shared" si="66"/>
        <v>4.0800000000000054</v>
      </c>
      <c r="K120" s="42">
        <f t="shared" si="67"/>
        <v>10.40000000000002</v>
      </c>
      <c r="L120" s="40">
        <f t="shared" si="68"/>
        <v>0.39230769230769208</v>
      </c>
      <c r="M120" s="18"/>
      <c r="N120" t="str">
        <v>C</v>
      </c>
      <c r="O120" s="16">
        <f t="shared" si="69"/>
        <v>6.4000000000000057</v>
      </c>
      <c r="P120" s="16">
        <f t="shared" si="69"/>
        <v>1.1000000000000014</v>
      </c>
      <c r="Q120" s="16">
        <f t="shared" si="69"/>
        <v>3.6000000000000014</v>
      </c>
      <c r="S120" s="99">
        <v>0.58181818181818157</v>
      </c>
      <c r="T120" s="99">
        <v>0.13924050632911414</v>
      </c>
      <c r="U120" s="99">
        <v>0.88235294117646978</v>
      </c>
    </row>
    <row r="121" spans="1:36" x14ac:dyDescent="0.25">
      <c r="C121" s="20" t="s">
        <v>10</v>
      </c>
      <c r="D121" s="20" t="str">
        <f>+D118</f>
        <v>Agr</v>
      </c>
      <c r="E121" s="8">
        <f>+MAX(F63-H50-SUM(E81:M81),0)</f>
        <v>0</v>
      </c>
      <c r="F121" s="8" cm="1">
        <f t="array" ref="F121">+E121/_xlfn.XLOOKUP(D121,_xlfn.ANCHORARRAY($I$118),$K$118:$K$120,,0)</f>
        <v>0</v>
      </c>
      <c r="G121" s="8" cm="1">
        <f t="array" ref="G121">+E121/_xlfn.XLOOKUP(D121,_xlfn.ANCHORARRAY($I$118),$J$118:$J$120,,0)</f>
        <v>0</v>
      </c>
      <c r="H121" s="18"/>
      <c r="N121" t="s">
        <v>57</v>
      </c>
      <c r="O121" s="19">
        <f>SUM(O118:O120)</f>
        <v>11.000000000000014</v>
      </c>
      <c r="P121" s="19">
        <f t="shared" ref="P121:Q121" si="70">SUM(P118:P120)</f>
        <v>7.8999999999999986</v>
      </c>
      <c r="Q121" s="19">
        <f t="shared" si="70"/>
        <v>4.0800000000000054</v>
      </c>
    </row>
    <row r="122" spans="1:36" x14ac:dyDescent="0.25">
      <c r="C122" s="20" t="s">
        <v>10</v>
      </c>
      <c r="D122" s="20" t="str">
        <f t="shared" ref="D122:D126" si="71">+D119</f>
        <v>Ind</v>
      </c>
      <c r="E122" s="8">
        <f t="shared" ref="E122:E126" si="72">+MAX(F64-H51-SUM(E82:M82),0)</f>
        <v>2</v>
      </c>
      <c r="F122" s="8" cm="1">
        <f t="array" ref="F122">+E122/_xlfn.XLOOKUP(D122,_xlfn.ANCHORARRAY($I$118),$K$118:$K$120,,0)</f>
        <v>0.15384615384615352</v>
      </c>
      <c r="G122" s="8" cm="1">
        <f t="array" ref="G122">+E122/_xlfn.XLOOKUP(D122,_xlfn.ANCHORARRAY($I$118),$J$118:$J$120,,0)</f>
        <v>0.25316455696202539</v>
      </c>
      <c r="I122" s="20" t="s">
        <v>39</v>
      </c>
    </row>
    <row r="123" spans="1:36" x14ac:dyDescent="0.25">
      <c r="C123" s="20" t="s">
        <v>10</v>
      </c>
      <c r="D123" s="20" t="str">
        <f t="shared" si="71"/>
        <v>Serv</v>
      </c>
      <c r="E123" s="8">
        <f t="shared" si="72"/>
        <v>0</v>
      </c>
      <c r="F123" s="8" cm="1">
        <f t="array" ref="F123">+E123/_xlfn.XLOOKUP(D123,_xlfn.ANCHORARRAY($I$118),$K$118:$K$120,,0)</f>
        <v>0</v>
      </c>
      <c r="G123" s="8" cm="1">
        <f t="array" ref="G123">+E123/_xlfn.XLOOKUP(D123,_xlfn.ANCHORARRAY($I$118),$J$118:$J$120,,0)</f>
        <v>0</v>
      </c>
      <c r="I123" s="69">
        <v>1</v>
      </c>
    </row>
    <row r="124" spans="1:36" x14ac:dyDescent="0.25">
      <c r="C124" s="20" t="s">
        <v>11</v>
      </c>
      <c r="D124" s="20" t="str">
        <f t="shared" si="71"/>
        <v>Agr</v>
      </c>
      <c r="E124" s="8">
        <f t="shared" si="72"/>
        <v>6.4000000000000057</v>
      </c>
      <c r="F124" s="8" cm="1">
        <f t="array" ref="F124">+E124/_xlfn.XLOOKUP(D124,_xlfn.ANCHORARRAY($I$118),$K$118:$K$120,,0)</f>
        <v>0.35164835164835134</v>
      </c>
      <c r="G124" s="8" cm="1">
        <f t="array" ref="G124">+E124/_xlfn.XLOOKUP(D124,_xlfn.ANCHORARRAY($I$118),$J$118:$J$120,,0)</f>
        <v>0.58181818181818157</v>
      </c>
    </row>
    <row r="125" spans="1:36" x14ac:dyDescent="0.25">
      <c r="C125" s="20" t="s">
        <v>11</v>
      </c>
      <c r="D125" s="20" t="str">
        <f t="shared" si="71"/>
        <v>Ind</v>
      </c>
      <c r="E125" s="8">
        <f t="shared" si="72"/>
        <v>1.1000000000000014</v>
      </c>
      <c r="F125" s="8" cm="1">
        <f t="array" ref="F125">+E125/_xlfn.XLOOKUP(D125,_xlfn.ANCHORARRAY($I$118),$K$118:$K$120,,0)</f>
        <v>8.4615384615384551E-2</v>
      </c>
      <c r="G125" s="8" cm="1">
        <f t="array" ref="G125">+E125/_xlfn.XLOOKUP(D125,_xlfn.ANCHORARRAY($I$118),$J$118:$J$120,,0)</f>
        <v>0.13924050632911414</v>
      </c>
    </row>
    <row r="126" spans="1:36" x14ac:dyDescent="0.25">
      <c r="C126" s="20" t="s">
        <v>11</v>
      </c>
      <c r="D126" s="20" t="str">
        <f t="shared" si="71"/>
        <v>Serv</v>
      </c>
      <c r="E126" s="12">
        <f t="shared" si="72"/>
        <v>3.6000000000000014</v>
      </c>
      <c r="F126" s="12" cm="1">
        <f t="array" ref="F126">+E126/_xlfn.XLOOKUP(D126,_xlfn.ANCHORARRAY($I$118),$K$118:$K$120,,0)</f>
        <v>0.34615384615384565</v>
      </c>
      <c r="G126" s="12" cm="1">
        <f t="array" ref="G126">+E126/_xlfn.XLOOKUP(D126,_xlfn.ANCHORARRAY($I$118),$J$118:$J$120,,0)</f>
        <v>0.88235294117646978</v>
      </c>
    </row>
    <row r="127" spans="1:36" x14ac:dyDescent="0.25">
      <c r="E127" s="19">
        <f>SUM(E118:E126)</f>
        <v>22.980000000000018</v>
      </c>
      <c r="G127" s="19">
        <f>SUM(G118:G126)</f>
        <v>3</v>
      </c>
    </row>
    <row r="128" spans="1:36" ht="15.75" thickBot="1" x14ac:dyDescent="0.3">
      <c r="A128" s="64"/>
      <c r="E128" s="19"/>
      <c r="G128" s="19"/>
    </row>
    <row r="129" spans="1:24" ht="15.75" thickBot="1" x14ac:dyDescent="0.3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  <c r="O129" s="109" t="s">
        <v>59</v>
      </c>
      <c r="P129" s="110" t="s">
        <v>1</v>
      </c>
      <c r="Q129" s="110" t="s">
        <v>1</v>
      </c>
      <c r="R129" s="110" t="s">
        <v>1</v>
      </c>
      <c r="S129" s="110" t="s">
        <v>10</v>
      </c>
      <c r="T129" s="110" t="s">
        <v>10</v>
      </c>
      <c r="U129" s="110" t="s">
        <v>10</v>
      </c>
      <c r="V129" s="110" t="s">
        <v>11</v>
      </c>
      <c r="W129" s="110" t="s">
        <v>11</v>
      </c>
      <c r="X129" s="111" t="s">
        <v>11</v>
      </c>
    </row>
    <row r="130" spans="1:24" ht="15.75" thickBot="1" x14ac:dyDescent="0.3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  <c r="O130" s="112" t="s">
        <v>55</v>
      </c>
      <c r="P130" s="49" t="s">
        <v>51</v>
      </c>
      <c r="Q130" s="49" t="s">
        <v>52</v>
      </c>
      <c r="R130" s="49" t="s">
        <v>53</v>
      </c>
      <c r="S130" s="49" t="s">
        <v>51</v>
      </c>
      <c r="T130" s="49" t="s">
        <v>52</v>
      </c>
      <c r="U130" s="49" t="s">
        <v>53</v>
      </c>
      <c r="V130" s="49" t="s">
        <v>51</v>
      </c>
      <c r="W130" s="49" t="s">
        <v>52</v>
      </c>
      <c r="X130" s="113" t="s">
        <v>53</v>
      </c>
    </row>
    <row r="131" spans="1:24" ht="15.75" thickBot="1" x14ac:dyDescent="0.3">
      <c r="D131" s="28" t="str" cm="1">
        <f t="array" ref="D131:D133">+_xlfn.UNIQUE(D118:D126)</f>
        <v>Agr</v>
      </c>
      <c r="E131" s="1">
        <f t="shared" ref="E131:M133" si="73">+SUMIF($D$106:$D$114,$D131,E$106:E$114)</f>
        <v>2.2000000000000006</v>
      </c>
      <c r="F131" s="2">
        <f t="shared" si="73"/>
        <v>2.0000000000000036</v>
      </c>
      <c r="G131" s="2">
        <f t="shared" si="73"/>
        <v>2.2000000000000073</v>
      </c>
      <c r="H131" s="2">
        <f t="shared" si="73"/>
        <v>1.7000000000000024</v>
      </c>
      <c r="I131" s="2">
        <f t="shared" si="73"/>
        <v>2</v>
      </c>
      <c r="J131" s="2">
        <f t="shared" si="73"/>
        <v>1.7000000000000011</v>
      </c>
      <c r="K131" s="2">
        <f t="shared" si="73"/>
        <v>2.0000000000000044</v>
      </c>
      <c r="L131" s="2">
        <f t="shared" si="73"/>
        <v>2.5000000000000018</v>
      </c>
      <c r="M131" s="3">
        <f t="shared" si="73"/>
        <v>1.9000000000000092</v>
      </c>
      <c r="O131" s="104">
        <f>+$L118*$I$123</f>
        <v>0.60439560439560414</v>
      </c>
      <c r="P131" s="105">
        <f>+$O131*E131</f>
        <v>1.3296703296703294</v>
      </c>
      <c r="Q131" s="105">
        <f t="shared" ref="Q131:X131" si="74">+$O131*F131</f>
        <v>1.2087912087912105</v>
      </c>
      <c r="R131" s="105">
        <f t="shared" si="74"/>
        <v>1.3296703296703336</v>
      </c>
      <c r="S131" s="105">
        <f t="shared" si="74"/>
        <v>1.0274725274725285</v>
      </c>
      <c r="T131" s="105">
        <f t="shared" si="74"/>
        <v>1.2087912087912083</v>
      </c>
      <c r="U131" s="105">
        <f t="shared" si="74"/>
        <v>1.0274725274725276</v>
      </c>
      <c r="V131" s="105">
        <f t="shared" si="74"/>
        <v>1.2087912087912109</v>
      </c>
      <c r="W131" s="105">
        <f t="shared" si="74"/>
        <v>1.5109890109890114</v>
      </c>
      <c r="X131" s="106">
        <f t="shared" si="74"/>
        <v>1.1483516483516534</v>
      </c>
    </row>
    <row r="132" spans="1:24" x14ac:dyDescent="0.25">
      <c r="D132" s="25" t="str">
        <v>Ind</v>
      </c>
      <c r="E132" s="5">
        <f t="shared" si="73"/>
        <v>1.3000000000000012</v>
      </c>
      <c r="F132" s="6">
        <f t="shared" si="73"/>
        <v>1.3000000000000016</v>
      </c>
      <c r="G132" s="6">
        <f t="shared" si="73"/>
        <v>1.2000000000000051</v>
      </c>
      <c r="H132" s="6">
        <f t="shared" si="73"/>
        <v>1.9000000000000012</v>
      </c>
      <c r="I132" s="6">
        <f t="shared" si="73"/>
        <v>0.90000000000000213</v>
      </c>
      <c r="J132" s="6">
        <f t="shared" si="73"/>
        <v>1.4000000000000004</v>
      </c>
      <c r="K132" s="6">
        <f t="shared" si="73"/>
        <v>1.8000000000000049</v>
      </c>
      <c r="L132" s="6">
        <f t="shared" si="73"/>
        <v>1.6000000000000005</v>
      </c>
      <c r="M132" s="7">
        <f t="shared" si="73"/>
        <v>1.6000000000000085</v>
      </c>
      <c r="P132" s="108" cm="1">
        <f t="array" ref="P132:X134">+MMULT(_xlfn.ANCHORARRAY(S118),$P$131:$X$131)</f>
        <v>0.55604395604395629</v>
      </c>
      <c r="Q132" s="108">
        <v>0.50549450549450647</v>
      </c>
      <c r="R132" s="108">
        <v>0.55604395604395807</v>
      </c>
      <c r="S132" s="108">
        <v>0.42967032967033036</v>
      </c>
      <c r="T132" s="108">
        <v>0.50549450549450559</v>
      </c>
      <c r="U132" s="108">
        <v>0.42967032967032998</v>
      </c>
      <c r="V132" s="108">
        <v>0.5054945054945067</v>
      </c>
      <c r="W132" s="108">
        <v>0.6318681318681324</v>
      </c>
      <c r="X132" s="108">
        <v>0.48021978021978262</v>
      </c>
    </row>
    <row r="133" spans="1:24" x14ac:dyDescent="0.25">
      <c r="D133" s="25" t="str">
        <v>Serv</v>
      </c>
      <c r="E133" s="9">
        <f t="shared" si="73"/>
        <v>1.6000000000000005</v>
      </c>
      <c r="F133" s="10">
        <f t="shared" si="73"/>
        <v>0.70000000000000107</v>
      </c>
      <c r="G133" s="10">
        <f t="shared" si="73"/>
        <v>0.80000000000000249</v>
      </c>
      <c r="H133" s="10">
        <f t="shared" si="73"/>
        <v>1.800000000000002</v>
      </c>
      <c r="I133" s="10">
        <f t="shared" si="73"/>
        <v>1.3000000000000007</v>
      </c>
      <c r="J133" s="10">
        <f t="shared" si="73"/>
        <v>0.60000000000000053</v>
      </c>
      <c r="K133" s="10">
        <f t="shared" si="73"/>
        <v>1.100000000000003</v>
      </c>
      <c r="L133" s="10">
        <f t="shared" si="73"/>
        <v>1.0000000000000009</v>
      </c>
      <c r="M133" s="11">
        <f t="shared" si="73"/>
        <v>1.500000000000008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</row>
    <row r="134" spans="1:24" ht="15.75" thickBot="1" x14ac:dyDescent="0.3">
      <c r="P134" s="107">
        <v>0.7736263736263731</v>
      </c>
      <c r="Q134" s="107">
        <v>0.70329670329670402</v>
      </c>
      <c r="R134" s="107">
        <v>0.77362637362637554</v>
      </c>
      <c r="S134" s="107">
        <v>0.59780219780219812</v>
      </c>
      <c r="T134" s="107">
        <v>0.70329670329670269</v>
      </c>
      <c r="U134" s="107">
        <v>0.59780219780219757</v>
      </c>
      <c r="V134" s="107">
        <v>0.70329670329670424</v>
      </c>
      <c r="W134" s="107">
        <v>0.879120879120879</v>
      </c>
      <c r="X134" s="107">
        <v>0.66813186813187075</v>
      </c>
    </row>
    <row r="135" spans="1:24" ht="15.75" thickBot="1" x14ac:dyDescent="0.3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  <c r="O135" s="104">
        <f>+$L119*$I$123</f>
        <v>0.60769230769230631</v>
      </c>
      <c r="P135" s="105">
        <f t="shared" ref="P135:X135" si="75">+$O135*E132</f>
        <v>0.78999999999999893</v>
      </c>
      <c r="Q135" s="105">
        <f t="shared" si="75"/>
        <v>0.78999999999999915</v>
      </c>
      <c r="R135" s="105">
        <f t="shared" si="75"/>
        <v>0.72923076923077068</v>
      </c>
      <c r="S135" s="105">
        <f t="shared" si="75"/>
        <v>1.1546153846153828</v>
      </c>
      <c r="T135" s="105">
        <f t="shared" si="75"/>
        <v>0.54692307692307696</v>
      </c>
      <c r="U135" s="105">
        <f t="shared" si="75"/>
        <v>0.85076923076922906</v>
      </c>
      <c r="V135" s="105">
        <f t="shared" si="75"/>
        <v>1.0938461538461544</v>
      </c>
      <c r="W135" s="105">
        <f t="shared" si="75"/>
        <v>0.97230769230769043</v>
      </c>
      <c r="X135" s="106">
        <f t="shared" si="75"/>
        <v>0.97230769230769531</v>
      </c>
    </row>
    <row r="136" spans="1:24" ht="15.75" thickBot="1" x14ac:dyDescent="0.3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  <c r="P136" s="103" cm="1">
        <f t="array" ref="P136:X138">+MMULT(_xlfn.ANCHORARRAY(T118),$P$135:$X$135)</f>
        <v>0.47999999999999921</v>
      </c>
      <c r="Q136" s="103">
        <v>0.47999999999999932</v>
      </c>
      <c r="R136" s="103">
        <v>0.44307692307692381</v>
      </c>
      <c r="S136" s="103">
        <v>0.70153846153846022</v>
      </c>
      <c r="T136" s="103">
        <v>0.33230769230769219</v>
      </c>
      <c r="U136" s="103">
        <v>0.51692307692307571</v>
      </c>
      <c r="V136" s="103">
        <v>0.66461538461538472</v>
      </c>
      <c r="W136" s="103">
        <v>0.59076923076922938</v>
      </c>
      <c r="X136" s="103">
        <v>0.59076923076923238</v>
      </c>
    </row>
    <row r="137" spans="1:24" x14ac:dyDescent="0.25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0.55604395604395629</v>
      </c>
      <c r="F137" s="2" cm="1">
        <f t="array" ref="F137">+$I$123*$G118*_xlfn.XLOOKUP($D137,_xlfn.ANCHORARRAY($I$118),$L$118:$L$120,,0)*_xlfn.XLOOKUP($D137,$D$131:$D$133,F$131:F$133,,0)</f>
        <v>0.50549450549450647</v>
      </c>
      <c r="G137" s="2" cm="1">
        <f t="array" ref="G137">+$I$123*$G118*_xlfn.XLOOKUP($D137,_xlfn.ANCHORARRAY($I$118),$L$118:$L$120,,0)*_xlfn.XLOOKUP($D137,$D$131:$D$133,G$131:G$133,,0)</f>
        <v>0.55604395604395795</v>
      </c>
      <c r="H137" s="2" cm="1">
        <f t="array" ref="H137">+$I$123*$G118*_xlfn.XLOOKUP($D137,_xlfn.ANCHORARRAY($I$118),$L$118:$L$120,,0)*_xlfn.XLOOKUP($D137,$D$131:$D$133,H$131:H$133,,0)</f>
        <v>0.42967032967033036</v>
      </c>
      <c r="I137" s="2" cm="1">
        <f t="array" ref="I137">+$I$123*$G118*_xlfn.XLOOKUP($D137,_xlfn.ANCHORARRAY($I$118),$L$118:$L$120,,0)*_xlfn.XLOOKUP($D137,$D$131:$D$133,I$131:I$133,,0)</f>
        <v>0.50549450549450559</v>
      </c>
      <c r="J137" s="2" cm="1">
        <f t="array" ref="J137">+$I$123*$G118*_xlfn.XLOOKUP($D137,_xlfn.ANCHORARRAY($I$118),$L$118:$L$120,,0)*_xlfn.XLOOKUP($D137,$D$131:$D$133,J$131:J$133,,0)</f>
        <v>0.42967032967033003</v>
      </c>
      <c r="K137" s="2" cm="1">
        <f t="array" ref="K137">+$I$123*$G118*_xlfn.XLOOKUP($D137,_xlfn.ANCHORARRAY($I$118),$L$118:$L$120,,0)*_xlfn.XLOOKUP($D137,$D$131:$D$133,K$131:K$133,,0)</f>
        <v>0.5054945054945067</v>
      </c>
      <c r="L137" s="2" cm="1">
        <f t="array" ref="L137">+$I$123*$G118*_xlfn.XLOOKUP($D137,_xlfn.ANCHORARRAY($I$118),$L$118:$L$120,,0)*_xlfn.XLOOKUP($D137,$D$131:$D$133,L$131:L$133,,0)</f>
        <v>0.6318681318681324</v>
      </c>
      <c r="M137" s="3" cm="1">
        <f t="array" ref="M137">+$I$123*$G118*_xlfn.XLOOKUP($D137,_xlfn.ANCHORARRAY($I$118),$L$118:$L$120,,0)*_xlfn.XLOOKUP($D137,$D$131:$D$133,M$131:M$133,,0)</f>
        <v>0.48021978021978262</v>
      </c>
      <c r="P137" s="101">
        <v>0.19999999999999979</v>
      </c>
      <c r="Q137" s="101">
        <v>0.19999999999999984</v>
      </c>
      <c r="R137" s="101">
        <v>0.18461538461538504</v>
      </c>
      <c r="S137" s="101">
        <v>0.29230769230769194</v>
      </c>
      <c r="T137" s="101">
        <v>0.1384615384615385</v>
      </c>
      <c r="U137" s="101">
        <v>0.21538461538461501</v>
      </c>
      <c r="V137" s="101">
        <v>0.2769230769230771</v>
      </c>
      <c r="W137" s="101">
        <v>0.24615384615384575</v>
      </c>
      <c r="X137" s="101">
        <v>0.24615384615384697</v>
      </c>
    </row>
    <row r="138" spans="1:24" ht="15.75" thickBot="1" x14ac:dyDescent="0.3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0.47999999999999915</v>
      </c>
      <c r="F138" s="6" cm="1">
        <f t="array" ref="F138">+$I$123*$G119*_xlfn.XLOOKUP($D138,_xlfn.ANCHORARRAY($I$118),$L$118:$L$120,,0)*_xlfn.XLOOKUP($D138,$D$131:$D$133,F$131:F$133,,0)</f>
        <v>0.47999999999999932</v>
      </c>
      <c r="G138" s="6" cm="1">
        <f t="array" ref="G138">+$I$123*$G119*_xlfn.XLOOKUP($D138,_xlfn.ANCHORARRAY($I$118),$L$118:$L$120,,0)*_xlfn.XLOOKUP($D138,$D$131:$D$133,G$131:G$133,,0)</f>
        <v>0.44307692307692376</v>
      </c>
      <c r="H138" s="6" cm="1">
        <f t="array" ref="H138">+$I$123*$G119*_xlfn.XLOOKUP($D138,_xlfn.ANCHORARRAY($I$118),$L$118:$L$120,,0)*_xlfn.XLOOKUP($D138,$D$131:$D$133,H$131:H$133,,0)</f>
        <v>0.70153846153846011</v>
      </c>
      <c r="I138" s="6" cm="1">
        <f t="array" ref="I138">+$I$123*$G119*_xlfn.XLOOKUP($D138,_xlfn.ANCHORARRAY($I$118),$L$118:$L$120,,0)*_xlfn.XLOOKUP($D138,$D$131:$D$133,I$131:I$133,,0)</f>
        <v>0.33230769230769219</v>
      </c>
      <c r="J138" s="6" cm="1">
        <f t="array" ref="J138">+$I$123*$G119*_xlfn.XLOOKUP($D138,_xlfn.ANCHORARRAY($I$118),$L$118:$L$120,,0)*_xlfn.XLOOKUP($D138,$D$131:$D$133,J$131:J$133,,0)</f>
        <v>0.51692307692307571</v>
      </c>
      <c r="K138" s="6" cm="1">
        <f t="array" ref="K138">+$I$123*$G119*_xlfn.XLOOKUP($D138,_xlfn.ANCHORARRAY($I$118),$L$118:$L$120,,0)*_xlfn.XLOOKUP($D138,$D$131:$D$133,K$131:K$133,,0)</f>
        <v>0.66461538461538472</v>
      </c>
      <c r="L138" s="6" cm="1">
        <f t="array" ref="L138">+$I$123*$G119*_xlfn.XLOOKUP($D138,_xlfn.ANCHORARRAY($I$118),$L$118:$L$120,,0)*_xlfn.XLOOKUP($D138,$D$131:$D$133,L$131:L$133,,0)</f>
        <v>0.59076923076922938</v>
      </c>
      <c r="M138" s="7" cm="1">
        <f t="array" ref="M138">+$I$123*$G119*_xlfn.XLOOKUP($D138,_xlfn.ANCHORARRAY($I$118),$L$118:$L$120,,0)*_xlfn.XLOOKUP($D138,$D$131:$D$133,M$131:M$133,,0)</f>
        <v>0.59076923076923238</v>
      </c>
      <c r="N138" s="18"/>
      <c r="P138" s="101">
        <v>0.11000000000000001</v>
      </c>
      <c r="Q138" s="101">
        <v>0.11000000000000006</v>
      </c>
      <c r="R138" s="101">
        <v>0.1015384615384619</v>
      </c>
      <c r="S138" s="101">
        <v>0.16076923076923078</v>
      </c>
      <c r="T138" s="101">
        <v>7.615384615384628E-2</v>
      </c>
      <c r="U138" s="101">
        <v>0.11846153846153841</v>
      </c>
      <c r="V138" s="101">
        <v>0.15230769230769262</v>
      </c>
      <c r="W138" s="101">
        <v>0.13538461538461533</v>
      </c>
      <c r="X138" s="101">
        <v>0.13538461538461602</v>
      </c>
    </row>
    <row r="139" spans="1:24" ht="15.75" thickBot="1" x14ac:dyDescent="0.3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7.3846153846154339E-2</v>
      </c>
      <c r="F139" s="6" cm="1">
        <f t="array" ref="F139">+$I$123*$G120*_xlfn.XLOOKUP($D139,_xlfn.ANCHORARRAY($I$118),$L$118:$L$120,,0)*_xlfn.XLOOKUP($D139,$D$131:$D$133,F$131:F$133,,0)</f>
        <v>3.2307692307692565E-2</v>
      </c>
      <c r="G139" s="6" cm="1">
        <f t="array" ref="G139">+$I$123*$G120*_xlfn.XLOOKUP($D139,_xlfn.ANCHORARRAY($I$118),$L$118:$L$120,,0)*_xlfn.XLOOKUP($D139,$D$131:$D$133,G$131:G$133,,0)</f>
        <v>3.6923076923077273E-2</v>
      </c>
      <c r="H139" s="6" cm="1">
        <f t="array" ref="H139">+$I$123*$G120*_xlfn.XLOOKUP($D139,_xlfn.ANCHORARRAY($I$118),$L$118:$L$120,,0)*_xlfn.XLOOKUP($D139,$D$131:$D$133,H$131:H$133,,0)</f>
        <v>8.30769230769237E-2</v>
      </c>
      <c r="I139" s="6" cm="1">
        <f t="array" ref="I139">+$I$123*$G120*_xlfn.XLOOKUP($D139,_xlfn.ANCHORARRAY($I$118),$L$118:$L$120,,0)*_xlfn.XLOOKUP($D139,$D$131:$D$133,I$131:I$133,,0)</f>
        <v>6.0000000000000414E-2</v>
      </c>
      <c r="J139" s="6" cm="1">
        <f t="array" ref="J139">+$I$123*$G120*_xlfn.XLOOKUP($D139,_xlfn.ANCHORARRAY($I$118),$L$118:$L$120,,0)*_xlfn.XLOOKUP($D139,$D$131:$D$133,J$131:J$133,,0)</f>
        <v>2.7692307692307894E-2</v>
      </c>
      <c r="K139" s="6" cm="1">
        <f t="array" ref="K139">+$I$123*$G120*_xlfn.XLOOKUP($D139,_xlfn.ANCHORARRAY($I$118),$L$118:$L$120,,0)*_xlfn.XLOOKUP($D139,$D$131:$D$133,K$131:K$133,,0)</f>
        <v>5.0769230769231233E-2</v>
      </c>
      <c r="L139" s="6" cm="1">
        <f t="array" ref="L139">+$I$123*$G120*_xlfn.XLOOKUP($D139,_xlfn.ANCHORARRAY($I$118),$L$118:$L$120,,0)*_xlfn.XLOOKUP($D139,$D$131:$D$133,L$131:L$133,,0)</f>
        <v>4.6153846153846489E-2</v>
      </c>
      <c r="M139" s="7" cm="1">
        <f t="array" ref="M139">+$I$123*$G120*_xlfn.XLOOKUP($D139,_xlfn.ANCHORARRAY($I$118),$L$118:$L$120,,0)*_xlfn.XLOOKUP($D139,$D$131:$D$133,M$131:M$133,,0)</f>
        <v>6.923076923077004E-2</v>
      </c>
      <c r="N139" s="18"/>
      <c r="O139" s="104">
        <f>+$L120*$I$123</f>
        <v>0.39230769230769208</v>
      </c>
      <c r="P139" s="105">
        <f t="shared" ref="P139:X139" si="76">+$O139*E133</f>
        <v>0.62769230769230755</v>
      </c>
      <c r="Q139" s="105">
        <f t="shared" si="76"/>
        <v>0.27461538461538487</v>
      </c>
      <c r="R139" s="105">
        <f t="shared" si="76"/>
        <v>0.31384615384615466</v>
      </c>
      <c r="S139" s="105">
        <f t="shared" si="76"/>
        <v>0.70615384615384658</v>
      </c>
      <c r="T139" s="105">
        <f t="shared" si="76"/>
        <v>0.51</v>
      </c>
      <c r="U139" s="105">
        <f t="shared" si="76"/>
        <v>0.23538461538461547</v>
      </c>
      <c r="V139" s="105">
        <f t="shared" si="76"/>
        <v>0.43153846153846248</v>
      </c>
      <c r="W139" s="105">
        <f t="shared" si="76"/>
        <v>0.39230769230769241</v>
      </c>
      <c r="X139" s="106">
        <f t="shared" si="76"/>
        <v>0.58846153846154126</v>
      </c>
    </row>
    <row r="140" spans="1:24" x14ac:dyDescent="0.25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</v>
      </c>
      <c r="F140" s="6" cm="1">
        <f t="array" ref="F140">+$I$123*$G121*_xlfn.XLOOKUP($D140,_xlfn.ANCHORARRAY($I$118),$L$118:$L$120,,0)*_xlfn.XLOOKUP($D140,$D$131:$D$133,F$131:F$133,,0)</f>
        <v>0</v>
      </c>
      <c r="G140" s="6" cm="1">
        <f t="array" ref="G140">+$I$123*$G121*_xlfn.XLOOKUP($D140,_xlfn.ANCHORARRAY($I$118),$L$118:$L$120,,0)*_xlfn.XLOOKUP($D140,$D$131:$D$133,G$131:G$133,,0)</f>
        <v>0</v>
      </c>
      <c r="H140" s="6" cm="1">
        <f t="array" ref="H140">+$I$123*$G121*_xlfn.XLOOKUP($D140,_xlfn.ANCHORARRAY($I$118),$L$118:$L$120,,0)*_xlfn.XLOOKUP($D140,$D$131:$D$133,H$131:H$133,,0)</f>
        <v>0</v>
      </c>
      <c r="I140" s="6" cm="1">
        <f t="array" ref="I140">+$I$123*$G121*_xlfn.XLOOKUP($D140,_xlfn.ANCHORARRAY($I$118),$L$118:$L$120,,0)*_xlfn.XLOOKUP($D140,$D$131:$D$133,I$131:I$133,,0)</f>
        <v>0</v>
      </c>
      <c r="J140" s="6" cm="1">
        <f t="array" ref="J140">+$I$123*$G121*_xlfn.XLOOKUP($D140,_xlfn.ANCHORARRAY($I$118),$L$118:$L$120,,0)*_xlfn.XLOOKUP($D140,$D$131:$D$133,J$131:J$133,,0)</f>
        <v>0</v>
      </c>
      <c r="K140" s="6" cm="1">
        <f t="array" ref="K140">+$I$123*$G121*_xlfn.XLOOKUP($D140,_xlfn.ANCHORARRAY($I$118),$L$118:$L$120,,0)*_xlfn.XLOOKUP($D140,$D$131:$D$133,K$131:K$133,,0)</f>
        <v>0</v>
      </c>
      <c r="L140" s="6" cm="1">
        <f t="array" ref="L140">+$I$123*$G121*_xlfn.XLOOKUP($D140,_xlfn.ANCHORARRAY($I$118),$L$118:$L$120,,0)*_xlfn.XLOOKUP($D140,$D$131:$D$133,L$131:L$133,,0)</f>
        <v>0</v>
      </c>
      <c r="M140" s="7" cm="1">
        <f t="array" ref="M140">+$I$123*$G121*_xlfn.XLOOKUP($D140,_xlfn.ANCHORARRAY($I$118),$L$118:$L$120,,0)*_xlfn.XLOOKUP($D140,$D$131:$D$133,M$131:M$133,,0)</f>
        <v>0</v>
      </c>
      <c r="N140" s="18"/>
      <c r="P140" s="103" cm="1">
        <f t="array" ref="P140:X142">+MMULT(_xlfn.ANCHORARRAY(U118),$P$139:$X$139)</f>
        <v>7.3846153846154339E-2</v>
      </c>
      <c r="Q140" s="103">
        <v>3.2307692307692565E-2</v>
      </c>
      <c r="R140" s="103">
        <v>3.6923076923077273E-2</v>
      </c>
      <c r="S140" s="103">
        <v>8.30769230769237E-2</v>
      </c>
      <c r="T140" s="103">
        <v>6.0000000000000421E-2</v>
      </c>
      <c r="U140" s="103">
        <v>2.7692307692307894E-2</v>
      </c>
      <c r="V140" s="103">
        <v>5.0769230769231233E-2</v>
      </c>
      <c r="W140" s="103">
        <v>4.6153846153846489E-2</v>
      </c>
      <c r="X140" s="103">
        <v>6.923076923077004E-2</v>
      </c>
    </row>
    <row r="141" spans="1:24" x14ac:dyDescent="0.25">
      <c r="C141" s="20" t="s">
        <v>10</v>
      </c>
      <c r="D141" s="25" t="str">
        <f t="shared" ref="D141:D145" si="77">+D138</f>
        <v>Ind</v>
      </c>
      <c r="E141" s="5" cm="1">
        <f t="array" ref="E141">+$I$123*$G122*_xlfn.XLOOKUP($D141,_xlfn.ANCHORARRAY($I$118),$L$118:$L$120,,0)*_xlfn.XLOOKUP($D141,$D$131:$D$133,E$131:E$133,,0)</f>
        <v>0.19999999999999979</v>
      </c>
      <c r="F141" s="6" cm="1">
        <f t="array" ref="F141">+$I$123*$G122*_xlfn.XLOOKUP($D141,_xlfn.ANCHORARRAY($I$118),$L$118:$L$120,,0)*_xlfn.XLOOKUP($D141,$D$131:$D$133,F$131:F$133,,0)</f>
        <v>0.19999999999999987</v>
      </c>
      <c r="G141" s="6" cm="1">
        <f t="array" ref="G141">+$I$123*$G122*_xlfn.XLOOKUP($D141,_xlfn.ANCHORARRAY($I$118),$L$118:$L$120,,0)*_xlfn.XLOOKUP($D141,$D$131:$D$133,G$131:G$133,,0)</f>
        <v>0.18461538461538504</v>
      </c>
      <c r="H141" s="6" cm="1">
        <f t="array" ref="H141">+$I$123*$G122*_xlfn.XLOOKUP($D141,_xlfn.ANCHORARRAY($I$118),$L$118:$L$120,,0)*_xlfn.XLOOKUP($D141,$D$131:$D$133,H$131:H$133,,0)</f>
        <v>0.29230769230769194</v>
      </c>
      <c r="I141" s="6" cm="1">
        <f t="array" ref="I141">+$I$123*$G122*_xlfn.XLOOKUP($D141,_xlfn.ANCHORARRAY($I$118),$L$118:$L$120,,0)*_xlfn.XLOOKUP($D141,$D$131:$D$133,I$131:I$133,,0)</f>
        <v>0.13846153846153852</v>
      </c>
      <c r="J141" s="6" cm="1">
        <f t="array" ref="J141">+$I$123*$G122*_xlfn.XLOOKUP($D141,_xlfn.ANCHORARRAY($I$118),$L$118:$L$120,,0)*_xlfn.XLOOKUP($D141,$D$131:$D$133,J$131:J$133,,0)</f>
        <v>0.21538461538461504</v>
      </c>
      <c r="K141" s="6" cm="1">
        <f t="array" ref="K141">+$I$123*$G122*_xlfn.XLOOKUP($D141,_xlfn.ANCHORARRAY($I$118),$L$118:$L$120,,0)*_xlfn.XLOOKUP($D141,$D$131:$D$133,K$131:K$133,,0)</f>
        <v>0.27692307692307716</v>
      </c>
      <c r="L141" s="6" cm="1">
        <f t="array" ref="L141">+$I$123*$G122*_xlfn.XLOOKUP($D141,_xlfn.ANCHORARRAY($I$118),$L$118:$L$120,,0)*_xlfn.XLOOKUP($D141,$D$131:$D$133,L$131:L$133,,0)</f>
        <v>0.24615384615384575</v>
      </c>
      <c r="M141" s="7" cm="1">
        <f t="array" ref="M141">+$I$123*$G122*_xlfn.XLOOKUP($D141,_xlfn.ANCHORARRAY($I$118),$L$118:$L$120,,0)*_xlfn.XLOOKUP($D141,$D$131:$D$133,M$131:M$133,,0)</f>
        <v>0.246153846153847</v>
      </c>
      <c r="N141" s="18"/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</row>
    <row r="142" spans="1:24" x14ac:dyDescent="0.25">
      <c r="C142" s="20" t="s">
        <v>10</v>
      </c>
      <c r="D142" s="25" t="str">
        <f t="shared" si="77"/>
        <v>Serv</v>
      </c>
      <c r="E142" s="5" cm="1">
        <f t="array" ref="E142">+$I$123*$G123*_xlfn.XLOOKUP($D142,_xlfn.ANCHORARRAY($I$118),$L$118:$L$120,,0)*_xlfn.XLOOKUP($D142,$D$131:$D$133,E$131:E$133,,0)</f>
        <v>0</v>
      </c>
      <c r="F142" s="6" cm="1">
        <f t="array" ref="F142">+$I$123*$G123*_xlfn.XLOOKUP($D142,_xlfn.ANCHORARRAY($I$118),$L$118:$L$120,,0)*_xlfn.XLOOKUP($D142,$D$131:$D$133,F$131:F$133,,0)</f>
        <v>0</v>
      </c>
      <c r="G142" s="6" cm="1">
        <f t="array" ref="G142">+$I$123*$G123*_xlfn.XLOOKUP($D142,_xlfn.ANCHORARRAY($I$118),$L$118:$L$120,,0)*_xlfn.XLOOKUP($D142,$D$131:$D$133,G$131:G$133,,0)</f>
        <v>0</v>
      </c>
      <c r="H142" s="6" cm="1">
        <f t="array" ref="H142">+$I$123*$G123*_xlfn.XLOOKUP($D142,_xlfn.ANCHORARRAY($I$118),$L$118:$L$120,,0)*_xlfn.XLOOKUP($D142,$D$131:$D$133,H$131:H$133,,0)</f>
        <v>0</v>
      </c>
      <c r="I142" s="6" cm="1">
        <f t="array" ref="I142">+$I$123*$G123*_xlfn.XLOOKUP($D142,_xlfn.ANCHORARRAY($I$118),$L$118:$L$120,,0)*_xlfn.XLOOKUP($D142,$D$131:$D$133,I$131:I$133,,0)</f>
        <v>0</v>
      </c>
      <c r="J142" s="6" cm="1">
        <f t="array" ref="J142">+$I$123*$G123*_xlfn.XLOOKUP($D142,_xlfn.ANCHORARRAY($I$118),$L$118:$L$120,,0)*_xlfn.XLOOKUP($D142,$D$131:$D$133,J$131:J$133,,0)</f>
        <v>0</v>
      </c>
      <c r="K142" s="6" cm="1">
        <f t="array" ref="K142">+$I$123*$G123*_xlfn.XLOOKUP($D142,_xlfn.ANCHORARRAY($I$118),$L$118:$L$120,,0)*_xlfn.XLOOKUP($D142,$D$131:$D$133,K$131:K$133,,0)</f>
        <v>0</v>
      </c>
      <c r="L142" s="6" cm="1">
        <f t="array" ref="L142">+$I$123*$G123*_xlfn.XLOOKUP($D142,_xlfn.ANCHORARRAY($I$118),$L$118:$L$120,,0)*_xlfn.XLOOKUP($D142,$D$131:$D$133,L$131:L$133,,0)</f>
        <v>0</v>
      </c>
      <c r="M142" s="7" cm="1">
        <f t="array" ref="M142">+$I$123*$G123*_xlfn.XLOOKUP($D142,_xlfn.ANCHORARRAY($I$118),$L$118:$L$120,,0)*_xlfn.XLOOKUP($D142,$D$131:$D$133,M$131:M$133,,0)</f>
        <v>0</v>
      </c>
      <c r="N142" s="18"/>
      <c r="P142" s="101">
        <v>0.55384615384615321</v>
      </c>
      <c r="Q142" s="101">
        <v>0.24230769230769231</v>
      </c>
      <c r="R142" s="101">
        <v>0.27692307692307738</v>
      </c>
      <c r="S142" s="101">
        <v>0.62307692307692286</v>
      </c>
      <c r="T142" s="101">
        <v>0.44999999999999962</v>
      </c>
      <c r="U142" s="101">
        <v>0.20769230769230757</v>
      </c>
      <c r="V142" s="101">
        <v>0.38076923076923125</v>
      </c>
      <c r="W142" s="101">
        <v>0.34615384615384592</v>
      </c>
      <c r="X142" s="101">
        <v>0.51923076923077127</v>
      </c>
    </row>
    <row r="143" spans="1:24" x14ac:dyDescent="0.25">
      <c r="C143" s="20" t="s">
        <v>11</v>
      </c>
      <c r="D143" s="25" t="str">
        <f t="shared" si="77"/>
        <v>Agr</v>
      </c>
      <c r="E143" s="5" cm="1">
        <f t="array" ref="E143">+$I$123*$G124*_xlfn.XLOOKUP($D143,_xlfn.ANCHORARRAY($I$118),$L$118:$L$120,,0)*_xlfn.XLOOKUP($D143,$D$131:$D$133,E$131:E$133,,0)</f>
        <v>0.77362637362637321</v>
      </c>
      <c r="F143" s="6" cm="1">
        <f t="array" ref="F143">+$I$123*$G124*_xlfn.XLOOKUP($D143,_xlfn.ANCHORARRAY($I$118),$L$118:$L$120,,0)*_xlfn.XLOOKUP($D143,$D$131:$D$133,F$131:F$133,,0)</f>
        <v>0.70329670329670391</v>
      </c>
      <c r="G143" s="6" cm="1">
        <f t="array" ref="G143">+$I$123*$G124*_xlfn.XLOOKUP($D143,_xlfn.ANCHORARRAY($I$118),$L$118:$L$120,,0)*_xlfn.XLOOKUP($D143,$D$131:$D$133,G$131:G$133,,0)</f>
        <v>0.77362637362637554</v>
      </c>
      <c r="H143" s="6" cm="1">
        <f t="array" ref="H143">+$I$123*$G124*_xlfn.XLOOKUP($D143,_xlfn.ANCHORARRAY($I$118),$L$118:$L$120,,0)*_xlfn.XLOOKUP($D143,$D$131:$D$133,H$131:H$133,,0)</f>
        <v>0.59780219780219812</v>
      </c>
      <c r="I143" s="6" cm="1">
        <f t="array" ref="I143">+$I$123*$G124*_xlfn.XLOOKUP($D143,_xlfn.ANCHORARRAY($I$118),$L$118:$L$120,,0)*_xlfn.XLOOKUP($D143,$D$131:$D$133,I$131:I$133,,0)</f>
        <v>0.70329670329670269</v>
      </c>
      <c r="J143" s="6" cm="1">
        <f t="array" ref="J143">+$I$123*$G124*_xlfn.XLOOKUP($D143,_xlfn.ANCHORARRAY($I$118),$L$118:$L$120,,0)*_xlfn.XLOOKUP($D143,$D$131:$D$133,J$131:J$133,,0)</f>
        <v>0.59780219780219768</v>
      </c>
      <c r="K143" s="6" cm="1">
        <f t="array" ref="K143">+$I$123*$G124*_xlfn.XLOOKUP($D143,_xlfn.ANCHORARRAY($I$118),$L$118:$L$120,,0)*_xlfn.XLOOKUP($D143,$D$131:$D$133,K$131:K$133,,0)</f>
        <v>0.70329670329670424</v>
      </c>
      <c r="L143" s="6" cm="1">
        <f t="array" ref="L143">+$I$123*$G124*_xlfn.XLOOKUP($D143,_xlfn.ANCHORARRAY($I$118),$L$118:$L$120,,0)*_xlfn.XLOOKUP($D143,$D$131:$D$133,L$131:L$133,,0)</f>
        <v>0.879120879120879</v>
      </c>
      <c r="M143" s="7" cm="1">
        <f t="array" ref="M143">+$I$123*$G124*_xlfn.XLOOKUP($D143,_xlfn.ANCHORARRAY($I$118),$L$118:$L$120,,0)*_xlfn.XLOOKUP($D143,$D$131:$D$133,M$131:M$133,,0)</f>
        <v>0.66813186813187075</v>
      </c>
      <c r="N143" s="18"/>
    </row>
    <row r="144" spans="1:24" x14ac:dyDescent="0.25">
      <c r="C144" s="20" t="s">
        <v>11</v>
      </c>
      <c r="D144" s="25" t="str">
        <f t="shared" si="77"/>
        <v>Ind</v>
      </c>
      <c r="E144" s="5" cm="1">
        <f t="array" ref="E144">+$I$123*$G125*_xlfn.XLOOKUP($D144,_xlfn.ANCHORARRAY($I$118),$L$118:$L$120,,0)*_xlfn.XLOOKUP($D144,$D$131:$D$133,E$131:E$133,,0)</f>
        <v>0.11000000000000001</v>
      </c>
      <c r="F144" s="6" cm="1">
        <f t="array" ref="F144">+$I$123*$G125*_xlfn.XLOOKUP($D144,_xlfn.ANCHORARRAY($I$118),$L$118:$L$120,,0)*_xlfn.XLOOKUP($D144,$D$131:$D$133,F$131:F$133,,0)</f>
        <v>0.11000000000000006</v>
      </c>
      <c r="G144" s="6" cm="1">
        <f t="array" ref="G144">+$I$123*$G125*_xlfn.XLOOKUP($D144,_xlfn.ANCHORARRAY($I$118),$L$118:$L$120,,0)*_xlfn.XLOOKUP($D144,$D$131:$D$133,G$131:G$133,,0)</f>
        <v>0.10153846153846188</v>
      </c>
      <c r="H144" s="6" cm="1">
        <f t="array" ref="H144">+$I$123*$G125*_xlfn.XLOOKUP($D144,_xlfn.ANCHORARRAY($I$118),$L$118:$L$120,,0)*_xlfn.XLOOKUP($D144,$D$131:$D$133,H$131:H$133,,0)</f>
        <v>0.16076923076923075</v>
      </c>
      <c r="I144" s="6" cm="1">
        <f t="array" ref="I144">+$I$123*$G125*_xlfn.XLOOKUP($D144,_xlfn.ANCHORARRAY($I$118),$L$118:$L$120,,0)*_xlfn.XLOOKUP($D144,$D$131:$D$133,I$131:I$133,,0)</f>
        <v>7.615384615384628E-2</v>
      </c>
      <c r="J144" s="6" cm="1">
        <f t="array" ref="J144">+$I$123*$G125*_xlfn.XLOOKUP($D144,_xlfn.ANCHORARRAY($I$118),$L$118:$L$120,,0)*_xlfn.XLOOKUP($D144,$D$131:$D$133,J$131:J$133,,0)</f>
        <v>0.1184615384615384</v>
      </c>
      <c r="K144" s="6" cm="1">
        <f t="array" ref="K144">+$I$123*$G125*_xlfn.XLOOKUP($D144,_xlfn.ANCHORARRAY($I$118),$L$118:$L$120,,0)*_xlfn.XLOOKUP($D144,$D$131:$D$133,K$131:K$133,,0)</f>
        <v>0.15230769230769262</v>
      </c>
      <c r="L144" s="6" cm="1">
        <f t="array" ref="L144">+$I$123*$G125*_xlfn.XLOOKUP($D144,_xlfn.ANCHORARRAY($I$118),$L$118:$L$120,,0)*_xlfn.XLOOKUP($D144,$D$131:$D$133,L$131:L$133,,0)</f>
        <v>0.13538461538461533</v>
      </c>
      <c r="M144" s="7" cm="1">
        <f t="array" ref="M144">+$I$123*$G125*_xlfn.XLOOKUP($D144,_xlfn.ANCHORARRAY($I$118),$L$118:$L$120,,0)*_xlfn.XLOOKUP($D144,$D$131:$D$133,M$131:M$133,,0)</f>
        <v>0.13538461538461599</v>
      </c>
      <c r="N144" s="18"/>
    </row>
    <row r="145" spans="3:23" x14ac:dyDescent="0.25">
      <c r="C145" s="20" t="s">
        <v>11</v>
      </c>
      <c r="D145" s="25" t="str">
        <f t="shared" si="77"/>
        <v>Serv</v>
      </c>
      <c r="E145" s="9" cm="1">
        <f t="array" ref="E145">+$I$123*$G126*_xlfn.XLOOKUP($D145,_xlfn.ANCHORARRAY($I$118),$L$118:$L$120,,0)*_xlfn.XLOOKUP($D145,$D$131:$D$133,E$131:E$133,,0)</f>
        <v>0.55384615384615321</v>
      </c>
      <c r="F145" s="10" cm="1">
        <f t="array" ref="F145">+$I$123*$G126*_xlfn.XLOOKUP($D145,_xlfn.ANCHORARRAY($I$118),$L$118:$L$120,,0)*_xlfn.XLOOKUP($D145,$D$131:$D$133,F$131:F$133,,0)</f>
        <v>0.24230769230769231</v>
      </c>
      <c r="G145" s="10" cm="1">
        <f t="array" ref="G145">+$I$123*$G126*_xlfn.XLOOKUP($D145,_xlfn.ANCHORARRAY($I$118),$L$118:$L$120,,0)*_xlfn.XLOOKUP($D145,$D$131:$D$133,G$131:G$133,,0)</f>
        <v>0.27692307692307738</v>
      </c>
      <c r="H145" s="10" cm="1">
        <f t="array" ref="H145">+$I$123*$G126*_xlfn.XLOOKUP($D145,_xlfn.ANCHORARRAY($I$118),$L$118:$L$120,,0)*_xlfn.XLOOKUP($D145,$D$131:$D$133,H$131:H$133,,0)</f>
        <v>0.62307692307692286</v>
      </c>
      <c r="I145" s="10" cm="1">
        <f t="array" ref="I145">+$I$123*$G126*_xlfn.XLOOKUP($D145,_xlfn.ANCHORARRAY($I$118),$L$118:$L$120,,0)*_xlfn.XLOOKUP($D145,$D$131:$D$133,I$131:I$133,,0)</f>
        <v>0.44999999999999957</v>
      </c>
      <c r="J145" s="10" cm="1">
        <f t="array" ref="J145">+$I$123*$G126*_xlfn.XLOOKUP($D145,_xlfn.ANCHORARRAY($I$118),$L$118:$L$120,,0)*_xlfn.XLOOKUP($D145,$D$131:$D$133,J$131:J$133,,0)</f>
        <v>0.20769230769230757</v>
      </c>
      <c r="K145" s="10" cm="1">
        <f t="array" ref="K145">+$I$123*$G126*_xlfn.XLOOKUP($D145,_xlfn.ANCHORARRAY($I$118),$L$118:$L$120,,0)*_xlfn.XLOOKUP($D145,$D$131:$D$133,K$131:K$133,,0)</f>
        <v>0.38076923076923125</v>
      </c>
      <c r="L145" s="10" cm="1">
        <f t="array" ref="L145">+$I$123*$G126*_xlfn.XLOOKUP($D145,_xlfn.ANCHORARRAY($I$118),$L$118:$L$120,,0)*_xlfn.XLOOKUP($D145,$D$131:$D$133,L$131:L$133,,0)</f>
        <v>0.34615384615384598</v>
      </c>
      <c r="M145" s="11" cm="1">
        <f t="array" ref="M145">+$I$123*$G126*_xlfn.XLOOKUP($D145,_xlfn.ANCHORARRAY($I$118),$L$118:$L$120,,0)*_xlfn.XLOOKUP($D145,$D$131:$D$133,M$131:M$133,,0)</f>
        <v>0.51923076923077127</v>
      </c>
      <c r="N145" s="18"/>
    </row>
    <row r="146" spans="3:23" x14ac:dyDescent="0.25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3" x14ac:dyDescent="0.25">
      <c r="O147" s="19"/>
    </row>
    <row r="148" spans="3:23" ht="15.75" thickBot="1" x14ac:dyDescent="0.3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3" ht="15.75" thickBot="1" x14ac:dyDescent="0.3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3" x14ac:dyDescent="0.25">
      <c r="C150" s="20" t="s">
        <v>1</v>
      </c>
      <c r="D150" s="28" t="s">
        <v>51</v>
      </c>
      <c r="E150" s="1">
        <f>+MIN(E78,E94)+E137</f>
        <v>9.5560439560439558</v>
      </c>
      <c r="F150" s="2">
        <f t="shared" ref="F150:M150" si="78">+MIN(F78,F94)+F137</f>
        <v>5.0054945054945064</v>
      </c>
      <c r="G150" s="2">
        <f t="shared" si="78"/>
        <v>9.5560439560439576</v>
      </c>
      <c r="H150" s="2">
        <f t="shared" si="78"/>
        <v>1.3296703296703303</v>
      </c>
      <c r="I150" s="2">
        <f t="shared" si="78"/>
        <v>0.50549450549450559</v>
      </c>
      <c r="J150" s="2">
        <f t="shared" si="78"/>
        <v>7.6296703296703292</v>
      </c>
      <c r="K150" s="2">
        <f t="shared" si="78"/>
        <v>3.2054945054945065</v>
      </c>
      <c r="L150" s="2">
        <f t="shared" si="78"/>
        <v>6.9318681318681312</v>
      </c>
      <c r="M150" s="3">
        <f t="shared" si="78"/>
        <v>2.2802197802197823</v>
      </c>
      <c r="N150" s="19">
        <f>+E150-E5</f>
        <v>-0.44395604395604416</v>
      </c>
      <c r="O150" s="19">
        <f t="shared" ref="O150:V150" si="79">+F150-F5</f>
        <v>5.4945054945063632E-3</v>
      </c>
      <c r="P150" s="19">
        <f t="shared" si="79"/>
        <v>-0.44395604395604238</v>
      </c>
      <c r="Q150" s="19">
        <f t="shared" si="79"/>
        <v>0.32967032967033028</v>
      </c>
      <c r="R150" s="19">
        <f t="shared" si="79"/>
        <v>0.50549450549450559</v>
      </c>
      <c r="S150" s="19">
        <f t="shared" si="79"/>
        <v>-0.37032967032967079</v>
      </c>
      <c r="T150" s="19">
        <f t="shared" si="79"/>
        <v>0.20549450549450654</v>
      </c>
      <c r="U150" s="19">
        <f t="shared" si="79"/>
        <v>-6.8131868131868778E-2</v>
      </c>
      <c r="V150" s="19">
        <f t="shared" si="79"/>
        <v>0.28021978021978233</v>
      </c>
      <c r="W150" s="16">
        <f>+SUM(N150:V150)</f>
        <v>4.9960036108132044E-15</v>
      </c>
    </row>
    <row r="151" spans="3:23" x14ac:dyDescent="0.25">
      <c r="C151" s="20" t="s">
        <v>1</v>
      </c>
      <c r="D151" s="25" t="s">
        <v>52</v>
      </c>
      <c r="E151" s="5">
        <f t="shared" ref="E151:M151" si="80">+MIN(E79,E95)+E138</f>
        <v>7.6799999999999988</v>
      </c>
      <c r="F151" s="6">
        <f t="shared" si="80"/>
        <v>3.1799999999999988</v>
      </c>
      <c r="G151" s="6">
        <f t="shared" si="80"/>
        <v>8.5430769230769226</v>
      </c>
      <c r="H151" s="6">
        <f t="shared" si="80"/>
        <v>4.3015384615384598</v>
      </c>
      <c r="I151" s="6">
        <f t="shared" si="80"/>
        <v>2.132307692307692</v>
      </c>
      <c r="J151" s="6">
        <f t="shared" si="80"/>
        <v>9.5169230769230762</v>
      </c>
      <c r="K151" s="6">
        <f t="shared" si="80"/>
        <v>1.5646153846153847</v>
      </c>
      <c r="L151" s="6">
        <f t="shared" si="80"/>
        <v>4.190769230769229</v>
      </c>
      <c r="M151" s="7">
        <f t="shared" si="80"/>
        <v>6.890769230769231</v>
      </c>
      <c r="N151" s="19">
        <f t="shared" ref="N151:N158" si="81">+E151-E6</f>
        <v>-0.32000000000000117</v>
      </c>
      <c r="O151" s="19">
        <f t="shared" ref="O151:O158" si="82">+F151-F6</f>
        <v>0.17999999999999883</v>
      </c>
      <c r="P151" s="19">
        <f t="shared" ref="P151:P158" si="83">+G151-G6</f>
        <v>-0.45692307692307743</v>
      </c>
      <c r="Q151" s="19">
        <f t="shared" ref="Q151:Q158" si="84">+H151-H6</f>
        <v>0.30153846153845976</v>
      </c>
      <c r="R151" s="19">
        <f t="shared" ref="R151:R158" si="85">+I151-I6</f>
        <v>0.13230769230769202</v>
      </c>
      <c r="S151" s="19">
        <f t="shared" ref="S151:S158" si="86">+J151-J6</f>
        <v>-0.48307692307692385</v>
      </c>
      <c r="T151" s="19">
        <f t="shared" ref="T151:T158" si="87">+K151-K6</f>
        <v>0.56461538461538474</v>
      </c>
      <c r="U151" s="19">
        <f t="shared" ref="U151:U158" si="88">+L151-L6</f>
        <v>0.19076923076922903</v>
      </c>
      <c r="V151" s="19">
        <f t="shared" ref="V151:V158" si="89">+M151-M6</f>
        <v>-0.10923076923076902</v>
      </c>
      <c r="W151" s="16">
        <f t="shared" ref="W151:W158" si="90">+SUM(N151:V151)</f>
        <v>-7.1054273576010019E-15</v>
      </c>
    </row>
    <row r="152" spans="3:23" x14ac:dyDescent="0.25">
      <c r="C152" s="20" t="s">
        <v>1</v>
      </c>
      <c r="D152" s="25" t="s">
        <v>53</v>
      </c>
      <c r="E152" s="5">
        <f t="shared" ref="E152:M152" si="91">+MIN(E80,E96)+E139</f>
        <v>7.3846153846154339E-2</v>
      </c>
      <c r="F152" s="6">
        <f t="shared" si="91"/>
        <v>3.2307692307692565E-2</v>
      </c>
      <c r="G152" s="6">
        <f t="shared" si="91"/>
        <v>3.6923076923077273E-2</v>
      </c>
      <c r="H152" s="6">
        <f t="shared" si="91"/>
        <v>6.3830769230769224</v>
      </c>
      <c r="I152" s="6">
        <f t="shared" si="91"/>
        <v>3.66</v>
      </c>
      <c r="J152" s="6">
        <f t="shared" si="91"/>
        <v>3.6276923076923073</v>
      </c>
      <c r="K152" s="6">
        <f t="shared" si="91"/>
        <v>6.3507692307692301</v>
      </c>
      <c r="L152" s="6">
        <f t="shared" si="91"/>
        <v>3.6461538461538461</v>
      </c>
      <c r="M152" s="7">
        <f t="shared" si="91"/>
        <v>6.3692307692307688</v>
      </c>
      <c r="N152" s="19">
        <f t="shared" si="81"/>
        <v>7.3846153846154339E-2</v>
      </c>
      <c r="O152" s="19">
        <f t="shared" si="82"/>
        <v>3.2307692307692565E-2</v>
      </c>
      <c r="P152" s="19">
        <f t="shared" si="83"/>
        <v>3.6923076923077273E-2</v>
      </c>
      <c r="Q152" s="19">
        <f t="shared" si="84"/>
        <v>-0.61692307692307757</v>
      </c>
      <c r="R152" s="19">
        <f t="shared" si="85"/>
        <v>-0.33999999999999986</v>
      </c>
      <c r="S152" s="19">
        <f t="shared" si="86"/>
        <v>-0.37230769230769267</v>
      </c>
      <c r="T152" s="19">
        <f t="shared" si="87"/>
        <v>-0.64923076923076994</v>
      </c>
      <c r="U152" s="19">
        <f t="shared" si="88"/>
        <v>-0.35384615384615392</v>
      </c>
      <c r="V152" s="19">
        <f t="shared" si="89"/>
        <v>-0.63076923076923119</v>
      </c>
      <c r="W152" s="16">
        <f t="shared" si="90"/>
        <v>-2.8200000000000012</v>
      </c>
    </row>
    <row r="153" spans="3:23" x14ac:dyDescent="0.25">
      <c r="C153" s="20" t="s">
        <v>10</v>
      </c>
      <c r="D153" s="25" t="str">
        <f>+D150</f>
        <v>Agr</v>
      </c>
      <c r="E153" s="5">
        <f t="shared" ref="E153:M153" si="92">+MIN(E81,E97)+E140</f>
        <v>8.1</v>
      </c>
      <c r="F153" s="6">
        <f t="shared" si="92"/>
        <v>4.5</v>
      </c>
      <c r="G153" s="6">
        <f t="shared" si="92"/>
        <v>3.5999999999999996</v>
      </c>
      <c r="H153" s="6">
        <f t="shared" si="92"/>
        <v>6.2999999999999989</v>
      </c>
      <c r="I153" s="6">
        <f t="shared" si="92"/>
        <v>9</v>
      </c>
      <c r="J153" s="6">
        <f t="shared" si="92"/>
        <v>8.1</v>
      </c>
      <c r="K153" s="6">
        <f t="shared" si="92"/>
        <v>9</v>
      </c>
      <c r="L153" s="6">
        <f t="shared" si="92"/>
        <v>8.1</v>
      </c>
      <c r="M153" s="7">
        <f t="shared" si="92"/>
        <v>8.1</v>
      </c>
      <c r="N153" s="19">
        <f t="shared" si="81"/>
        <v>-0.90000000000000036</v>
      </c>
      <c r="O153" s="19">
        <f t="shared" si="82"/>
        <v>-0.5</v>
      </c>
      <c r="P153" s="19">
        <f t="shared" si="83"/>
        <v>-0.40000000000000036</v>
      </c>
      <c r="Q153" s="19">
        <f t="shared" si="84"/>
        <v>-0.70000000000000107</v>
      </c>
      <c r="R153" s="19">
        <f t="shared" si="85"/>
        <v>-1</v>
      </c>
      <c r="S153" s="19">
        <f t="shared" si="86"/>
        <v>-0.90000000000000036</v>
      </c>
      <c r="T153" s="19">
        <f t="shared" si="87"/>
        <v>-1</v>
      </c>
      <c r="U153" s="19">
        <f t="shared" si="88"/>
        <v>-0.90000000000000036</v>
      </c>
      <c r="V153" s="19">
        <f t="shared" si="89"/>
        <v>-0.90000000000000036</v>
      </c>
      <c r="W153" s="16">
        <f t="shared" si="90"/>
        <v>-7.2000000000000028</v>
      </c>
    </row>
    <row r="154" spans="3:23" x14ac:dyDescent="0.25">
      <c r="C154" s="20" t="s">
        <v>10</v>
      </c>
      <c r="D154" s="25" t="str">
        <f t="shared" ref="D154:D158" si="93">+D151</f>
        <v>Ind</v>
      </c>
      <c r="E154" s="5">
        <f t="shared" ref="E154:M154" si="94">+MIN(E82,E98)+E141</f>
        <v>3.7999999999999994</v>
      </c>
      <c r="F154" s="6">
        <f t="shared" si="94"/>
        <v>1.9999999999999998</v>
      </c>
      <c r="G154" s="6">
        <f t="shared" si="94"/>
        <v>2.8846153846153846</v>
      </c>
      <c r="H154" s="6">
        <f t="shared" si="94"/>
        <v>5.6923076923076916</v>
      </c>
      <c r="I154" s="6">
        <f t="shared" si="94"/>
        <v>6.4384615384615378</v>
      </c>
      <c r="J154" s="6">
        <f t="shared" si="94"/>
        <v>3.8153846153846147</v>
      </c>
      <c r="K154" s="6">
        <f t="shared" si="94"/>
        <v>8.3769230769230774</v>
      </c>
      <c r="L154" s="6">
        <f t="shared" si="94"/>
        <v>2.0461538461538455</v>
      </c>
      <c r="M154" s="7">
        <f t="shared" si="94"/>
        <v>7.4461538461538463</v>
      </c>
      <c r="N154" s="19">
        <f t="shared" si="81"/>
        <v>-0.20000000000000062</v>
      </c>
      <c r="O154" s="19">
        <f t="shared" si="82"/>
        <v>0</v>
      </c>
      <c r="P154" s="19">
        <f t="shared" si="83"/>
        <v>-0.11538461538461542</v>
      </c>
      <c r="Q154" s="19">
        <f t="shared" si="84"/>
        <v>-0.30769230769230838</v>
      </c>
      <c r="R154" s="19">
        <f t="shared" si="85"/>
        <v>-0.56153846153846221</v>
      </c>
      <c r="S154" s="19">
        <f t="shared" si="86"/>
        <v>-0.18461538461538529</v>
      </c>
      <c r="T154" s="19">
        <f t="shared" si="87"/>
        <v>-0.62307692307692264</v>
      </c>
      <c r="U154" s="19">
        <f t="shared" si="88"/>
        <v>4.6153846153845546E-2</v>
      </c>
      <c r="V154" s="19">
        <f t="shared" si="89"/>
        <v>-0.55384615384615365</v>
      </c>
      <c r="W154" s="16">
        <f t="shared" si="90"/>
        <v>-2.5000000000000027</v>
      </c>
    </row>
    <row r="155" spans="3:23" x14ac:dyDescent="0.25">
      <c r="C155" s="20" t="s">
        <v>10</v>
      </c>
      <c r="D155" s="25" t="str">
        <f t="shared" si="93"/>
        <v>Serv</v>
      </c>
      <c r="E155" s="5">
        <f t="shared" ref="E155:M155" si="95">+MIN(E83,E99)+E142</f>
        <v>5.3999999999999995</v>
      </c>
      <c r="F155" s="6">
        <f t="shared" si="95"/>
        <v>4.5</v>
      </c>
      <c r="G155" s="6">
        <f t="shared" si="95"/>
        <v>3.5999999999999996</v>
      </c>
      <c r="H155" s="6">
        <f t="shared" si="95"/>
        <v>0.89999999999999991</v>
      </c>
      <c r="I155" s="6">
        <f t="shared" si="95"/>
        <v>8.1</v>
      </c>
      <c r="J155" s="6">
        <f t="shared" si="95"/>
        <v>1.7999999999999998</v>
      </c>
      <c r="K155" s="6">
        <f t="shared" si="95"/>
        <v>0.89999999999999991</v>
      </c>
      <c r="L155" s="6">
        <f t="shared" si="95"/>
        <v>5.3999999999999995</v>
      </c>
      <c r="M155" s="7">
        <f t="shared" si="95"/>
        <v>0.89999999999999991</v>
      </c>
      <c r="N155" s="19">
        <f t="shared" si="81"/>
        <v>-0.60000000000000053</v>
      </c>
      <c r="O155" s="19">
        <f t="shared" si="82"/>
        <v>-0.5</v>
      </c>
      <c r="P155" s="19">
        <f t="shared" si="83"/>
        <v>-0.40000000000000036</v>
      </c>
      <c r="Q155" s="19">
        <f t="shared" si="84"/>
        <v>-0.10000000000000009</v>
      </c>
      <c r="R155" s="19">
        <f t="shared" si="85"/>
        <v>-0.90000000000000036</v>
      </c>
      <c r="S155" s="19">
        <f t="shared" si="86"/>
        <v>-0.20000000000000018</v>
      </c>
      <c r="T155" s="19">
        <f t="shared" si="87"/>
        <v>-0.10000000000000009</v>
      </c>
      <c r="U155" s="19">
        <f t="shared" si="88"/>
        <v>-0.60000000000000053</v>
      </c>
      <c r="V155" s="19">
        <f t="shared" si="89"/>
        <v>-0.10000000000000009</v>
      </c>
      <c r="W155" s="16">
        <f t="shared" si="90"/>
        <v>-3.5000000000000022</v>
      </c>
    </row>
    <row r="156" spans="3:23" x14ac:dyDescent="0.25">
      <c r="C156" s="20" t="s">
        <v>11</v>
      </c>
      <c r="D156" s="25" t="str">
        <f t="shared" si="93"/>
        <v>Agr</v>
      </c>
      <c r="E156" s="5">
        <f t="shared" ref="E156:M156" si="96">+MIN(E84,E100)+E143</f>
        <v>3.4736263736263728</v>
      </c>
      <c r="F156" s="6">
        <f t="shared" si="96"/>
        <v>9.7032967032967044</v>
      </c>
      <c r="G156" s="6">
        <f t="shared" si="96"/>
        <v>7.9736263736263746</v>
      </c>
      <c r="H156" s="6">
        <f t="shared" si="96"/>
        <v>8.6978021978021971</v>
      </c>
      <c r="I156" s="6">
        <f t="shared" si="96"/>
        <v>9.7032967032967026</v>
      </c>
      <c r="J156" s="6">
        <f t="shared" si="96"/>
        <v>0.59780219780219768</v>
      </c>
      <c r="K156" s="6">
        <f t="shared" si="96"/>
        <v>7.0032967032967033</v>
      </c>
      <c r="L156" s="6">
        <f t="shared" si="96"/>
        <v>8.9791208791208792</v>
      </c>
      <c r="M156" s="7">
        <f t="shared" si="96"/>
        <v>7.8681318681318704</v>
      </c>
      <c r="N156" s="19">
        <f t="shared" si="81"/>
        <v>0.47362637362637283</v>
      </c>
      <c r="O156" s="19">
        <f t="shared" si="82"/>
        <v>-0.29670329670329565</v>
      </c>
      <c r="P156" s="19">
        <f t="shared" si="83"/>
        <v>-2.6373626373625392E-2</v>
      </c>
      <c r="Q156" s="19">
        <f t="shared" si="84"/>
        <v>-0.3021978021978029</v>
      </c>
      <c r="R156" s="19">
        <f t="shared" si="85"/>
        <v>-0.29670329670329743</v>
      </c>
      <c r="S156" s="19">
        <f t="shared" si="86"/>
        <v>0.59780219780219768</v>
      </c>
      <c r="T156" s="19">
        <f t="shared" si="87"/>
        <v>3.296703296703285E-3</v>
      </c>
      <c r="U156" s="19">
        <f t="shared" si="88"/>
        <v>-2.0879120879120805E-2</v>
      </c>
      <c r="V156" s="19">
        <f t="shared" si="89"/>
        <v>-0.13186813186812962</v>
      </c>
      <c r="W156" s="16">
        <f t="shared" si="90"/>
        <v>1.9984014443252818E-15</v>
      </c>
    </row>
    <row r="157" spans="3:23" x14ac:dyDescent="0.25">
      <c r="C157" s="20" t="s">
        <v>11</v>
      </c>
      <c r="D157" s="25" t="str">
        <f t="shared" si="93"/>
        <v>Ind</v>
      </c>
      <c r="E157" s="5">
        <f t="shared" ref="E157:M157" si="97">+MIN(E85,E101)+E144</f>
        <v>1.01</v>
      </c>
      <c r="F157" s="6">
        <f t="shared" si="97"/>
        <v>7.31</v>
      </c>
      <c r="G157" s="6">
        <f t="shared" si="97"/>
        <v>0.10153846153846188</v>
      </c>
      <c r="H157" s="6">
        <f t="shared" si="97"/>
        <v>8.2607692307692311</v>
      </c>
      <c r="I157" s="6">
        <f t="shared" si="97"/>
        <v>7.615384615384628E-2</v>
      </c>
      <c r="J157" s="6">
        <f t="shared" si="97"/>
        <v>0.1184615384615384</v>
      </c>
      <c r="K157" s="6">
        <f t="shared" si="97"/>
        <v>7.3523076923076918</v>
      </c>
      <c r="L157" s="6">
        <f t="shared" si="97"/>
        <v>9.1353846153846145</v>
      </c>
      <c r="M157" s="7">
        <f t="shared" si="97"/>
        <v>1.0353846153846158</v>
      </c>
      <c r="N157" s="19">
        <f t="shared" si="81"/>
        <v>1.0000000000000009E-2</v>
      </c>
      <c r="O157" s="19">
        <f t="shared" si="82"/>
        <v>-0.69000000000000039</v>
      </c>
      <c r="P157" s="19">
        <f t="shared" si="83"/>
        <v>0.10153846153846188</v>
      </c>
      <c r="Q157" s="19">
        <f t="shared" si="84"/>
        <v>-0.73923076923076891</v>
      </c>
      <c r="R157" s="19">
        <f t="shared" si="85"/>
        <v>7.615384615384628E-2</v>
      </c>
      <c r="S157" s="19">
        <f t="shared" si="86"/>
        <v>0.1184615384615384</v>
      </c>
      <c r="T157" s="19">
        <f t="shared" si="87"/>
        <v>-0.64769230769230823</v>
      </c>
      <c r="U157" s="19">
        <f t="shared" si="88"/>
        <v>-0.86461538461538545</v>
      </c>
      <c r="V157" s="19">
        <f t="shared" si="89"/>
        <v>3.5384615384615792E-2</v>
      </c>
      <c r="W157" s="16">
        <f t="shared" si="90"/>
        <v>-2.6000000000000005</v>
      </c>
    </row>
    <row r="158" spans="3:23" x14ac:dyDescent="0.25">
      <c r="C158" s="20" t="s">
        <v>11</v>
      </c>
      <c r="D158" s="25" t="str">
        <f t="shared" si="93"/>
        <v>Serv</v>
      </c>
      <c r="E158" s="9">
        <f t="shared" ref="E158:M158" si="98">+MIN(E86,E102)+E145</f>
        <v>9.5538461538461537</v>
      </c>
      <c r="F158" s="10">
        <f t="shared" si="98"/>
        <v>2.0423076923076922</v>
      </c>
      <c r="G158" s="10">
        <f t="shared" si="98"/>
        <v>3.8769230769230769</v>
      </c>
      <c r="H158" s="10">
        <f t="shared" si="98"/>
        <v>9.6230769230769226</v>
      </c>
      <c r="I158" s="10">
        <f t="shared" si="98"/>
        <v>0.44999999999999957</v>
      </c>
      <c r="J158" s="10">
        <f t="shared" si="98"/>
        <v>0.20769230769230757</v>
      </c>
      <c r="K158" s="10">
        <f t="shared" si="98"/>
        <v>3.0807692307692309</v>
      </c>
      <c r="L158" s="10">
        <f t="shared" si="98"/>
        <v>0.34615384615384598</v>
      </c>
      <c r="M158" s="11">
        <f t="shared" si="98"/>
        <v>6.8192307692307699</v>
      </c>
      <c r="N158" s="19">
        <f t="shared" si="81"/>
        <v>-0.44615384615384635</v>
      </c>
      <c r="O158" s="19">
        <f t="shared" si="82"/>
        <v>4.2307692307692157E-2</v>
      </c>
      <c r="P158" s="19">
        <f t="shared" si="83"/>
        <v>-0.12307692307692308</v>
      </c>
      <c r="Q158" s="19">
        <f t="shared" si="84"/>
        <v>-0.37692307692307736</v>
      </c>
      <c r="R158" s="19">
        <f t="shared" si="85"/>
        <v>0.44999999999999957</v>
      </c>
      <c r="S158" s="19">
        <f t="shared" si="86"/>
        <v>0.20769230769230757</v>
      </c>
      <c r="T158" s="19">
        <f t="shared" si="87"/>
        <v>8.0769230769230926E-2</v>
      </c>
      <c r="U158" s="19">
        <f t="shared" si="88"/>
        <v>0.34615384615384598</v>
      </c>
      <c r="V158" s="19">
        <f t="shared" si="89"/>
        <v>-0.18076923076923013</v>
      </c>
      <c r="W158" s="16">
        <f t="shared" si="90"/>
        <v>-7.2164496600635175E-16</v>
      </c>
    </row>
    <row r="159" spans="3:23" x14ac:dyDescent="0.25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397.37999999999988</v>
      </c>
      <c r="O159" s="18"/>
    </row>
    <row r="161" spans="1:23" x14ac:dyDescent="0.25">
      <c r="A161" s="66"/>
    </row>
    <row r="162" spans="1:23" ht="15.75" thickBot="1" x14ac:dyDescent="0.3">
      <c r="A162" s="68" t="s">
        <v>41</v>
      </c>
      <c r="E162" s="20" t="s">
        <v>1</v>
      </c>
      <c r="F162" s="20" t="s">
        <v>1</v>
      </c>
      <c r="G162" s="20" t="s">
        <v>1</v>
      </c>
      <c r="H162" s="20" t="s">
        <v>10</v>
      </c>
      <c r="I162" s="20" t="s">
        <v>10</v>
      </c>
      <c r="J162" s="20" t="s">
        <v>10</v>
      </c>
      <c r="K162" s="20" t="s">
        <v>11</v>
      </c>
      <c r="L162" s="20" t="s">
        <v>11</v>
      </c>
      <c r="M162" s="20" t="s">
        <v>11</v>
      </c>
    </row>
    <row r="163" spans="1:23" ht="15.75" thickBot="1" x14ac:dyDescent="0.3">
      <c r="D163" s="23" t="s">
        <v>42</v>
      </c>
      <c r="E163" s="27" t="s">
        <v>51</v>
      </c>
      <c r="F163" s="26" t="s">
        <v>52</v>
      </c>
      <c r="G163" s="26" t="s">
        <v>53</v>
      </c>
      <c r="H163" s="26" t="s">
        <v>51</v>
      </c>
      <c r="I163" s="26" t="s">
        <v>52</v>
      </c>
      <c r="J163" s="26" t="s">
        <v>53</v>
      </c>
      <c r="K163" s="26" t="s">
        <v>51</v>
      </c>
      <c r="L163" s="26" t="s">
        <v>52</v>
      </c>
      <c r="M163" s="26" t="s">
        <v>53</v>
      </c>
    </row>
    <row r="164" spans="1:23" x14ac:dyDescent="0.25">
      <c r="D164" s="28" t="str" cm="1">
        <f t="array" ref="D164:D166">+_xlfn.UNIQUE($D$150:$D$158)</f>
        <v>Agr</v>
      </c>
      <c r="E164" s="1">
        <f>+SUMIF($D$5:$D$13,$D164,E$5:E$13)</f>
        <v>22</v>
      </c>
      <c r="F164" s="2">
        <f t="shared" ref="F164:M166" si="99">+SUMIF($D$5:$D$13,$D164,F$5:F$13)</f>
        <v>20</v>
      </c>
      <c r="G164" s="2">
        <f t="shared" si="99"/>
        <v>22</v>
      </c>
      <c r="H164" s="2">
        <f t="shared" si="99"/>
        <v>17</v>
      </c>
      <c r="I164" s="2">
        <f t="shared" si="99"/>
        <v>20</v>
      </c>
      <c r="J164" s="2">
        <f t="shared" si="99"/>
        <v>17</v>
      </c>
      <c r="K164" s="2">
        <f t="shared" si="99"/>
        <v>20</v>
      </c>
      <c r="L164" s="2">
        <f t="shared" si="99"/>
        <v>25</v>
      </c>
      <c r="M164" s="3">
        <f t="shared" si="99"/>
        <v>19</v>
      </c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x14ac:dyDescent="0.25">
      <c r="D165" s="25" t="str">
        <v>Ind</v>
      </c>
      <c r="E165" s="5">
        <f t="shared" ref="E165:E166" si="100">+SUMIF($D$5:$D$13,$D165,E$5:E$13)</f>
        <v>13</v>
      </c>
      <c r="F165" s="6">
        <f t="shared" si="99"/>
        <v>13</v>
      </c>
      <c r="G165" s="6">
        <f t="shared" si="99"/>
        <v>12</v>
      </c>
      <c r="H165" s="6">
        <f t="shared" si="99"/>
        <v>19</v>
      </c>
      <c r="I165" s="6">
        <f t="shared" si="99"/>
        <v>9</v>
      </c>
      <c r="J165" s="6">
        <f t="shared" si="99"/>
        <v>14</v>
      </c>
      <c r="K165" s="6">
        <f t="shared" si="99"/>
        <v>18</v>
      </c>
      <c r="L165" s="6">
        <f t="shared" si="99"/>
        <v>16</v>
      </c>
      <c r="M165" s="7">
        <f t="shared" si="99"/>
        <v>16</v>
      </c>
      <c r="O165" s="18"/>
      <c r="P165" s="18"/>
      <c r="Q165" s="18"/>
      <c r="R165" s="18"/>
      <c r="S165" s="18"/>
      <c r="T165" s="18"/>
      <c r="U165" s="18"/>
      <c r="V165" s="18"/>
      <c r="W165" s="18"/>
    </row>
    <row r="166" spans="1:23" x14ac:dyDescent="0.25">
      <c r="D166" s="25" t="str">
        <v>Serv</v>
      </c>
      <c r="E166" s="9">
        <f t="shared" si="100"/>
        <v>16</v>
      </c>
      <c r="F166" s="10">
        <f t="shared" si="99"/>
        <v>7</v>
      </c>
      <c r="G166" s="10">
        <f t="shared" si="99"/>
        <v>8</v>
      </c>
      <c r="H166" s="10">
        <f t="shared" si="99"/>
        <v>18</v>
      </c>
      <c r="I166" s="10">
        <f t="shared" si="99"/>
        <v>13</v>
      </c>
      <c r="J166" s="10">
        <f t="shared" si="99"/>
        <v>6</v>
      </c>
      <c r="K166" s="10">
        <f t="shared" si="99"/>
        <v>11</v>
      </c>
      <c r="L166" s="10">
        <f t="shared" si="99"/>
        <v>10</v>
      </c>
      <c r="M166" s="11">
        <f t="shared" si="99"/>
        <v>15</v>
      </c>
      <c r="O166" s="18"/>
      <c r="P166" s="18"/>
      <c r="Q166" s="18"/>
      <c r="R166" s="18"/>
      <c r="S166" s="18"/>
      <c r="T166" s="18"/>
      <c r="U166" s="18"/>
      <c r="V166" s="18"/>
      <c r="W166" s="18"/>
    </row>
    <row r="167" spans="1:23" x14ac:dyDescent="0.25">
      <c r="D167" s="25" t="s">
        <v>8</v>
      </c>
      <c r="E167" s="70">
        <f>+E15</f>
        <v>71</v>
      </c>
      <c r="F167" s="71">
        <f t="shared" ref="F167:M167" si="101">+F15</f>
        <v>55</v>
      </c>
      <c r="G167" s="71">
        <f t="shared" si="101"/>
        <v>47</v>
      </c>
      <c r="H167" s="71">
        <f t="shared" si="101"/>
        <v>82</v>
      </c>
      <c r="I167" s="71">
        <f t="shared" si="101"/>
        <v>50</v>
      </c>
      <c r="J167" s="71">
        <f t="shared" si="101"/>
        <v>55</v>
      </c>
      <c r="K167" s="71">
        <f t="shared" si="101"/>
        <v>79</v>
      </c>
      <c r="L167" s="71">
        <f t="shared" si="101"/>
        <v>65</v>
      </c>
      <c r="M167" s="72">
        <f t="shared" si="101"/>
        <v>60</v>
      </c>
      <c r="N167" s="19"/>
      <c r="O167" s="18"/>
      <c r="P167" s="18"/>
      <c r="Q167" s="18"/>
      <c r="R167" s="18"/>
      <c r="S167" s="18"/>
      <c r="T167" s="18"/>
      <c r="U167" s="18"/>
      <c r="V167" s="18"/>
      <c r="W167" s="18"/>
    </row>
    <row r="168" spans="1:23" x14ac:dyDescent="0.25">
      <c r="O168" s="18"/>
      <c r="P168" s="18"/>
      <c r="Q168" s="18"/>
      <c r="R168" s="18"/>
      <c r="S168" s="18"/>
      <c r="T168" s="18"/>
      <c r="U168" s="18"/>
      <c r="V168" s="18"/>
      <c r="W168" s="18"/>
    </row>
    <row r="169" spans="1:23" ht="15.75" thickBot="1" x14ac:dyDescent="0.3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  <c r="O169" s="18"/>
      <c r="P169" s="18"/>
      <c r="Q169" s="18"/>
      <c r="R169" s="18"/>
      <c r="S169" s="18"/>
      <c r="T169" s="18"/>
      <c r="U169" s="18"/>
      <c r="V169" s="18"/>
      <c r="W169" s="18"/>
    </row>
    <row r="170" spans="1:23" ht="15.75" thickBot="1" x14ac:dyDescent="0.3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  <c r="O170" s="18"/>
      <c r="P170" s="18"/>
      <c r="Q170" s="18"/>
      <c r="R170" s="18"/>
      <c r="S170" s="18"/>
      <c r="T170" s="18"/>
      <c r="U170" s="18"/>
      <c r="V170" s="18"/>
      <c r="W170" s="18"/>
    </row>
    <row r="171" spans="1:23" x14ac:dyDescent="0.25">
      <c r="D171" s="28" t="str" cm="1">
        <f t="array" ref="D171:D173">+_xlfn.UNIQUE($D$150:$D$158)</f>
        <v>Agr</v>
      </c>
      <c r="E171" s="1">
        <f t="shared" ref="E171:M171" si="102">+E164/E$167</f>
        <v>0.30985915492957744</v>
      </c>
      <c r="F171" s="2">
        <f t="shared" si="102"/>
        <v>0.36363636363636365</v>
      </c>
      <c r="G171" s="2">
        <f t="shared" si="102"/>
        <v>0.46808510638297873</v>
      </c>
      <c r="H171" s="2">
        <f t="shared" si="102"/>
        <v>0.2073170731707317</v>
      </c>
      <c r="I171" s="2">
        <f t="shared" si="102"/>
        <v>0.4</v>
      </c>
      <c r="J171" s="2">
        <f t="shared" si="102"/>
        <v>0.30909090909090908</v>
      </c>
      <c r="K171" s="2">
        <f t="shared" si="102"/>
        <v>0.25316455696202533</v>
      </c>
      <c r="L171" s="2">
        <f t="shared" si="102"/>
        <v>0.38461538461538464</v>
      </c>
      <c r="M171" s="3">
        <f t="shared" si="102"/>
        <v>0.31666666666666665</v>
      </c>
      <c r="O171" s="18"/>
      <c r="P171" s="18"/>
      <c r="Q171" s="18"/>
      <c r="R171" s="18"/>
      <c r="S171" s="18"/>
      <c r="T171" s="18"/>
      <c r="U171" s="18"/>
      <c r="V171" s="18"/>
      <c r="W171" s="18"/>
    </row>
    <row r="172" spans="1:23" x14ac:dyDescent="0.25">
      <c r="D172" s="25" t="str">
        <v>Ind</v>
      </c>
      <c r="E172" s="5">
        <f t="shared" ref="E172:M172" si="103">+E165/E$167</f>
        <v>0.18309859154929578</v>
      </c>
      <c r="F172" s="6">
        <f t="shared" si="103"/>
        <v>0.23636363636363636</v>
      </c>
      <c r="G172" s="6">
        <f t="shared" si="103"/>
        <v>0.25531914893617019</v>
      </c>
      <c r="H172" s="6">
        <f t="shared" si="103"/>
        <v>0.23170731707317074</v>
      </c>
      <c r="I172" s="6">
        <f t="shared" si="103"/>
        <v>0.18</v>
      </c>
      <c r="J172" s="6">
        <f t="shared" si="103"/>
        <v>0.25454545454545452</v>
      </c>
      <c r="K172" s="6">
        <f t="shared" si="103"/>
        <v>0.22784810126582278</v>
      </c>
      <c r="L172" s="6">
        <f t="shared" si="103"/>
        <v>0.24615384615384617</v>
      </c>
      <c r="M172" s="7">
        <f t="shared" si="103"/>
        <v>0.26666666666666666</v>
      </c>
      <c r="O172" s="18"/>
      <c r="P172" s="18"/>
      <c r="Q172" s="18"/>
      <c r="R172" s="18"/>
      <c r="S172" s="18"/>
      <c r="T172" s="18"/>
      <c r="U172" s="18"/>
      <c r="V172" s="18"/>
      <c r="W172" s="18"/>
    </row>
    <row r="173" spans="1:23" x14ac:dyDescent="0.25">
      <c r="D173" s="25" t="str">
        <v>Serv</v>
      </c>
      <c r="E173" s="9">
        <f t="shared" ref="E173:M173" si="104">+E166/E$167</f>
        <v>0.22535211267605634</v>
      </c>
      <c r="F173" s="10">
        <f t="shared" si="104"/>
        <v>0.12727272727272726</v>
      </c>
      <c r="G173" s="10">
        <f t="shared" si="104"/>
        <v>0.1702127659574468</v>
      </c>
      <c r="H173" s="10">
        <f t="shared" si="104"/>
        <v>0.21951219512195122</v>
      </c>
      <c r="I173" s="10">
        <f t="shared" si="104"/>
        <v>0.26</v>
      </c>
      <c r="J173" s="10">
        <f t="shared" si="104"/>
        <v>0.10909090909090909</v>
      </c>
      <c r="K173" s="10">
        <f t="shared" si="104"/>
        <v>0.13924050632911392</v>
      </c>
      <c r="L173" s="10">
        <f t="shared" si="104"/>
        <v>0.15384615384615385</v>
      </c>
      <c r="M173" s="11">
        <f t="shared" si="104"/>
        <v>0.25</v>
      </c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3" x14ac:dyDescent="0.25">
      <c r="O174" s="18"/>
      <c r="P174" s="18"/>
      <c r="Q174" s="18"/>
      <c r="R174" s="18"/>
      <c r="S174" s="18"/>
      <c r="T174" s="18"/>
      <c r="U174" s="18"/>
      <c r="V174" s="18"/>
      <c r="W174" s="18"/>
    </row>
    <row r="175" spans="1:23" ht="15.75" thickBot="1" x14ac:dyDescent="0.3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  <c r="O175" s="18"/>
      <c r="P175" s="18"/>
      <c r="Q175" s="18"/>
      <c r="R175" s="18"/>
      <c r="S175" s="18"/>
      <c r="T175" s="18"/>
      <c r="U175" s="18"/>
      <c r="V175" s="18"/>
      <c r="W175" s="18"/>
    </row>
    <row r="176" spans="1:23" ht="15.75" thickBot="1" x14ac:dyDescent="0.3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2:23" x14ac:dyDescent="0.25">
      <c r="D177" s="28" t="str" cm="1">
        <f t="array" ref="D177:D179">+_xlfn.UNIQUE($D$150:$D$158)</f>
        <v>Agr</v>
      </c>
      <c r="E177" s="1">
        <f>+SUMIF($D$150:$D$158,$D177,E$150:E$158)</f>
        <v>21.129670329670329</v>
      </c>
      <c r="F177" s="2">
        <f t="shared" ref="F177:M179" si="105">+SUMIF($D$150:$D$158,$D177,F$150:F$158)</f>
        <v>19.208791208791212</v>
      </c>
      <c r="G177" s="2">
        <f t="shared" si="105"/>
        <v>21.129670329670333</v>
      </c>
      <c r="H177" s="2">
        <f t="shared" si="105"/>
        <v>16.327472527472526</v>
      </c>
      <c r="I177" s="2">
        <f t="shared" si="105"/>
        <v>19.208791208791208</v>
      </c>
      <c r="J177" s="2">
        <f t="shared" si="105"/>
        <v>16.327472527472526</v>
      </c>
      <c r="K177" s="2">
        <f t="shared" si="105"/>
        <v>19.208791208791212</v>
      </c>
      <c r="L177" s="2">
        <f t="shared" si="105"/>
        <v>24.010989010989007</v>
      </c>
      <c r="M177" s="3">
        <f t="shared" si="105"/>
        <v>18.248351648351651</v>
      </c>
      <c r="O177" s="18"/>
      <c r="P177" s="18"/>
      <c r="Q177" s="18"/>
      <c r="R177" s="18"/>
      <c r="S177" s="18"/>
      <c r="T177" s="18"/>
      <c r="U177" s="18"/>
      <c r="V177" s="18"/>
      <c r="W177" s="18"/>
    </row>
    <row r="178" spans="2:23" x14ac:dyDescent="0.25">
      <c r="D178" s="25" t="str">
        <v>Ind</v>
      </c>
      <c r="E178" s="5">
        <f t="shared" ref="E178:E179" si="106">+SUMIF($D$150:$D$158,$D178,E$150:E$158)</f>
        <v>12.489999999999998</v>
      </c>
      <c r="F178" s="6">
        <f t="shared" si="105"/>
        <v>12.489999999999998</v>
      </c>
      <c r="G178" s="6">
        <f t="shared" si="105"/>
        <v>11.52923076923077</v>
      </c>
      <c r="H178" s="6">
        <f t="shared" si="105"/>
        <v>18.254615384615384</v>
      </c>
      <c r="I178" s="6">
        <f t="shared" si="105"/>
        <v>8.6469230769230769</v>
      </c>
      <c r="J178" s="6">
        <f t="shared" si="105"/>
        <v>13.450769230769229</v>
      </c>
      <c r="K178" s="6">
        <f t="shared" si="105"/>
        <v>17.293846153846154</v>
      </c>
      <c r="L178" s="6">
        <f t="shared" si="105"/>
        <v>15.37230769230769</v>
      </c>
      <c r="M178" s="7">
        <f t="shared" si="105"/>
        <v>15.372307692307693</v>
      </c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2:23" x14ac:dyDescent="0.25">
      <c r="D179" s="25" t="str">
        <v>Serv</v>
      </c>
      <c r="E179" s="9">
        <f t="shared" si="106"/>
        <v>15.027692307692307</v>
      </c>
      <c r="F179" s="10">
        <f t="shared" si="105"/>
        <v>6.5746153846153845</v>
      </c>
      <c r="G179" s="10">
        <f t="shared" si="105"/>
        <v>7.5138461538461536</v>
      </c>
      <c r="H179" s="10">
        <f t="shared" si="105"/>
        <v>16.906153846153845</v>
      </c>
      <c r="I179" s="10">
        <f t="shared" si="105"/>
        <v>12.209999999999999</v>
      </c>
      <c r="J179" s="10">
        <f t="shared" si="105"/>
        <v>5.6353846153846154</v>
      </c>
      <c r="K179" s="10">
        <f t="shared" si="105"/>
        <v>10.331538461538461</v>
      </c>
      <c r="L179" s="10">
        <f t="shared" si="105"/>
        <v>9.3923076923076927</v>
      </c>
      <c r="M179" s="11">
        <f t="shared" si="105"/>
        <v>14.088461538461537</v>
      </c>
      <c r="O179" s="18"/>
      <c r="P179" s="18"/>
      <c r="Q179" s="18"/>
      <c r="R179" s="18"/>
      <c r="S179" s="18"/>
      <c r="T179" s="18"/>
      <c r="U179" s="18"/>
      <c r="V179" s="18"/>
      <c r="W179" s="18"/>
    </row>
    <row r="180" spans="2:23" x14ac:dyDescent="0.25">
      <c r="O180" s="18"/>
      <c r="P180" s="18"/>
      <c r="Q180" s="18"/>
      <c r="R180" s="18"/>
      <c r="S180" s="18"/>
      <c r="T180" s="18"/>
      <c r="U180" s="18"/>
      <c r="V180" s="18"/>
      <c r="W180" s="18"/>
    </row>
    <row r="181" spans="2:23" x14ac:dyDescent="0.25">
      <c r="E181" s="1">
        <f>+E177/E171</f>
        <v>68.191208791208794</v>
      </c>
      <c r="F181" s="2">
        <f t="shared" ref="F181:M181" si="107">+F177/F171</f>
        <v>52.824175824175832</v>
      </c>
      <c r="G181" s="2">
        <f t="shared" si="107"/>
        <v>45.140659340659347</v>
      </c>
      <c r="H181" s="2">
        <f t="shared" si="107"/>
        <v>78.756043956043953</v>
      </c>
      <c r="I181" s="2">
        <f t="shared" si="107"/>
        <v>48.021978021978015</v>
      </c>
      <c r="J181" s="2">
        <f t="shared" si="107"/>
        <v>52.824175824175825</v>
      </c>
      <c r="K181" s="2">
        <f t="shared" si="107"/>
        <v>75.874725274725279</v>
      </c>
      <c r="L181" s="2">
        <f t="shared" si="107"/>
        <v>62.428571428571416</v>
      </c>
      <c r="M181" s="3">
        <f t="shared" si="107"/>
        <v>57.626373626373635</v>
      </c>
      <c r="N181" s="19">
        <f t="shared" ref="N181:N183" si="108">+SUM(E181:M181)</f>
        <v>541.68791208791208</v>
      </c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2:23" x14ac:dyDescent="0.25">
      <c r="E182" s="5">
        <f t="shared" ref="E182:M183" si="109">+E178/E172</f>
        <v>68.214615384615371</v>
      </c>
      <c r="F182" s="6">
        <f t="shared" si="109"/>
        <v>52.842307692307685</v>
      </c>
      <c r="G182" s="6">
        <f t="shared" si="109"/>
        <v>45.156153846153849</v>
      </c>
      <c r="H182" s="6">
        <f t="shared" si="109"/>
        <v>78.783076923076919</v>
      </c>
      <c r="I182" s="6">
        <f t="shared" si="109"/>
        <v>48.03846153846154</v>
      </c>
      <c r="J182" s="6">
        <f t="shared" si="109"/>
        <v>52.842307692307692</v>
      </c>
      <c r="K182" s="6">
        <f t="shared" si="109"/>
        <v>75.900769230769228</v>
      </c>
      <c r="L182" s="6">
        <f t="shared" si="109"/>
        <v>62.449999999999989</v>
      </c>
      <c r="M182" s="7">
        <f t="shared" si="109"/>
        <v>57.646153846153851</v>
      </c>
      <c r="N182" s="19">
        <f t="shared" si="108"/>
        <v>541.8738461538461</v>
      </c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2:23" x14ac:dyDescent="0.25">
      <c r="E183" s="73">
        <f t="shared" si="109"/>
        <v>66.685384615384606</v>
      </c>
      <c r="F183" s="74">
        <f t="shared" si="109"/>
        <v>51.657692307692315</v>
      </c>
      <c r="G183" s="74">
        <f t="shared" si="109"/>
        <v>44.143846153846155</v>
      </c>
      <c r="H183" s="74">
        <f t="shared" si="109"/>
        <v>77.016923076923078</v>
      </c>
      <c r="I183" s="74">
        <f t="shared" si="109"/>
        <v>46.96153846153846</v>
      </c>
      <c r="J183" s="74">
        <f t="shared" si="109"/>
        <v>51.657692307692308</v>
      </c>
      <c r="K183" s="74">
        <f t="shared" si="109"/>
        <v>74.199230769230766</v>
      </c>
      <c r="L183" s="74">
        <f t="shared" si="109"/>
        <v>61.05</v>
      </c>
      <c r="M183" s="75">
        <f t="shared" si="109"/>
        <v>56.353846153846149</v>
      </c>
      <c r="N183" s="19">
        <f t="shared" si="108"/>
        <v>529.72615384615381</v>
      </c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2:23" x14ac:dyDescent="0.25">
      <c r="D184" s="25" t="s">
        <v>47</v>
      </c>
      <c r="E184" s="13">
        <f>+MIN(E181:E183)</f>
        <v>66.685384615384606</v>
      </c>
      <c r="F184" s="14">
        <f t="shared" ref="F184:M184" si="110">+MIN(F181:F183)</f>
        <v>51.657692307692315</v>
      </c>
      <c r="G184" s="14">
        <f t="shared" si="110"/>
        <v>44.143846153846155</v>
      </c>
      <c r="H184" s="14">
        <f t="shared" si="110"/>
        <v>77.016923076923078</v>
      </c>
      <c r="I184" s="14">
        <f t="shared" si="110"/>
        <v>46.96153846153846</v>
      </c>
      <c r="J184" s="14">
        <f t="shared" si="110"/>
        <v>51.657692307692308</v>
      </c>
      <c r="K184" s="14">
        <f t="shared" si="110"/>
        <v>74.199230769230766</v>
      </c>
      <c r="L184" s="14">
        <f t="shared" si="110"/>
        <v>61.05</v>
      </c>
      <c r="M184" s="15">
        <f t="shared" si="110"/>
        <v>56.353846153846149</v>
      </c>
      <c r="N184" s="19">
        <f>+SUM(E184:M184)</f>
        <v>529.72615384615381</v>
      </c>
    </row>
    <row r="185" spans="2:23" x14ac:dyDescent="0.25">
      <c r="E185" s="18"/>
      <c r="F185" s="18"/>
      <c r="G185" s="18"/>
      <c r="H185" s="18"/>
      <c r="I185" s="18"/>
      <c r="J185" s="18"/>
      <c r="K185" s="18"/>
      <c r="L185" s="18"/>
      <c r="M185" s="18"/>
      <c r="N185" s="18">
        <f>+N184-O14</f>
        <v>-34.273846153846193</v>
      </c>
      <c r="O185" s="18" t="s">
        <v>64</v>
      </c>
      <c r="P185" s="18"/>
      <c r="Q185" s="18"/>
      <c r="R185" s="18"/>
      <c r="S185" s="18"/>
      <c r="T185" s="18"/>
      <c r="U185" s="18"/>
      <c r="V185" s="18"/>
      <c r="W185" s="18"/>
    </row>
    <row r="186" spans="2:23" x14ac:dyDescent="0.25">
      <c r="E186" s="18"/>
      <c r="F186" s="18"/>
      <c r="G186" s="18"/>
      <c r="H186" s="18"/>
      <c r="I186" s="18"/>
      <c r="J186" s="18"/>
      <c r="K186" s="18"/>
      <c r="L186" s="18"/>
      <c r="M186" s="18"/>
      <c r="N186" s="18">
        <f>+N185/O57</f>
        <v>1.6266656931108827</v>
      </c>
      <c r="O186" s="18" t="s">
        <v>65</v>
      </c>
      <c r="P186" s="18"/>
      <c r="Q186" s="18"/>
      <c r="R186" s="18"/>
      <c r="S186" s="18"/>
      <c r="T186" s="18"/>
      <c r="U186" s="18"/>
      <c r="V186" s="18"/>
      <c r="W186" s="18"/>
    </row>
    <row r="187" spans="2:23" x14ac:dyDescent="0.25">
      <c r="B187" s="16"/>
      <c r="C187" s="115" t="s">
        <v>61</v>
      </c>
      <c r="D187" s="77" t="s">
        <v>66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  <c r="J187" s="114"/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2:23" x14ac:dyDescent="0.25">
      <c r="B188" s="99">
        <f>+MAX(E188/C188,0)</f>
        <v>0.17258461538461575</v>
      </c>
      <c r="C188" s="5" cm="1">
        <f t="array" ref="C188:C196">+H47:H55</f>
        <v>25</v>
      </c>
      <c r="D188" s="136">
        <f>+MAX(G188-SUM(E150:M150),0)</f>
        <v>20.685384615384606</v>
      </c>
      <c r="E188" s="117">
        <f>+C188-D188</f>
        <v>4.3146153846153936</v>
      </c>
      <c r="F188" s="78">
        <f>+SUM(E150:M150)+C188</f>
        <v>71</v>
      </c>
      <c r="G188" s="79" cm="1">
        <f t="array" ref="G188:G196">+TRANSPOSE(E184:M184)</f>
        <v>66.685384615384606</v>
      </c>
      <c r="H188" s="117">
        <f>+F188-G188</f>
        <v>4.3146153846153936</v>
      </c>
      <c r="I188" s="120" t="b">
        <f>+H188&lt;0.01</f>
        <v>0</v>
      </c>
      <c r="J188" s="16"/>
      <c r="K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2:23" x14ac:dyDescent="0.25">
      <c r="B189" s="99">
        <f t="shared" ref="B189:B196" si="111">+MAX(E189/C189,0)</f>
        <v>0.47747252747252539</v>
      </c>
      <c r="C189" s="5">
        <v>7</v>
      </c>
      <c r="D189" s="79">
        <f t="shared" ref="D189:D196" si="112">+MAX(G189-SUM(E151:M151),0)</f>
        <v>3.6576923076923222</v>
      </c>
      <c r="E189" s="117">
        <f t="shared" ref="E189:E196" si="113">+C189-D189</f>
        <v>3.3423076923076778</v>
      </c>
      <c r="F189" s="78">
        <f>+SUM(E151:M151)+C189</f>
        <v>54.999999999999993</v>
      </c>
      <c r="G189" s="79">
        <v>51.657692307692315</v>
      </c>
      <c r="H189" s="117">
        <f t="shared" ref="H189:H196" si="114">+F189-G189</f>
        <v>3.3423076923076778</v>
      </c>
      <c r="I189" s="120" t="b">
        <f t="shared" ref="I189:I196" si="115">+H189&lt;0.01</f>
        <v>0</v>
      </c>
      <c r="J189" s="16"/>
      <c r="K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2:23" x14ac:dyDescent="0.25">
      <c r="B190" s="99">
        <f t="shared" si="111"/>
        <v>2.5824175824174589E-3</v>
      </c>
      <c r="C190" s="5">
        <v>14</v>
      </c>
      <c r="D190" s="79">
        <f t="shared" si="112"/>
        <v>13.963846153846156</v>
      </c>
      <c r="E190" s="117">
        <f t="shared" si="113"/>
        <v>3.6153846153844427E-2</v>
      </c>
      <c r="F190" s="78">
        <f t="shared" ref="F190:F196" si="116">+SUM(E152:M152)+C190</f>
        <v>44.18</v>
      </c>
      <c r="G190" s="79">
        <v>44.143846153846155</v>
      </c>
      <c r="H190" s="117">
        <f t="shared" si="114"/>
        <v>3.6153846153844427E-2</v>
      </c>
      <c r="I190" s="120" t="b">
        <f t="shared" si="115"/>
        <v>0</v>
      </c>
      <c r="J190" s="16"/>
      <c r="K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2:23" x14ac:dyDescent="0.25">
      <c r="B191" s="99">
        <f t="shared" si="111"/>
        <v>0</v>
      </c>
      <c r="C191" s="5">
        <v>10</v>
      </c>
      <c r="D191" s="79">
        <f t="shared" si="112"/>
        <v>12.216923076923081</v>
      </c>
      <c r="E191" s="117">
        <f t="shared" si="113"/>
        <v>-2.2169230769230808</v>
      </c>
      <c r="F191" s="78">
        <f t="shared" si="116"/>
        <v>74.8</v>
      </c>
      <c r="G191" s="79">
        <v>77.016923076923078</v>
      </c>
      <c r="H191" s="117">
        <f t="shared" si="114"/>
        <v>-2.2169230769230808</v>
      </c>
      <c r="I191" s="120" t="b">
        <f t="shared" si="115"/>
        <v>1</v>
      </c>
      <c r="J191" s="16"/>
      <c r="K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2:23" x14ac:dyDescent="0.25">
      <c r="B192" s="99">
        <f t="shared" si="111"/>
        <v>0.10769230769230802</v>
      </c>
      <c r="C192" s="5">
        <v>5</v>
      </c>
      <c r="D192" s="79">
        <f t="shared" si="112"/>
        <v>4.4615384615384599</v>
      </c>
      <c r="E192" s="117">
        <f t="shared" si="113"/>
        <v>0.5384615384615401</v>
      </c>
      <c r="F192" s="78">
        <f t="shared" si="116"/>
        <v>47.5</v>
      </c>
      <c r="G192" s="79">
        <v>46.96153846153846</v>
      </c>
      <c r="H192" s="117">
        <f t="shared" si="114"/>
        <v>0.5384615384615401</v>
      </c>
      <c r="I192" s="120" t="b">
        <f t="shared" si="115"/>
        <v>0</v>
      </c>
      <c r="J192" s="16"/>
      <c r="K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2:23" x14ac:dyDescent="0.25">
      <c r="B193" s="99">
        <f t="shared" si="111"/>
        <v>0</v>
      </c>
      <c r="C193" s="5">
        <v>20</v>
      </c>
      <c r="D193" s="79">
        <f t="shared" si="112"/>
        <v>20.157692307692312</v>
      </c>
      <c r="E193" s="117">
        <f t="shared" si="113"/>
        <v>-0.15769230769231157</v>
      </c>
      <c r="F193" s="78">
        <f t="shared" si="116"/>
        <v>51.5</v>
      </c>
      <c r="G193" s="79">
        <v>51.657692307692308</v>
      </c>
      <c r="H193" s="117">
        <f t="shared" si="114"/>
        <v>-0.15769230769230802</v>
      </c>
      <c r="I193" s="120" t="b">
        <f t="shared" si="115"/>
        <v>1</v>
      </c>
      <c r="J193" s="16"/>
      <c r="K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 spans="2:23" x14ac:dyDescent="0.25">
      <c r="B194" s="99">
        <f t="shared" si="111"/>
        <v>0.32005128205128225</v>
      </c>
      <c r="C194" s="5">
        <v>15</v>
      </c>
      <c r="D194" s="79">
        <f t="shared" si="112"/>
        <v>10.199230769230766</v>
      </c>
      <c r="E194" s="117">
        <f t="shared" si="113"/>
        <v>4.8007692307692338</v>
      </c>
      <c r="F194" s="78">
        <f t="shared" si="116"/>
        <v>79</v>
      </c>
      <c r="G194" s="79">
        <v>74.199230769230766</v>
      </c>
      <c r="H194" s="117">
        <f t="shared" si="114"/>
        <v>4.8007692307692338</v>
      </c>
      <c r="I194" s="120" t="b">
        <f t="shared" si="115"/>
        <v>0</v>
      </c>
      <c r="J194" s="16"/>
      <c r="K194" s="18"/>
    </row>
    <row r="195" spans="2:23" x14ac:dyDescent="0.25">
      <c r="B195" s="99">
        <f t="shared" si="111"/>
        <v>4.8214285714286022E-2</v>
      </c>
      <c r="C195" s="5">
        <v>28</v>
      </c>
      <c r="D195" s="79">
        <f t="shared" si="112"/>
        <v>26.649999999999991</v>
      </c>
      <c r="E195" s="117">
        <f t="shared" si="113"/>
        <v>1.3500000000000085</v>
      </c>
      <c r="F195" s="78">
        <f t="shared" si="116"/>
        <v>62.400000000000006</v>
      </c>
      <c r="G195" s="79">
        <v>61.05</v>
      </c>
      <c r="H195" s="117">
        <f t="shared" si="114"/>
        <v>1.3500000000000085</v>
      </c>
      <c r="I195" s="120" t="b">
        <f t="shared" si="115"/>
        <v>0</v>
      </c>
      <c r="J195" s="16"/>
      <c r="K195" s="18"/>
    </row>
    <row r="196" spans="2:23" x14ac:dyDescent="0.25">
      <c r="B196" s="99">
        <f t="shared" si="111"/>
        <v>0.15192307692307713</v>
      </c>
      <c r="C196" s="9">
        <v>24</v>
      </c>
      <c r="D196" s="79">
        <f t="shared" si="112"/>
        <v>20.353846153846149</v>
      </c>
      <c r="E196" s="118">
        <f t="shared" si="113"/>
        <v>3.646153846153851</v>
      </c>
      <c r="F196" s="80">
        <f t="shared" si="116"/>
        <v>60</v>
      </c>
      <c r="G196" s="81">
        <v>56.353846153846149</v>
      </c>
      <c r="H196" s="118">
        <f t="shared" si="114"/>
        <v>3.646153846153851</v>
      </c>
      <c r="I196" s="120" t="b">
        <f t="shared" si="115"/>
        <v>0</v>
      </c>
      <c r="J196" s="16"/>
      <c r="K196" s="18"/>
    </row>
    <row r="198" spans="2:23" ht="15.75" thickBot="1" x14ac:dyDescent="0.3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23" ht="15.75" thickBot="1" x14ac:dyDescent="0.3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23" x14ac:dyDescent="0.25">
      <c r="C200" s="20" t="s">
        <v>1</v>
      </c>
      <c r="D200" s="28" t="s">
        <v>51</v>
      </c>
      <c r="E200" s="1">
        <f>+E150/E$184</f>
        <v>0.14330042499056586</v>
      </c>
      <c r="F200" s="2">
        <f t="shared" ref="F200:M200" si="117">+F150/F$184</f>
        <v>9.6897369624642349E-2</v>
      </c>
      <c r="G200" s="2">
        <f t="shared" si="117"/>
        <v>0.21647511009213138</v>
      </c>
      <c r="H200" s="2">
        <f t="shared" si="117"/>
        <v>1.7264651410992881E-2</v>
      </c>
      <c r="I200" s="2">
        <f t="shared" si="117"/>
        <v>1.0764010764010767E-2</v>
      </c>
      <c r="J200" s="2">
        <f t="shared" si="117"/>
        <v>0.14769669315123859</v>
      </c>
      <c r="K200" s="2">
        <f t="shared" si="117"/>
        <v>4.3201182441688787E-2</v>
      </c>
      <c r="L200" s="2">
        <f t="shared" si="117"/>
        <v>0.11354411354411353</v>
      </c>
      <c r="M200" s="3">
        <f t="shared" si="117"/>
        <v>4.0462540462540504E-2</v>
      </c>
    </row>
    <row r="201" spans="2:23" x14ac:dyDescent="0.25">
      <c r="C201" s="20" t="s">
        <v>1</v>
      </c>
      <c r="D201" s="25" t="s">
        <v>52</v>
      </c>
      <c r="E201" s="5">
        <f t="shared" ref="E201:M201" si="118">+E151/E$184</f>
        <v>0.11516766446343911</v>
      </c>
      <c r="F201" s="6">
        <f t="shared" si="118"/>
        <v>6.1559079740897894E-2</v>
      </c>
      <c r="G201" s="6">
        <f t="shared" si="118"/>
        <v>0.19352815097495946</v>
      </c>
      <c r="H201" s="6">
        <f t="shared" si="118"/>
        <v>5.5851860729909483E-2</v>
      </c>
      <c r="I201" s="6">
        <f t="shared" si="118"/>
        <v>4.54054054054054E-2</v>
      </c>
      <c r="J201" s="6">
        <f t="shared" si="118"/>
        <v>0.18423051150323877</v>
      </c>
      <c r="K201" s="6">
        <f t="shared" si="118"/>
        <v>2.1086679314527419E-2</v>
      </c>
      <c r="L201" s="6">
        <f t="shared" si="118"/>
        <v>6.8644868644868615E-2</v>
      </c>
      <c r="M201" s="7">
        <f t="shared" si="118"/>
        <v>0.12227682227682229</v>
      </c>
    </row>
    <row r="202" spans="2:23" x14ac:dyDescent="0.25">
      <c r="C202" s="20" t="s">
        <v>1</v>
      </c>
      <c r="D202" s="25" t="s">
        <v>53</v>
      </c>
      <c r="E202" s="5">
        <f t="shared" ref="E202:M202" si="119">+E152/E$184</f>
        <v>1.1073813890715375E-3</v>
      </c>
      <c r="F202" s="6">
        <f t="shared" si="119"/>
        <v>6.2541880723699392E-4</v>
      </c>
      <c r="G202" s="6">
        <f t="shared" si="119"/>
        <v>8.3642636834126984E-4</v>
      </c>
      <c r="H202" s="6">
        <f t="shared" si="119"/>
        <v>8.2878887756936526E-2</v>
      </c>
      <c r="I202" s="6">
        <f t="shared" si="119"/>
        <v>7.7936117936117946E-2</v>
      </c>
      <c r="J202" s="6">
        <f t="shared" si="119"/>
        <v>7.0225597498324757E-2</v>
      </c>
      <c r="K202" s="6">
        <f t="shared" si="119"/>
        <v>8.5590769135072922E-2</v>
      </c>
      <c r="L202" s="6">
        <f t="shared" si="119"/>
        <v>5.9724059724059725E-2</v>
      </c>
      <c r="M202" s="7">
        <f t="shared" si="119"/>
        <v>0.11302211302211303</v>
      </c>
    </row>
    <row r="203" spans="2:23" x14ac:dyDescent="0.25">
      <c r="C203" s="20" t="s">
        <v>10</v>
      </c>
      <c r="D203" s="25" t="str">
        <f>+D200</f>
        <v>Agr</v>
      </c>
      <c r="E203" s="5">
        <f t="shared" ref="E203:M203" si="120">+E153/E$184</f>
        <v>0.12146589611378344</v>
      </c>
      <c r="F203" s="6">
        <f t="shared" si="120"/>
        <v>8.7111905293723466E-2</v>
      </c>
      <c r="G203" s="6">
        <f t="shared" si="120"/>
        <v>8.155157091327303E-2</v>
      </c>
      <c r="H203" s="6">
        <f t="shared" si="120"/>
        <v>8.1800203751423245E-2</v>
      </c>
      <c r="I203" s="6">
        <f t="shared" si="120"/>
        <v>0.19164619164619165</v>
      </c>
      <c r="J203" s="6">
        <f t="shared" si="120"/>
        <v>0.15680142952870224</v>
      </c>
      <c r="K203" s="6">
        <f t="shared" si="120"/>
        <v>0.12129505800391877</v>
      </c>
      <c r="L203" s="6">
        <f t="shared" si="120"/>
        <v>0.13267813267813267</v>
      </c>
      <c r="M203" s="7">
        <f t="shared" si="120"/>
        <v>0.14373464373464373</v>
      </c>
    </row>
    <row r="204" spans="2:23" x14ac:dyDescent="0.25">
      <c r="C204" s="20" t="s">
        <v>10</v>
      </c>
      <c r="D204" s="25" t="str">
        <f t="shared" ref="D204:D208" si="121">+D201</f>
        <v>Ind</v>
      </c>
      <c r="E204" s="5">
        <f t="shared" ref="E204:M204" si="122">+E154/E$184</f>
        <v>5.6984000645972477E-2</v>
      </c>
      <c r="F204" s="6">
        <f t="shared" si="122"/>
        <v>3.871640235276598E-2</v>
      </c>
      <c r="G204" s="6">
        <f t="shared" si="122"/>
        <v>6.5345810026661094E-2</v>
      </c>
      <c r="H204" s="6">
        <f t="shared" si="122"/>
        <v>7.3909830007390973E-2</v>
      </c>
      <c r="I204" s="6">
        <f t="shared" si="122"/>
        <v>0.13710073710073709</v>
      </c>
      <c r="J204" s="6">
        <f t="shared" si="122"/>
        <v>7.385898294989203E-2</v>
      </c>
      <c r="K204" s="6">
        <f t="shared" si="122"/>
        <v>0.1128977078344167</v>
      </c>
      <c r="L204" s="6">
        <f t="shared" si="122"/>
        <v>3.3516033516033508E-2</v>
      </c>
      <c r="M204" s="7">
        <f t="shared" si="122"/>
        <v>0.13213213213213215</v>
      </c>
    </row>
    <row r="205" spans="2:23" x14ac:dyDescent="0.25">
      <c r="C205" s="20" t="s">
        <v>10</v>
      </c>
      <c r="D205" s="25" t="str">
        <f t="shared" si="121"/>
        <v>Serv</v>
      </c>
      <c r="E205" s="5">
        <f t="shared" ref="E205:M205" si="123">+E155/E$184</f>
        <v>8.0977264075855634E-2</v>
      </c>
      <c r="F205" s="6">
        <f t="shared" si="123"/>
        <v>8.7111905293723466E-2</v>
      </c>
      <c r="G205" s="6">
        <f t="shared" si="123"/>
        <v>8.155157091327303E-2</v>
      </c>
      <c r="H205" s="6">
        <f t="shared" si="123"/>
        <v>1.1685743393060465E-2</v>
      </c>
      <c r="I205" s="6">
        <f t="shared" si="123"/>
        <v>0.17248157248157248</v>
      </c>
      <c r="J205" s="6">
        <f t="shared" si="123"/>
        <v>3.4844762117489388E-2</v>
      </c>
      <c r="K205" s="6">
        <f t="shared" si="123"/>
        <v>1.2129505800391875E-2</v>
      </c>
      <c r="L205" s="6">
        <f t="shared" si="123"/>
        <v>8.8452088452088448E-2</v>
      </c>
      <c r="M205" s="7">
        <f t="shared" si="123"/>
        <v>1.5970515970515971E-2</v>
      </c>
    </row>
    <row r="206" spans="2:23" x14ac:dyDescent="0.25">
      <c r="C206" s="20" t="s">
        <v>11</v>
      </c>
      <c r="D206" s="25" t="str">
        <f t="shared" si="121"/>
        <v>Agr</v>
      </c>
      <c r="E206" s="5">
        <f t="shared" ref="E206:M206" si="124">+E156/E$184</f>
        <v>5.2089770399629552E-2</v>
      </c>
      <c r="F206" s="6">
        <f t="shared" si="124"/>
        <v>0.18783836965655146</v>
      </c>
      <c r="G206" s="6">
        <f t="shared" si="124"/>
        <v>0.18062826573464874</v>
      </c>
      <c r="H206" s="6">
        <f t="shared" si="124"/>
        <v>0.11293364951901536</v>
      </c>
      <c r="I206" s="6">
        <f t="shared" si="124"/>
        <v>0.20662220662220662</v>
      </c>
      <c r="J206" s="6">
        <f t="shared" si="124"/>
        <v>1.1572375208738843E-2</v>
      </c>
      <c r="K206" s="6">
        <f t="shared" si="124"/>
        <v>9.4385031093891861E-2</v>
      </c>
      <c r="L206" s="6">
        <f t="shared" si="124"/>
        <v>0.14707814707814709</v>
      </c>
      <c r="M206" s="7">
        <f t="shared" si="124"/>
        <v>0.13962013962013967</v>
      </c>
    </row>
    <row r="207" spans="2:23" x14ac:dyDescent="0.25">
      <c r="C207" s="20" t="s">
        <v>11</v>
      </c>
      <c r="D207" s="25" t="str">
        <f t="shared" si="121"/>
        <v>Ind</v>
      </c>
      <c r="E207" s="5">
        <f t="shared" ref="E207:M207" si="125">+E157/E$184</f>
        <v>1.514574754011374E-2</v>
      </c>
      <c r="F207" s="6">
        <f t="shared" si="125"/>
        <v>0.14150845059935965</v>
      </c>
      <c r="G207" s="6">
        <f t="shared" si="125"/>
        <v>2.3001725129384782E-3</v>
      </c>
      <c r="H207" s="6">
        <f t="shared" si="125"/>
        <v>0.1072591438445097</v>
      </c>
      <c r="I207" s="6">
        <f t="shared" si="125"/>
        <v>1.6216216216216244E-3</v>
      </c>
      <c r="J207" s="6">
        <f t="shared" si="125"/>
        <v>2.2932022932022921E-3</v>
      </c>
      <c r="K207" s="6">
        <f t="shared" si="125"/>
        <v>9.9088732000124399E-2</v>
      </c>
      <c r="L207" s="6">
        <f t="shared" si="125"/>
        <v>0.14963774963774962</v>
      </c>
      <c r="M207" s="7">
        <f t="shared" si="125"/>
        <v>1.8372918372918382E-2</v>
      </c>
    </row>
    <row r="208" spans="2:23" x14ac:dyDescent="0.25">
      <c r="C208" s="20" t="s">
        <v>11</v>
      </c>
      <c r="D208" s="25" t="str">
        <f t="shared" si="121"/>
        <v>Serv</v>
      </c>
      <c r="E208" s="9">
        <f t="shared" ref="E208:M208" si="126">+E158/E$184</f>
        <v>0.14326746721112921</v>
      </c>
      <c r="F208" s="10">
        <f t="shared" si="126"/>
        <v>3.9535403171766799E-2</v>
      </c>
      <c r="G208" s="10">
        <f t="shared" si="126"/>
        <v>8.7824768675832499E-2</v>
      </c>
      <c r="H208" s="10">
        <f t="shared" si="126"/>
        <v>0.12494756397195421</v>
      </c>
      <c r="I208" s="10">
        <f t="shared" si="126"/>
        <v>9.5823095823095727E-3</v>
      </c>
      <c r="J208" s="10">
        <f t="shared" si="126"/>
        <v>4.0205494750949269E-3</v>
      </c>
      <c r="K208" s="10">
        <f t="shared" si="126"/>
        <v>4.1520231393649118E-2</v>
      </c>
      <c r="L208" s="10">
        <f t="shared" si="126"/>
        <v>5.6700056700056678E-3</v>
      </c>
      <c r="M208" s="11">
        <f t="shared" si="126"/>
        <v>0.12100737100737102</v>
      </c>
    </row>
    <row r="211" spans="3:13" ht="15.75" thickBot="1" x14ac:dyDescent="0.3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.75" thickBot="1" x14ac:dyDescent="0.3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25">
      <c r="C213" s="20" t="s">
        <v>1</v>
      </c>
      <c r="D213" s="28" t="s">
        <v>51</v>
      </c>
      <c r="E213" s="1" cm="1">
        <f t="array" ref="E213:M221">+MINVERSE(_xlfn.MUNIT(COUNTA($D$213:$D$221))-E200:M208)</f>
        <v>1.3701229885831412</v>
      </c>
      <c r="F213" s="2">
        <v>0.32707625079487668</v>
      </c>
      <c r="G213" s="2">
        <v>0.49880718686141373</v>
      </c>
      <c r="H213" s="2">
        <v>0.23215705885075888</v>
      </c>
      <c r="I213" s="2">
        <v>0.26783277392539656</v>
      </c>
      <c r="J213" s="2">
        <v>0.37169582664639583</v>
      </c>
      <c r="K213" s="2">
        <v>0.24446987096540207</v>
      </c>
      <c r="L213" s="2">
        <v>0.37413489953698043</v>
      </c>
      <c r="M213" s="3">
        <v>0.3043371515530261</v>
      </c>
    </row>
    <row r="214" spans="3:13" x14ac:dyDescent="0.25">
      <c r="C214" s="20" t="s">
        <v>1</v>
      </c>
      <c r="D214" s="25" t="s">
        <v>52</v>
      </c>
      <c r="E214" s="5">
        <v>0.36299783011076048</v>
      </c>
      <c r="F214" s="6">
        <v>1.2945330137127988</v>
      </c>
      <c r="G214" s="6">
        <v>0.48559274972597793</v>
      </c>
      <c r="H214" s="6">
        <v>0.2827787957993505</v>
      </c>
      <c r="I214" s="6">
        <v>0.32261955788703511</v>
      </c>
      <c r="J214" s="6">
        <v>0.4138623136209364</v>
      </c>
      <c r="K214" s="6">
        <v>0.23164286496459788</v>
      </c>
      <c r="L214" s="6">
        <v>0.32972572003579897</v>
      </c>
      <c r="M214" s="7">
        <v>0.40517411822520466</v>
      </c>
    </row>
    <row r="215" spans="3:13" x14ac:dyDescent="0.25">
      <c r="C215" s="20" t="s">
        <v>1</v>
      </c>
      <c r="D215" s="25" t="s">
        <v>53</v>
      </c>
      <c r="E215" s="5">
        <v>0.16725178280888428</v>
      </c>
      <c r="F215" s="6">
        <v>0.16678106277519075</v>
      </c>
      <c r="G215" s="6">
        <v>1.1947517826953029</v>
      </c>
      <c r="H215" s="6">
        <v>0.24442500489225677</v>
      </c>
      <c r="I215" s="6">
        <v>0.27501920384317008</v>
      </c>
      <c r="J215" s="6">
        <v>0.2097801509658713</v>
      </c>
      <c r="K215" s="6">
        <v>0.23441242287725483</v>
      </c>
      <c r="L215" s="6">
        <v>0.23312655883292813</v>
      </c>
      <c r="M215" s="7">
        <v>0.31175197021830103</v>
      </c>
    </row>
    <row r="216" spans="3:13" x14ac:dyDescent="0.25">
      <c r="C216" s="20" t="s">
        <v>10</v>
      </c>
      <c r="D216" s="25" t="str">
        <f>+D213</f>
        <v>Agr</v>
      </c>
      <c r="E216" s="5">
        <v>0.47137769791956774</v>
      </c>
      <c r="F216" s="6">
        <v>0.43424945036390461</v>
      </c>
      <c r="G216" s="6">
        <v>0.50675506945283433</v>
      </c>
      <c r="H216" s="6">
        <v>1.4112997691577653</v>
      </c>
      <c r="I216" s="6">
        <v>0.59312684717430031</v>
      </c>
      <c r="J216" s="6">
        <v>0.4752410512378123</v>
      </c>
      <c r="K216" s="6">
        <v>0.43048602467483893</v>
      </c>
      <c r="L216" s="6">
        <v>0.50475100753322577</v>
      </c>
      <c r="M216" s="7">
        <v>0.55476939383119817</v>
      </c>
    </row>
    <row r="217" spans="3:13" x14ac:dyDescent="0.25">
      <c r="C217" s="20" t="s">
        <v>10</v>
      </c>
      <c r="D217" s="25" t="str">
        <f t="shared" ref="D217:D221" si="127">+D214</f>
        <v>Ind</v>
      </c>
      <c r="E217" s="5">
        <v>0.29495667918574936</v>
      </c>
      <c r="F217" s="6">
        <v>0.26764194478270859</v>
      </c>
      <c r="G217" s="6">
        <v>0.3521557194334507</v>
      </c>
      <c r="H217" s="6">
        <v>0.30045513706657428</v>
      </c>
      <c r="I217" s="6">
        <v>1.414864551877445</v>
      </c>
      <c r="J217" s="6">
        <v>0.2852221821612928</v>
      </c>
      <c r="K217" s="6">
        <v>0.32358529478578718</v>
      </c>
      <c r="L217" s="6">
        <v>0.27680351529868846</v>
      </c>
      <c r="M217" s="7">
        <v>0.42027340647368833</v>
      </c>
    </row>
    <row r="218" spans="3:13" x14ac:dyDescent="0.25">
      <c r="C218" s="20" t="s">
        <v>10</v>
      </c>
      <c r="D218" s="25" t="str">
        <f t="shared" si="127"/>
        <v>Serv</v>
      </c>
      <c r="E218" s="5">
        <v>0.24945907618755295</v>
      </c>
      <c r="F218" s="6">
        <v>0.25330567517534142</v>
      </c>
      <c r="G218" s="6">
        <v>0.29035886661345178</v>
      </c>
      <c r="H218" s="6">
        <v>0.17394741236247344</v>
      </c>
      <c r="I218" s="6">
        <v>0.36560281756689467</v>
      </c>
      <c r="J218" s="6">
        <v>1.2036042186017732</v>
      </c>
      <c r="K218" s="6">
        <v>0.17015618223900728</v>
      </c>
      <c r="L218" s="6">
        <v>0.27180561469343711</v>
      </c>
      <c r="M218" s="7">
        <v>0.22203548587673419</v>
      </c>
    </row>
    <row r="219" spans="3:13" x14ac:dyDescent="0.25">
      <c r="C219" s="20" t="s">
        <v>11</v>
      </c>
      <c r="D219" s="25" t="str">
        <f t="shared" si="127"/>
        <v>Agr</v>
      </c>
      <c r="E219" s="5">
        <v>0.40293345063286862</v>
      </c>
      <c r="F219" s="6">
        <v>0.52902521110070966</v>
      </c>
      <c r="G219" s="6">
        <v>0.60409879631123586</v>
      </c>
      <c r="H219" s="6">
        <v>0.46159412091404489</v>
      </c>
      <c r="I219" s="6">
        <v>0.60669789821081099</v>
      </c>
      <c r="J219" s="6">
        <v>0.34867200867256209</v>
      </c>
      <c r="K219" s="6">
        <v>1.4184627101280476</v>
      </c>
      <c r="L219" s="6">
        <v>0.52033242237752086</v>
      </c>
      <c r="M219" s="7">
        <v>0.57901915263449621</v>
      </c>
    </row>
    <row r="220" spans="3:13" x14ac:dyDescent="0.25">
      <c r="C220" s="20" t="s">
        <v>11</v>
      </c>
      <c r="D220" s="25" t="str">
        <f t="shared" si="127"/>
        <v>Ind</v>
      </c>
      <c r="E220" s="5">
        <v>0.20042537569264549</v>
      </c>
      <c r="F220" s="6">
        <v>0.34409063121383471</v>
      </c>
      <c r="G220" s="6">
        <v>0.23581449290397671</v>
      </c>
      <c r="H220" s="6">
        <v>0.29124892529465257</v>
      </c>
      <c r="I220" s="6">
        <v>0.2130844503383694</v>
      </c>
      <c r="J220" s="6">
        <v>0.18461230033660359</v>
      </c>
      <c r="K220" s="6">
        <v>0.2686897030251208</v>
      </c>
      <c r="L220" s="6">
        <v>1.3681972210657698</v>
      </c>
      <c r="M220" s="7">
        <v>0.24170255899829285</v>
      </c>
    </row>
    <row r="221" spans="3:13" x14ac:dyDescent="0.25">
      <c r="C221" s="20" t="s">
        <v>11</v>
      </c>
      <c r="D221" s="25" t="str">
        <f t="shared" si="127"/>
        <v>Serv</v>
      </c>
      <c r="E221" s="9">
        <v>0.34804306874836005</v>
      </c>
      <c r="F221" s="10">
        <v>0.2212128798983716</v>
      </c>
      <c r="G221" s="10">
        <v>0.32977388762624943</v>
      </c>
      <c r="H221" s="10">
        <v>0.30334800601332146</v>
      </c>
      <c r="I221" s="10">
        <v>0.21708474602085134</v>
      </c>
      <c r="J221" s="10">
        <v>0.1939881691503598</v>
      </c>
      <c r="K221" s="10">
        <v>0.20792126359338686</v>
      </c>
      <c r="L221" s="10">
        <v>0.20851838919684088</v>
      </c>
      <c r="M221" s="11">
        <v>1.3500094124555113</v>
      </c>
    </row>
    <row r="223" spans="3:13" x14ac:dyDescent="0.25">
      <c r="E223" s="16"/>
      <c r="F223" s="16"/>
      <c r="G223" s="18"/>
      <c r="I223" s="16"/>
      <c r="L223" s="16"/>
    </row>
    <row r="224" spans="3:13" x14ac:dyDescent="0.25">
      <c r="E224" s="16"/>
      <c r="F224" s="16"/>
      <c r="G224" s="18"/>
      <c r="I224" s="16"/>
      <c r="L224" s="16"/>
    </row>
    <row r="225" spans="5:12" x14ac:dyDescent="0.25">
      <c r="E225" s="16"/>
      <c r="F225" s="16"/>
      <c r="G225" s="18"/>
      <c r="I225" s="16"/>
      <c r="L225" s="16"/>
    </row>
    <row r="226" spans="5:12" x14ac:dyDescent="0.25">
      <c r="E226" s="16"/>
      <c r="F226" s="16"/>
      <c r="G226" s="18"/>
      <c r="I226" s="16"/>
      <c r="L226" s="16"/>
    </row>
    <row r="227" spans="5:12" x14ac:dyDescent="0.25">
      <c r="E227" s="16"/>
      <c r="F227" s="16"/>
      <c r="G227" s="18"/>
      <c r="I227" s="16"/>
      <c r="L227" s="16"/>
    </row>
    <row r="228" spans="5:12" x14ac:dyDescent="0.25">
      <c r="E228" s="16"/>
      <c r="F228" s="16"/>
      <c r="G228" s="18"/>
      <c r="I228" s="16"/>
      <c r="L228" s="16"/>
    </row>
    <row r="229" spans="5:12" x14ac:dyDescent="0.25">
      <c r="E229" s="16"/>
      <c r="F229" s="16"/>
      <c r="G229" s="18"/>
      <c r="I229" s="16"/>
      <c r="L229" s="16"/>
    </row>
    <row r="230" spans="5:12" x14ac:dyDescent="0.25">
      <c r="E230" s="16"/>
      <c r="F230" s="16"/>
      <c r="G230" s="18"/>
      <c r="I230" s="16"/>
      <c r="L230" s="16"/>
    </row>
    <row r="231" spans="5:12" x14ac:dyDescent="0.25">
      <c r="E231" s="16"/>
      <c r="F231" s="16"/>
      <c r="G231" s="18"/>
      <c r="I231" s="16"/>
      <c r="L231" s="16"/>
    </row>
    <row r="234" spans="5:12" x14ac:dyDescent="0.25">
      <c r="E234" s="16"/>
    </row>
    <row r="235" spans="5:12" x14ac:dyDescent="0.25">
      <c r="E235" s="16"/>
      <c r="F235" s="18"/>
    </row>
    <row r="236" spans="5:12" x14ac:dyDescent="0.25">
      <c r="E236" s="16"/>
      <c r="F236" s="18"/>
    </row>
    <row r="237" spans="5:12" x14ac:dyDescent="0.25">
      <c r="E237" s="16"/>
      <c r="F237" s="18"/>
    </row>
    <row r="238" spans="5:12" x14ac:dyDescent="0.25">
      <c r="E238" s="16"/>
      <c r="F238" s="18"/>
    </row>
    <row r="239" spans="5:12" x14ac:dyDescent="0.25">
      <c r="E239" s="16"/>
      <c r="F239" s="18"/>
    </row>
    <row r="240" spans="5:12" x14ac:dyDescent="0.25">
      <c r="E240" s="16"/>
      <c r="F240" s="18"/>
    </row>
    <row r="241" spans="5:6" x14ac:dyDescent="0.25">
      <c r="E241" s="16"/>
      <c r="F241" s="18"/>
    </row>
    <row r="242" spans="5:6" x14ac:dyDescent="0.25">
      <c r="E242" s="16"/>
      <c r="F242" s="18"/>
    </row>
    <row r="243" spans="5:6" x14ac:dyDescent="0.25">
      <c r="F243" s="18"/>
    </row>
  </sheetData>
  <conditionalFormatting sqref="E88:M88">
    <cfRule type="expression" dxfId="35" priority="2">
      <formula>E88&lt;E89</formula>
    </cfRule>
  </conditionalFormatting>
  <conditionalFormatting sqref="E89:M89">
    <cfRule type="expression" dxfId="34" priority="1">
      <formula>E89&lt;E88</formula>
    </cfRule>
  </conditionalFormatting>
  <conditionalFormatting sqref="E106:M115">
    <cfRule type="expression" dxfId="33" priority="11">
      <formula>E106&lt;0</formula>
    </cfRule>
  </conditionalFormatting>
  <conditionalFormatting sqref="E131:M133">
    <cfRule type="expression" dxfId="32" priority="9">
      <formula>E131&lt;0</formula>
    </cfRule>
  </conditionalFormatting>
  <conditionalFormatting sqref="E137:M145">
    <cfRule type="expression" dxfId="31" priority="10">
      <formula>E137&lt;0</formula>
    </cfRule>
  </conditionalFormatting>
  <conditionalFormatting sqref="N78:V8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50:V15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64:W172">
    <cfRule type="containsText" dxfId="30" priority="3" operator="containsText" text="FALSO">
      <formula>NOT(ISERROR(SEARCH("FALSO",O164)))</formula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0:W142 V136:W13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CC9C8-A6D3-4A5A-9CB0-A461C16A2D39}">
  <dimension ref="A3:AJ243"/>
  <sheetViews>
    <sheetView showGridLines="0" tabSelected="1" topLeftCell="A36" zoomScaleNormal="100" workbookViewId="0">
      <selection activeCell="I47" sqref="I47:I55"/>
    </sheetView>
  </sheetViews>
  <sheetFormatPr defaultRowHeight="15" x14ac:dyDescent="0.25"/>
  <cols>
    <col min="1" max="1" width="12.7109375" style="65" customWidth="1"/>
    <col min="2" max="14" width="12.7109375" customWidth="1"/>
    <col min="15" max="15" width="16.7109375" bestFit="1" customWidth="1"/>
    <col min="16" max="23" width="12.7109375" customWidth="1"/>
    <col min="29" max="29" width="16.28515625" bestFit="1" customWidth="1"/>
  </cols>
  <sheetData>
    <row r="3" spans="3:18" ht="15.75" thickBot="1" x14ac:dyDescent="0.3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.75" thickBot="1" x14ac:dyDescent="0.3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25">
      <c r="C5" s="20" t="s">
        <v>1</v>
      </c>
      <c r="D5" s="28" t="s">
        <v>51</v>
      </c>
      <c r="E5" s="1">
        <v>10</v>
      </c>
      <c r="F5" s="2">
        <v>5</v>
      </c>
      <c r="G5" s="2">
        <v>10</v>
      </c>
      <c r="H5" s="2">
        <v>1</v>
      </c>
      <c r="I5" s="2">
        <v>0</v>
      </c>
      <c r="J5" s="2">
        <v>8</v>
      </c>
      <c r="K5" s="2">
        <v>3</v>
      </c>
      <c r="L5" s="2">
        <v>7</v>
      </c>
      <c r="M5" s="3">
        <v>2</v>
      </c>
      <c r="N5" s="24">
        <v>25</v>
      </c>
      <c r="O5" s="29">
        <f>+SUM(E5:N5)</f>
        <v>71</v>
      </c>
      <c r="P5" s="62" cm="1">
        <f t="array" ref="P5:P13">+MMULT(E21:M29,O5:O13)</f>
        <v>46</v>
      </c>
      <c r="Q5" s="61">
        <f>+P5+N5</f>
        <v>71</v>
      </c>
      <c r="R5" s="61" t="b">
        <f>+Q5=O5</f>
        <v>1</v>
      </c>
    </row>
    <row r="6" spans="3:18" x14ac:dyDescent="0.25">
      <c r="C6" s="20" t="s">
        <v>1</v>
      </c>
      <c r="D6" s="25" t="s">
        <v>52</v>
      </c>
      <c r="E6" s="5">
        <v>8</v>
      </c>
      <c r="F6" s="6">
        <v>3</v>
      </c>
      <c r="G6" s="6">
        <v>9</v>
      </c>
      <c r="H6" s="6">
        <v>4</v>
      </c>
      <c r="I6" s="6">
        <v>2</v>
      </c>
      <c r="J6" s="6">
        <v>10</v>
      </c>
      <c r="K6" s="6">
        <v>1</v>
      </c>
      <c r="L6" s="6">
        <v>4</v>
      </c>
      <c r="M6" s="7">
        <v>7</v>
      </c>
      <c r="N6" s="8">
        <v>7</v>
      </c>
      <c r="O6" s="30">
        <f t="shared" ref="O6:O13" si="0">+SUM(E6:N6)</f>
        <v>55</v>
      </c>
      <c r="P6" s="62">
        <v>48</v>
      </c>
      <c r="Q6" s="61">
        <f t="shared" ref="Q6:Q13" si="1">+P6+N6</f>
        <v>55</v>
      </c>
      <c r="R6" s="61" t="b">
        <f t="shared" ref="R6:R13" si="2">+Q6=O6</f>
        <v>1</v>
      </c>
    </row>
    <row r="7" spans="3:18" x14ac:dyDescent="0.25">
      <c r="C7" s="20" t="s">
        <v>1</v>
      </c>
      <c r="D7" s="25" t="s">
        <v>53</v>
      </c>
      <c r="E7" s="5">
        <v>0</v>
      </c>
      <c r="F7" s="6">
        <v>0</v>
      </c>
      <c r="G7" s="6">
        <v>0</v>
      </c>
      <c r="H7" s="6">
        <v>7</v>
      </c>
      <c r="I7" s="6">
        <v>4</v>
      </c>
      <c r="J7" s="6">
        <v>4</v>
      </c>
      <c r="K7" s="6">
        <v>7</v>
      </c>
      <c r="L7" s="6">
        <v>4</v>
      </c>
      <c r="M7" s="7">
        <v>7</v>
      </c>
      <c r="N7" s="8">
        <v>14</v>
      </c>
      <c r="O7" s="30">
        <f t="shared" si="0"/>
        <v>47</v>
      </c>
      <c r="P7" s="62">
        <v>33</v>
      </c>
      <c r="Q7" s="61">
        <f t="shared" si="1"/>
        <v>47</v>
      </c>
      <c r="R7" s="61" t="b">
        <f t="shared" si="2"/>
        <v>1</v>
      </c>
    </row>
    <row r="8" spans="3:18" x14ac:dyDescent="0.25">
      <c r="C8" s="20" t="s">
        <v>10</v>
      </c>
      <c r="D8" s="25" t="str">
        <f>+D5</f>
        <v>Agr</v>
      </c>
      <c r="E8" s="5">
        <v>9</v>
      </c>
      <c r="F8" s="6">
        <v>5</v>
      </c>
      <c r="G8" s="6">
        <v>4</v>
      </c>
      <c r="H8" s="6">
        <v>7</v>
      </c>
      <c r="I8" s="6">
        <v>10</v>
      </c>
      <c r="J8" s="6">
        <v>9</v>
      </c>
      <c r="K8" s="6">
        <v>10</v>
      </c>
      <c r="L8" s="6">
        <v>9</v>
      </c>
      <c r="M8" s="7">
        <v>9</v>
      </c>
      <c r="N8" s="8">
        <v>10</v>
      </c>
      <c r="O8" s="30">
        <f t="shared" si="0"/>
        <v>82</v>
      </c>
      <c r="P8" s="62">
        <v>72</v>
      </c>
      <c r="Q8" s="61">
        <f t="shared" si="1"/>
        <v>82</v>
      </c>
      <c r="R8" s="61" t="b">
        <f t="shared" si="2"/>
        <v>1</v>
      </c>
    </row>
    <row r="9" spans="3:18" x14ac:dyDescent="0.25">
      <c r="C9" s="20" t="s">
        <v>10</v>
      </c>
      <c r="D9" s="25" t="str">
        <f t="shared" ref="D9:D13" si="3">+D6</f>
        <v>Ind</v>
      </c>
      <c r="E9" s="5">
        <v>4</v>
      </c>
      <c r="F9" s="6">
        <v>2</v>
      </c>
      <c r="G9" s="6">
        <v>3</v>
      </c>
      <c r="H9" s="6">
        <v>6</v>
      </c>
      <c r="I9" s="6">
        <v>7</v>
      </c>
      <c r="J9" s="6">
        <v>4</v>
      </c>
      <c r="K9" s="6">
        <v>9</v>
      </c>
      <c r="L9" s="6">
        <v>2</v>
      </c>
      <c r="M9" s="7">
        <v>8</v>
      </c>
      <c r="N9" s="8">
        <v>5</v>
      </c>
      <c r="O9" s="30">
        <f t="shared" si="0"/>
        <v>50</v>
      </c>
      <c r="P9" s="62">
        <v>45</v>
      </c>
      <c r="Q9" s="61">
        <f t="shared" si="1"/>
        <v>50</v>
      </c>
      <c r="R9" s="61" t="b">
        <f t="shared" si="2"/>
        <v>1</v>
      </c>
    </row>
    <row r="10" spans="3:18" x14ac:dyDescent="0.25">
      <c r="C10" s="20" t="s">
        <v>10</v>
      </c>
      <c r="D10" s="25" t="str">
        <f t="shared" si="3"/>
        <v>Serv</v>
      </c>
      <c r="E10" s="5">
        <v>6</v>
      </c>
      <c r="F10" s="6">
        <v>5</v>
      </c>
      <c r="G10" s="6">
        <v>4</v>
      </c>
      <c r="H10" s="6">
        <v>1</v>
      </c>
      <c r="I10" s="6">
        <v>9</v>
      </c>
      <c r="J10" s="6">
        <v>2</v>
      </c>
      <c r="K10" s="6">
        <v>1</v>
      </c>
      <c r="L10" s="6">
        <v>6</v>
      </c>
      <c r="M10" s="7">
        <v>1</v>
      </c>
      <c r="N10" s="8">
        <v>20</v>
      </c>
      <c r="O10" s="30">
        <f t="shared" si="0"/>
        <v>55</v>
      </c>
      <c r="P10" s="62">
        <v>35</v>
      </c>
      <c r="Q10" s="61">
        <f t="shared" si="1"/>
        <v>55</v>
      </c>
      <c r="R10" s="61" t="b">
        <f t="shared" si="2"/>
        <v>1</v>
      </c>
    </row>
    <row r="11" spans="3:18" x14ac:dyDescent="0.25">
      <c r="C11" s="20" t="s">
        <v>11</v>
      </c>
      <c r="D11" s="25" t="str">
        <f t="shared" si="3"/>
        <v>Agr</v>
      </c>
      <c r="E11" s="5">
        <v>3</v>
      </c>
      <c r="F11" s="6">
        <v>10</v>
      </c>
      <c r="G11" s="6">
        <v>8</v>
      </c>
      <c r="H11" s="6">
        <v>9</v>
      </c>
      <c r="I11" s="6">
        <v>10</v>
      </c>
      <c r="J11" s="6">
        <v>0</v>
      </c>
      <c r="K11" s="6">
        <v>7</v>
      </c>
      <c r="L11" s="6">
        <v>9</v>
      </c>
      <c r="M11" s="7">
        <v>8</v>
      </c>
      <c r="N11" s="8">
        <v>15</v>
      </c>
      <c r="O11" s="30">
        <f t="shared" si="0"/>
        <v>79</v>
      </c>
      <c r="P11" s="62">
        <v>64</v>
      </c>
      <c r="Q11" s="61">
        <f t="shared" si="1"/>
        <v>79</v>
      </c>
      <c r="R11" s="61" t="b">
        <f t="shared" si="2"/>
        <v>1</v>
      </c>
    </row>
    <row r="12" spans="3:18" x14ac:dyDescent="0.25">
      <c r="C12" s="20" t="s">
        <v>11</v>
      </c>
      <c r="D12" s="25" t="str">
        <f t="shared" si="3"/>
        <v>Ind</v>
      </c>
      <c r="E12" s="5">
        <v>1</v>
      </c>
      <c r="F12" s="6">
        <v>8</v>
      </c>
      <c r="G12" s="6">
        <v>0</v>
      </c>
      <c r="H12" s="6">
        <v>9</v>
      </c>
      <c r="I12" s="6">
        <v>0</v>
      </c>
      <c r="J12" s="6">
        <v>0</v>
      </c>
      <c r="K12" s="6">
        <v>8</v>
      </c>
      <c r="L12" s="6">
        <v>10</v>
      </c>
      <c r="M12" s="7">
        <v>1</v>
      </c>
      <c r="N12" s="8">
        <v>28</v>
      </c>
      <c r="O12" s="30">
        <f t="shared" si="0"/>
        <v>65</v>
      </c>
      <c r="P12" s="62">
        <v>37</v>
      </c>
      <c r="Q12" s="61">
        <f t="shared" si="1"/>
        <v>65</v>
      </c>
      <c r="R12" s="61" t="b">
        <f t="shared" si="2"/>
        <v>1</v>
      </c>
    </row>
    <row r="13" spans="3:18" x14ac:dyDescent="0.25">
      <c r="C13" s="20" t="s">
        <v>11</v>
      </c>
      <c r="D13" s="25" t="str">
        <f t="shared" si="3"/>
        <v>Serv</v>
      </c>
      <c r="E13" s="9">
        <v>10</v>
      </c>
      <c r="F13" s="10">
        <v>2</v>
      </c>
      <c r="G13" s="10">
        <v>4</v>
      </c>
      <c r="H13" s="10">
        <v>10</v>
      </c>
      <c r="I13" s="10">
        <v>0</v>
      </c>
      <c r="J13" s="10">
        <v>0</v>
      </c>
      <c r="K13" s="10">
        <v>3</v>
      </c>
      <c r="L13" s="10">
        <v>0</v>
      </c>
      <c r="M13" s="11">
        <v>7</v>
      </c>
      <c r="N13" s="12">
        <v>24</v>
      </c>
      <c r="O13" s="31">
        <f t="shared" si="0"/>
        <v>60</v>
      </c>
      <c r="P13" s="62">
        <v>36</v>
      </c>
      <c r="Q13" s="61">
        <f t="shared" si="1"/>
        <v>60</v>
      </c>
      <c r="R13" s="61" t="b">
        <f t="shared" si="2"/>
        <v>1</v>
      </c>
    </row>
    <row r="14" spans="3:18" x14ac:dyDescent="0.25">
      <c r="D14" s="22" t="s">
        <v>9</v>
      </c>
      <c r="E14" s="13">
        <v>20</v>
      </c>
      <c r="F14" s="14">
        <v>15</v>
      </c>
      <c r="G14" s="14">
        <v>5</v>
      </c>
      <c r="H14" s="14">
        <v>28</v>
      </c>
      <c r="I14" s="14">
        <v>8</v>
      </c>
      <c r="J14" s="14">
        <v>18</v>
      </c>
      <c r="K14" s="14">
        <v>30</v>
      </c>
      <c r="L14" s="14">
        <v>14</v>
      </c>
      <c r="M14" s="15">
        <v>10</v>
      </c>
      <c r="N14" s="19">
        <f>+SUM(E5:M13)</f>
        <v>416</v>
      </c>
      <c r="O14" s="19">
        <f>SUM(O5:O13)</f>
        <v>564</v>
      </c>
      <c r="R14" s="18"/>
    </row>
    <row r="15" spans="3:18" x14ac:dyDescent="0.25">
      <c r="D15" s="20" t="s">
        <v>8</v>
      </c>
      <c r="E15" s="13">
        <f t="shared" ref="E15:L15" si="4">SUM(E5:E14)</f>
        <v>71</v>
      </c>
      <c r="F15" s="14">
        <f t="shared" si="4"/>
        <v>55</v>
      </c>
      <c r="G15" s="14">
        <f t="shared" si="4"/>
        <v>47</v>
      </c>
      <c r="H15" s="14">
        <f t="shared" si="4"/>
        <v>82</v>
      </c>
      <c r="I15" s="14">
        <f t="shared" si="4"/>
        <v>50</v>
      </c>
      <c r="J15" s="14">
        <f t="shared" si="4"/>
        <v>55</v>
      </c>
      <c r="K15" s="14">
        <f t="shared" si="4"/>
        <v>79</v>
      </c>
      <c r="L15" s="14">
        <f t="shared" si="4"/>
        <v>65</v>
      </c>
      <c r="M15" s="15">
        <f>SUM(M5:M14)</f>
        <v>60</v>
      </c>
      <c r="R15" s="18"/>
    </row>
    <row r="16" spans="3:18" x14ac:dyDescent="0.25">
      <c r="E16" s="16" cm="1">
        <f t="array" ref="E16:M16">+TRANSPOSE(O5:O13)</f>
        <v>71</v>
      </c>
      <c r="F16" s="16">
        <v>55</v>
      </c>
      <c r="G16" s="16">
        <v>47</v>
      </c>
      <c r="H16" s="16">
        <v>82</v>
      </c>
      <c r="I16" s="16">
        <v>50</v>
      </c>
      <c r="J16" s="16">
        <v>55</v>
      </c>
      <c r="K16" s="16">
        <v>79</v>
      </c>
      <c r="L16" s="16">
        <v>65</v>
      </c>
      <c r="M16" s="16">
        <v>60</v>
      </c>
      <c r="R16" s="18"/>
    </row>
    <row r="17" spans="3:18" x14ac:dyDescent="0.25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25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.75" thickBot="1" x14ac:dyDescent="0.3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.75" thickBot="1" x14ac:dyDescent="0.3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25">
      <c r="C21" s="20" t="s">
        <v>1</v>
      </c>
      <c r="D21" s="28" t="s">
        <v>51</v>
      </c>
      <c r="E21" s="1">
        <f>+E5/E$15</f>
        <v>0.14084507042253522</v>
      </c>
      <c r="F21" s="2">
        <f t="shared" ref="F21:M21" si="6">+F5/F$15</f>
        <v>9.0909090909090912E-2</v>
      </c>
      <c r="G21" s="2">
        <f t="shared" si="6"/>
        <v>0.21276595744680851</v>
      </c>
      <c r="H21" s="2">
        <f t="shared" si="6"/>
        <v>1.2195121951219513E-2</v>
      </c>
      <c r="I21" s="2">
        <f t="shared" si="6"/>
        <v>0</v>
      </c>
      <c r="J21" s="2">
        <f t="shared" si="6"/>
        <v>0.14545454545454545</v>
      </c>
      <c r="K21" s="2">
        <f t="shared" si="6"/>
        <v>3.7974683544303799E-2</v>
      </c>
      <c r="L21" s="2">
        <f t="shared" si="6"/>
        <v>0.1076923076923077</v>
      </c>
      <c r="M21" s="3">
        <f t="shared" si="6"/>
        <v>3.3333333333333333E-2</v>
      </c>
    </row>
    <row r="22" spans="3:18" x14ac:dyDescent="0.25">
      <c r="C22" s="20" t="s">
        <v>1</v>
      </c>
      <c r="D22" s="25" t="s">
        <v>52</v>
      </c>
      <c r="E22" s="5">
        <f t="shared" ref="E22:M30" si="7">+E6/E$15</f>
        <v>0.11267605633802817</v>
      </c>
      <c r="F22" s="6">
        <f t="shared" si="7"/>
        <v>5.4545454545454543E-2</v>
      </c>
      <c r="G22" s="6">
        <f t="shared" si="7"/>
        <v>0.19148936170212766</v>
      </c>
      <c r="H22" s="6">
        <f t="shared" si="7"/>
        <v>4.878048780487805E-2</v>
      </c>
      <c r="I22" s="6">
        <f t="shared" si="7"/>
        <v>0.04</v>
      </c>
      <c r="J22" s="6">
        <f t="shared" si="7"/>
        <v>0.18181818181818182</v>
      </c>
      <c r="K22" s="6">
        <f t="shared" si="7"/>
        <v>1.2658227848101266E-2</v>
      </c>
      <c r="L22" s="6">
        <f t="shared" si="7"/>
        <v>6.1538461538461542E-2</v>
      </c>
      <c r="M22" s="7">
        <f t="shared" si="7"/>
        <v>0.11666666666666667</v>
      </c>
    </row>
    <row r="23" spans="3:18" x14ac:dyDescent="0.25">
      <c r="C23" s="20" t="s">
        <v>1</v>
      </c>
      <c r="D23" s="25" t="s">
        <v>53</v>
      </c>
      <c r="E23" s="5">
        <f t="shared" si="7"/>
        <v>0</v>
      </c>
      <c r="F23" s="6">
        <f t="shared" si="7"/>
        <v>0</v>
      </c>
      <c r="G23" s="6">
        <f t="shared" si="7"/>
        <v>0</v>
      </c>
      <c r="H23" s="6">
        <f t="shared" si="7"/>
        <v>8.5365853658536592E-2</v>
      </c>
      <c r="I23" s="6">
        <f t="shared" si="7"/>
        <v>0.08</v>
      </c>
      <c r="J23" s="6">
        <f t="shared" si="7"/>
        <v>7.2727272727272724E-2</v>
      </c>
      <c r="K23" s="6">
        <f t="shared" si="7"/>
        <v>8.8607594936708861E-2</v>
      </c>
      <c r="L23" s="6">
        <f t="shared" si="7"/>
        <v>6.1538461538461542E-2</v>
      </c>
      <c r="M23" s="7">
        <f t="shared" si="7"/>
        <v>0.11666666666666667</v>
      </c>
    </row>
    <row r="24" spans="3:18" x14ac:dyDescent="0.25">
      <c r="C24" s="20" t="s">
        <v>10</v>
      </c>
      <c r="D24" s="25" t="str">
        <f>+D21</f>
        <v>Agr</v>
      </c>
      <c r="E24" s="5">
        <f t="shared" si="7"/>
        <v>0.12676056338028169</v>
      </c>
      <c r="F24" s="6">
        <f t="shared" si="7"/>
        <v>9.0909090909090912E-2</v>
      </c>
      <c r="G24" s="6">
        <f t="shared" si="7"/>
        <v>8.5106382978723402E-2</v>
      </c>
      <c r="H24" s="6">
        <f t="shared" si="7"/>
        <v>8.5365853658536592E-2</v>
      </c>
      <c r="I24" s="6">
        <f t="shared" si="7"/>
        <v>0.2</v>
      </c>
      <c r="J24" s="6">
        <f t="shared" si="7"/>
        <v>0.16363636363636364</v>
      </c>
      <c r="K24" s="6">
        <f t="shared" si="7"/>
        <v>0.12658227848101267</v>
      </c>
      <c r="L24" s="6">
        <f t="shared" si="7"/>
        <v>0.13846153846153847</v>
      </c>
      <c r="M24" s="7">
        <f t="shared" si="7"/>
        <v>0.15</v>
      </c>
    </row>
    <row r="25" spans="3:18" x14ac:dyDescent="0.25">
      <c r="C25" s="20" t="s">
        <v>10</v>
      </c>
      <c r="D25" s="25" t="str">
        <f t="shared" ref="D25:D29" si="8">+D22</f>
        <v>Ind</v>
      </c>
      <c r="E25" s="5">
        <f t="shared" si="7"/>
        <v>5.6338028169014086E-2</v>
      </c>
      <c r="F25" s="6">
        <f t="shared" si="7"/>
        <v>3.6363636363636362E-2</v>
      </c>
      <c r="G25" s="6">
        <f t="shared" si="7"/>
        <v>6.3829787234042548E-2</v>
      </c>
      <c r="H25" s="6">
        <f t="shared" si="7"/>
        <v>7.3170731707317069E-2</v>
      </c>
      <c r="I25" s="6">
        <f t="shared" si="7"/>
        <v>0.14000000000000001</v>
      </c>
      <c r="J25" s="6">
        <f t="shared" si="7"/>
        <v>7.2727272727272724E-2</v>
      </c>
      <c r="K25" s="6">
        <f t="shared" si="7"/>
        <v>0.11392405063291139</v>
      </c>
      <c r="L25" s="6">
        <f t="shared" si="7"/>
        <v>3.0769230769230771E-2</v>
      </c>
      <c r="M25" s="7">
        <f t="shared" si="7"/>
        <v>0.13333333333333333</v>
      </c>
    </row>
    <row r="26" spans="3:18" x14ac:dyDescent="0.25">
      <c r="C26" s="20" t="s">
        <v>10</v>
      </c>
      <c r="D26" s="25" t="str">
        <f t="shared" si="8"/>
        <v>Serv</v>
      </c>
      <c r="E26" s="5">
        <f t="shared" si="7"/>
        <v>8.4507042253521125E-2</v>
      </c>
      <c r="F26" s="6">
        <f t="shared" si="7"/>
        <v>9.0909090909090912E-2</v>
      </c>
      <c r="G26" s="6">
        <f t="shared" si="7"/>
        <v>8.5106382978723402E-2</v>
      </c>
      <c r="H26" s="6">
        <f t="shared" si="7"/>
        <v>1.2195121951219513E-2</v>
      </c>
      <c r="I26" s="6">
        <f t="shared" si="7"/>
        <v>0.18</v>
      </c>
      <c r="J26" s="6">
        <f t="shared" si="7"/>
        <v>3.6363636363636362E-2</v>
      </c>
      <c r="K26" s="6">
        <f t="shared" si="7"/>
        <v>1.2658227848101266E-2</v>
      </c>
      <c r="L26" s="6">
        <f t="shared" si="7"/>
        <v>9.2307692307692313E-2</v>
      </c>
      <c r="M26" s="7">
        <f t="shared" si="7"/>
        <v>1.6666666666666666E-2</v>
      </c>
    </row>
    <row r="27" spans="3:18" x14ac:dyDescent="0.25">
      <c r="C27" s="20" t="s">
        <v>11</v>
      </c>
      <c r="D27" s="25" t="str">
        <f t="shared" si="8"/>
        <v>Agr</v>
      </c>
      <c r="E27" s="5">
        <f t="shared" si="7"/>
        <v>4.2253521126760563E-2</v>
      </c>
      <c r="F27" s="6">
        <f t="shared" si="7"/>
        <v>0.18181818181818182</v>
      </c>
      <c r="G27" s="6">
        <f t="shared" si="7"/>
        <v>0.1702127659574468</v>
      </c>
      <c r="H27" s="6">
        <f t="shared" si="7"/>
        <v>0.10975609756097561</v>
      </c>
      <c r="I27" s="6">
        <f t="shared" si="7"/>
        <v>0.2</v>
      </c>
      <c r="J27" s="6">
        <f t="shared" si="7"/>
        <v>0</v>
      </c>
      <c r="K27" s="6">
        <f t="shared" si="7"/>
        <v>8.8607594936708861E-2</v>
      </c>
      <c r="L27" s="6">
        <f t="shared" si="7"/>
        <v>0.13846153846153847</v>
      </c>
      <c r="M27" s="7">
        <f t="shared" si="7"/>
        <v>0.13333333333333333</v>
      </c>
    </row>
    <row r="28" spans="3:18" x14ac:dyDescent="0.25">
      <c r="C28" s="20" t="s">
        <v>11</v>
      </c>
      <c r="D28" s="25" t="str">
        <f t="shared" si="8"/>
        <v>Ind</v>
      </c>
      <c r="E28" s="5">
        <f t="shared" si="7"/>
        <v>1.4084507042253521E-2</v>
      </c>
      <c r="F28" s="6">
        <f t="shared" si="7"/>
        <v>0.14545454545454545</v>
      </c>
      <c r="G28" s="6">
        <f t="shared" si="7"/>
        <v>0</v>
      </c>
      <c r="H28" s="6">
        <f t="shared" si="7"/>
        <v>0.10975609756097561</v>
      </c>
      <c r="I28" s="6">
        <f t="shared" si="7"/>
        <v>0</v>
      </c>
      <c r="J28" s="6">
        <f t="shared" si="7"/>
        <v>0</v>
      </c>
      <c r="K28" s="6">
        <f t="shared" si="7"/>
        <v>0.10126582278481013</v>
      </c>
      <c r="L28" s="6">
        <f t="shared" si="7"/>
        <v>0.15384615384615385</v>
      </c>
      <c r="M28" s="7">
        <f t="shared" si="7"/>
        <v>1.6666666666666666E-2</v>
      </c>
    </row>
    <row r="29" spans="3:18" x14ac:dyDescent="0.25">
      <c r="C29" s="20" t="s">
        <v>11</v>
      </c>
      <c r="D29" s="25" t="str">
        <f t="shared" si="8"/>
        <v>Serv</v>
      </c>
      <c r="E29" s="9">
        <f t="shared" si="7"/>
        <v>0.14084507042253522</v>
      </c>
      <c r="F29" s="10">
        <f t="shared" si="7"/>
        <v>3.6363636363636362E-2</v>
      </c>
      <c r="G29" s="10">
        <f t="shared" si="7"/>
        <v>8.5106382978723402E-2</v>
      </c>
      <c r="H29" s="10">
        <f t="shared" si="7"/>
        <v>0.12195121951219512</v>
      </c>
      <c r="I29" s="10">
        <f t="shared" si="7"/>
        <v>0</v>
      </c>
      <c r="J29" s="10">
        <f t="shared" si="7"/>
        <v>0</v>
      </c>
      <c r="K29" s="10">
        <f t="shared" si="7"/>
        <v>3.7974683544303799E-2</v>
      </c>
      <c r="L29" s="10">
        <f t="shared" si="7"/>
        <v>0</v>
      </c>
      <c r="M29" s="11">
        <f t="shared" si="7"/>
        <v>0.11666666666666667</v>
      </c>
    </row>
    <row r="30" spans="3:18" x14ac:dyDescent="0.25">
      <c r="D30" s="22" t="s">
        <v>9</v>
      </c>
      <c r="E30" s="13">
        <f t="shared" si="7"/>
        <v>0.28169014084507044</v>
      </c>
      <c r="F30" s="14">
        <f t="shared" si="7"/>
        <v>0.27272727272727271</v>
      </c>
      <c r="G30" s="14">
        <f t="shared" si="7"/>
        <v>0.10638297872340426</v>
      </c>
      <c r="H30" s="14">
        <f t="shared" si="7"/>
        <v>0.34146341463414637</v>
      </c>
      <c r="I30" s="14">
        <f t="shared" si="7"/>
        <v>0.16</v>
      </c>
      <c r="J30" s="14">
        <f t="shared" si="7"/>
        <v>0.32727272727272727</v>
      </c>
      <c r="K30" s="14">
        <f t="shared" si="7"/>
        <v>0.379746835443038</v>
      </c>
      <c r="L30" s="14">
        <f t="shared" si="7"/>
        <v>0.2153846153846154</v>
      </c>
      <c r="M30" s="15">
        <f t="shared" si="7"/>
        <v>0.16666666666666666</v>
      </c>
    </row>
    <row r="31" spans="3:18" x14ac:dyDescent="0.25">
      <c r="D31" s="20" t="s">
        <v>8</v>
      </c>
      <c r="E31" s="13">
        <f t="shared" ref="E31:M31" si="9">SUM(E21:E30)</f>
        <v>1</v>
      </c>
      <c r="F31" s="14">
        <f t="shared" si="9"/>
        <v>1</v>
      </c>
      <c r="G31" s="14">
        <f t="shared" si="9"/>
        <v>1</v>
      </c>
      <c r="H31" s="14">
        <f t="shared" si="9"/>
        <v>1</v>
      </c>
      <c r="I31" s="14">
        <f t="shared" si="9"/>
        <v>1</v>
      </c>
      <c r="J31" s="14">
        <f t="shared" si="9"/>
        <v>1</v>
      </c>
      <c r="K31" s="14">
        <f t="shared" si="9"/>
        <v>1</v>
      </c>
      <c r="L31" s="14">
        <f t="shared" si="9"/>
        <v>1</v>
      </c>
      <c r="M31" s="15">
        <f t="shared" si="9"/>
        <v>1</v>
      </c>
    </row>
    <row r="34" spans="2:18" ht="15.75" thickBot="1" x14ac:dyDescent="0.3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2:18" ht="15.75" thickBot="1" x14ac:dyDescent="0.3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2:18" x14ac:dyDescent="0.25">
      <c r="C36" s="20" t="s">
        <v>1</v>
      </c>
      <c r="D36" s="28" t="s">
        <v>51</v>
      </c>
      <c r="E36" s="1" cm="1">
        <f t="array" ref="E36:M44">+MINVERSE(_xlfn.MUNIT(COUNTA($D$36:$D$44))-E21:M29)</f>
        <v>1.3396897673098553</v>
      </c>
      <c r="F36" s="2">
        <v>0.29313766151442472</v>
      </c>
      <c r="G36" s="2">
        <v>0.46062080591971027</v>
      </c>
      <c r="H36" s="2">
        <v>0.20047114765858043</v>
      </c>
      <c r="I36" s="2">
        <v>0.22471967444765886</v>
      </c>
      <c r="J36" s="2">
        <v>0.34329239630226011</v>
      </c>
      <c r="K36" s="2">
        <v>0.21398444112354956</v>
      </c>
      <c r="L36" s="2">
        <v>0.33876647757551959</v>
      </c>
      <c r="M36" s="3">
        <v>0.26323813083081754</v>
      </c>
      <c r="N36" s="16" cm="1">
        <f t="array" ref="N36:N44">+MMULT(_xlfn.ANCHORARRAY(E36),N5:N13)</f>
        <v>71</v>
      </c>
    </row>
    <row r="37" spans="2:18" x14ac:dyDescent="0.25">
      <c r="C37" s="20" t="s">
        <v>1</v>
      </c>
      <c r="D37" s="25" t="s">
        <v>52</v>
      </c>
      <c r="E37" s="5">
        <v>0.33305376452405477</v>
      </c>
      <c r="F37" s="6">
        <v>1.2588962622476694</v>
      </c>
      <c r="G37" s="6">
        <v>0.44906571639362902</v>
      </c>
      <c r="H37" s="6">
        <v>0.24914151781031268</v>
      </c>
      <c r="I37" s="6">
        <v>0.2850825641197372</v>
      </c>
      <c r="J37" s="6">
        <v>0.38551433058519635</v>
      </c>
      <c r="K37" s="6">
        <v>0.19834507137089469</v>
      </c>
      <c r="L37" s="6">
        <v>0.29225190328391093</v>
      </c>
      <c r="M37" s="7">
        <v>0.36621325203064486</v>
      </c>
      <c r="N37" s="16">
        <v>55.000000000000007</v>
      </c>
    </row>
    <row r="38" spans="2:18" x14ac:dyDescent="0.25">
      <c r="C38" s="20" t="s">
        <v>1</v>
      </c>
      <c r="D38" s="25" t="s">
        <v>53</v>
      </c>
      <c r="E38" s="5">
        <v>0.16096426404995831</v>
      </c>
      <c r="F38" s="6">
        <v>0.16098912768389811</v>
      </c>
      <c r="G38" s="6">
        <v>1.1866305477256527</v>
      </c>
      <c r="H38" s="6">
        <v>0.24266960433010817</v>
      </c>
      <c r="I38" s="6">
        <v>0.27162888961053594</v>
      </c>
      <c r="J38" s="6">
        <v>0.20593716184064856</v>
      </c>
      <c r="K38" s="6">
        <v>0.23314113071157197</v>
      </c>
      <c r="L38" s="6">
        <v>0.22869828937505449</v>
      </c>
      <c r="M38" s="7">
        <v>0.3096620435609494</v>
      </c>
      <c r="N38" s="16">
        <v>47.000000000000014</v>
      </c>
    </row>
    <row r="39" spans="2:18" x14ac:dyDescent="0.25">
      <c r="C39" s="20" t="s">
        <v>10</v>
      </c>
      <c r="D39" s="25" t="str">
        <f>+D36</f>
        <v>Agr</v>
      </c>
      <c r="E39" s="5">
        <v>0.46948940027866004</v>
      </c>
      <c r="F39" s="6">
        <v>0.42979983594636084</v>
      </c>
      <c r="G39" s="6">
        <v>0.50026321949972674</v>
      </c>
      <c r="H39" s="6">
        <v>1.4082652483739835</v>
      </c>
      <c r="I39" s="6">
        <v>0.59296552145230841</v>
      </c>
      <c r="J39" s="6">
        <v>0.47360784454465799</v>
      </c>
      <c r="K39" s="6">
        <v>0.42917417879158681</v>
      </c>
      <c r="L39" s="6">
        <v>0.50129474506177585</v>
      </c>
      <c r="M39" s="7">
        <v>0.55237410595478087</v>
      </c>
      <c r="N39" s="16">
        <v>82</v>
      </c>
    </row>
    <row r="40" spans="2:18" x14ac:dyDescent="0.25">
      <c r="C40" s="20" t="s">
        <v>10</v>
      </c>
      <c r="D40" s="25" t="str">
        <f t="shared" ref="D40:D44" si="10">+D37</f>
        <v>Ind</v>
      </c>
      <c r="E40" s="5">
        <v>0.27827723239842433</v>
      </c>
      <c r="F40" s="6">
        <v>0.24820393574606325</v>
      </c>
      <c r="G40" s="6">
        <v>0.33029476378346578</v>
      </c>
      <c r="H40" s="6">
        <v>0.28495600131722088</v>
      </c>
      <c r="I40" s="6">
        <v>1.3995953346694374</v>
      </c>
      <c r="J40" s="6">
        <v>0.26778154004367211</v>
      </c>
      <c r="K40" s="6">
        <v>0.31054185905945586</v>
      </c>
      <c r="L40" s="6">
        <v>0.25504174687087422</v>
      </c>
      <c r="M40" s="7">
        <v>0.40329377754913653</v>
      </c>
      <c r="N40" s="16">
        <v>50</v>
      </c>
    </row>
    <row r="41" spans="2:18" x14ac:dyDescent="0.25">
      <c r="C41" s="20" t="s">
        <v>10</v>
      </c>
      <c r="D41" s="25" t="str">
        <f t="shared" si="10"/>
        <v>Serv</v>
      </c>
      <c r="E41" s="5">
        <v>0.24935170583985158</v>
      </c>
      <c r="F41" s="6">
        <v>0.25257975039975866</v>
      </c>
      <c r="G41" s="6">
        <v>0.28900630839132929</v>
      </c>
      <c r="H41" s="6">
        <v>0.17116188311097175</v>
      </c>
      <c r="I41" s="6">
        <v>0.36899674724360437</v>
      </c>
      <c r="J41" s="6">
        <v>1.201756232476507</v>
      </c>
      <c r="K41" s="6">
        <v>0.16782504737118717</v>
      </c>
      <c r="L41" s="6">
        <v>0.27111308072234536</v>
      </c>
      <c r="M41" s="7">
        <v>0.21882464983647648</v>
      </c>
      <c r="N41" s="16">
        <v>55</v>
      </c>
    </row>
    <row r="42" spans="2:18" x14ac:dyDescent="0.25">
      <c r="C42" s="20" t="s">
        <v>11</v>
      </c>
      <c r="D42" s="25" t="str">
        <f t="shared" si="10"/>
        <v>Agr</v>
      </c>
      <c r="E42" s="5">
        <v>0.35214837075990457</v>
      </c>
      <c r="F42" s="6">
        <v>0.48083150088067539</v>
      </c>
      <c r="G42" s="6">
        <v>0.54248305189281365</v>
      </c>
      <c r="H42" s="6">
        <v>0.42036737225086895</v>
      </c>
      <c r="I42" s="6">
        <v>0.55309703312036218</v>
      </c>
      <c r="J42" s="6">
        <v>0.29794582387163238</v>
      </c>
      <c r="K42" s="6">
        <v>1.376639107748959</v>
      </c>
      <c r="L42" s="6">
        <v>0.46591316610695016</v>
      </c>
      <c r="M42" s="7">
        <v>0.52551986939858886</v>
      </c>
      <c r="N42" s="16">
        <v>79.000000000000014</v>
      </c>
    </row>
    <row r="43" spans="2:18" x14ac:dyDescent="0.25">
      <c r="C43" s="20" t="s">
        <v>11</v>
      </c>
      <c r="D43" s="25" t="str">
        <f t="shared" si="10"/>
        <v>Ind</v>
      </c>
      <c r="E43" s="5">
        <v>0.18895230008671562</v>
      </c>
      <c r="F43" s="6">
        <v>0.33840247482967128</v>
      </c>
      <c r="G43" s="6">
        <v>0.22055756496026482</v>
      </c>
      <c r="H43" s="6">
        <v>0.28461936418358202</v>
      </c>
      <c r="I43" s="6">
        <v>0.19938770529705943</v>
      </c>
      <c r="J43" s="6">
        <v>0.17239619825796176</v>
      </c>
      <c r="K43" s="6">
        <v>0.26168766921156789</v>
      </c>
      <c r="L43" s="6">
        <v>1.3619713120084544</v>
      </c>
      <c r="M43" s="7">
        <v>0.22783338986208793</v>
      </c>
      <c r="N43" s="16">
        <v>65</v>
      </c>
    </row>
    <row r="44" spans="2:18" x14ac:dyDescent="0.25">
      <c r="C44" s="20" t="s">
        <v>11</v>
      </c>
      <c r="D44" s="25" t="str">
        <f t="shared" si="10"/>
        <v>Serv</v>
      </c>
      <c r="E44" s="9">
        <v>0.32278455821683549</v>
      </c>
      <c r="F44" s="10">
        <v>0.19408333704833722</v>
      </c>
      <c r="G44" s="10">
        <v>0.29864603550568125</v>
      </c>
      <c r="H44" s="10">
        <v>0.27809522164442302</v>
      </c>
      <c r="I44" s="10">
        <v>0.17937871997805888</v>
      </c>
      <c r="J44" s="10">
        <v>0.16864275194250614</v>
      </c>
      <c r="K44" s="10">
        <v>0.1831797159010346</v>
      </c>
      <c r="L44" s="10">
        <v>0.17731814158643994</v>
      </c>
      <c r="M44" s="11">
        <v>1.3178105679183645</v>
      </c>
      <c r="N44" s="16">
        <v>60.000000000000021</v>
      </c>
    </row>
    <row r="45" spans="2:18" ht="15.75" thickBot="1" x14ac:dyDescent="0.3"/>
    <row r="46" spans="2:18" ht="15.75" thickBot="1" x14ac:dyDescent="0.3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2:18" x14ac:dyDescent="0.25">
      <c r="B47" s="18"/>
      <c r="C47" s="22" t="s">
        <v>1</v>
      </c>
      <c r="D47" s="28" t="s">
        <v>51</v>
      </c>
      <c r="E47" s="140">
        <f>+IO_sub_model!E47+IO_sub_model!B188</f>
        <v>0.17258461538461575</v>
      </c>
      <c r="F47" s="35">
        <f>1-E47</f>
        <v>0.82741538461538422</v>
      </c>
      <c r="G47" s="1" cm="1">
        <f t="array" ref="G47:G55">+N5:N13</f>
        <v>25</v>
      </c>
      <c r="H47" s="3">
        <f>+G47*F47</f>
        <v>20.685384615384606</v>
      </c>
      <c r="I47" s="18"/>
      <c r="J47" s="22" t="s">
        <v>1</v>
      </c>
      <c r="K47" s="28" t="s">
        <v>51</v>
      </c>
      <c r="L47" s="140">
        <f>+IO_sub_model!L47</f>
        <v>0</v>
      </c>
      <c r="M47" s="35">
        <f>1-L47</f>
        <v>1</v>
      </c>
      <c r="N47" s="1" cm="1">
        <f t="array" ref="N47:N55">+O5:O13</f>
        <v>71</v>
      </c>
      <c r="O47" s="3">
        <f>+N47*M47</f>
        <v>71</v>
      </c>
      <c r="P47" s="18"/>
      <c r="Q47" s="18"/>
      <c r="R47" s="18"/>
    </row>
    <row r="48" spans="2:18" x14ac:dyDescent="0.25">
      <c r="B48" s="18"/>
      <c r="C48" s="20" t="s">
        <v>1</v>
      </c>
      <c r="D48" s="25" t="s">
        <v>52</v>
      </c>
      <c r="E48" s="141">
        <f>+IO_sub_model!E48+IO_sub_model!B189</f>
        <v>0.47747252747252539</v>
      </c>
      <c r="F48" s="36">
        <f t="shared" ref="F48:F55" si="11">1-E48</f>
        <v>0.52252747252747467</v>
      </c>
      <c r="G48" s="5">
        <v>7</v>
      </c>
      <c r="H48" s="7">
        <f t="shared" ref="H48:H55" si="12">+G48*F48</f>
        <v>3.6576923076923227</v>
      </c>
      <c r="I48" s="18"/>
      <c r="J48" s="20" t="s">
        <v>1</v>
      </c>
      <c r="K48" s="25" t="s">
        <v>52</v>
      </c>
      <c r="L48" s="141">
        <f>+IO_sub_model!L48</f>
        <v>0</v>
      </c>
      <c r="M48" s="36">
        <f t="shared" ref="M48:M55" si="13">1-L48</f>
        <v>1</v>
      </c>
      <c r="N48" s="5">
        <v>55</v>
      </c>
      <c r="O48" s="7">
        <f t="shared" ref="O48:O55" si="14">+N48*M48</f>
        <v>55</v>
      </c>
      <c r="P48" s="18"/>
    </row>
    <row r="49" spans="1:16" x14ac:dyDescent="0.25">
      <c r="B49" s="18"/>
      <c r="C49" s="20" t="s">
        <v>1</v>
      </c>
      <c r="D49" s="25" t="s">
        <v>53</v>
      </c>
      <c r="E49" s="141">
        <f>+IO_sub_model!E49+IO_sub_model!B190</f>
        <v>2.5824175824174589E-3</v>
      </c>
      <c r="F49" s="36">
        <f t="shared" si="11"/>
        <v>0.99741758241758249</v>
      </c>
      <c r="G49" s="5">
        <v>14</v>
      </c>
      <c r="H49" s="7">
        <f t="shared" si="12"/>
        <v>13.963846153846156</v>
      </c>
      <c r="I49" s="18"/>
      <c r="J49" s="20" t="s">
        <v>1</v>
      </c>
      <c r="K49" s="25" t="s">
        <v>53</v>
      </c>
      <c r="L49" s="141">
        <f>+IO_sub_model!L49</f>
        <v>0.06</v>
      </c>
      <c r="M49" s="36">
        <f t="shared" si="13"/>
        <v>0.94</v>
      </c>
      <c r="N49" s="5">
        <v>47</v>
      </c>
      <c r="O49" s="7">
        <f t="shared" si="14"/>
        <v>44.18</v>
      </c>
      <c r="P49" s="18"/>
    </row>
    <row r="50" spans="1:16" x14ac:dyDescent="0.25">
      <c r="B50" s="18"/>
      <c r="C50" s="20" t="s">
        <v>10</v>
      </c>
      <c r="D50" s="25" t="str">
        <f>+D47</f>
        <v>Agr</v>
      </c>
      <c r="E50" s="141">
        <f>+IO_sub_model!E50+IO_sub_model!B191</f>
        <v>0</v>
      </c>
      <c r="F50" s="36">
        <f t="shared" si="11"/>
        <v>1</v>
      </c>
      <c r="G50" s="5">
        <v>10</v>
      </c>
      <c r="H50" s="7">
        <f t="shared" si="12"/>
        <v>10</v>
      </c>
      <c r="I50" s="18"/>
      <c r="J50" s="20" t="s">
        <v>10</v>
      </c>
      <c r="K50" s="25" t="str">
        <f>+K47</f>
        <v>Agr</v>
      </c>
      <c r="L50" s="141">
        <f>+IO_sub_model!L50</f>
        <v>0.1</v>
      </c>
      <c r="M50" s="36">
        <f t="shared" si="13"/>
        <v>0.9</v>
      </c>
      <c r="N50" s="5">
        <v>82</v>
      </c>
      <c r="O50" s="7">
        <f t="shared" si="14"/>
        <v>73.8</v>
      </c>
      <c r="P50" s="18"/>
    </row>
    <row r="51" spans="1:16" x14ac:dyDescent="0.25">
      <c r="B51" s="18"/>
      <c r="C51" s="20" t="s">
        <v>10</v>
      </c>
      <c r="D51" s="25" t="str">
        <f t="shared" ref="D51:D55" si="15">+D48</f>
        <v>Ind</v>
      </c>
      <c r="E51" s="141">
        <f>+IO_sub_model!E51+IO_sub_model!B192</f>
        <v>0.10769230769230802</v>
      </c>
      <c r="F51" s="36">
        <f t="shared" si="11"/>
        <v>0.89230769230769202</v>
      </c>
      <c r="G51" s="5">
        <v>5</v>
      </c>
      <c r="H51" s="7">
        <f t="shared" si="12"/>
        <v>4.4615384615384599</v>
      </c>
      <c r="I51" s="18"/>
      <c r="J51" s="20" t="s">
        <v>10</v>
      </c>
      <c r="K51" s="25" t="str">
        <f t="shared" ref="K51:K55" si="16">+K48</f>
        <v>Ind</v>
      </c>
      <c r="L51" s="141">
        <f>+IO_sub_model!L51</f>
        <v>0.05</v>
      </c>
      <c r="M51" s="36">
        <f t="shared" si="13"/>
        <v>0.95</v>
      </c>
      <c r="N51" s="5">
        <v>50</v>
      </c>
      <c r="O51" s="7">
        <f t="shared" si="14"/>
        <v>47.5</v>
      </c>
      <c r="P51" s="18"/>
    </row>
    <row r="52" spans="1:16" x14ac:dyDescent="0.25">
      <c r="B52" s="18"/>
      <c r="C52" s="20" t="s">
        <v>10</v>
      </c>
      <c r="D52" s="25" t="str">
        <f t="shared" si="15"/>
        <v>Serv</v>
      </c>
      <c r="E52" s="141">
        <f>+IO_sub_model!E52+IO_sub_model!B193</f>
        <v>0</v>
      </c>
      <c r="F52" s="36">
        <f t="shared" si="11"/>
        <v>1</v>
      </c>
      <c r="G52" s="5">
        <v>20</v>
      </c>
      <c r="H52" s="7">
        <f t="shared" si="12"/>
        <v>20</v>
      </c>
      <c r="I52" s="18"/>
      <c r="J52" s="20" t="s">
        <v>10</v>
      </c>
      <c r="K52" s="25" t="str">
        <f t="shared" si="16"/>
        <v>Serv</v>
      </c>
      <c r="L52" s="141">
        <f>+IO_sub_model!L52</f>
        <v>0.09</v>
      </c>
      <c r="M52" s="36">
        <f t="shared" si="13"/>
        <v>0.91</v>
      </c>
      <c r="N52" s="5">
        <v>55</v>
      </c>
      <c r="O52" s="7">
        <f t="shared" si="14"/>
        <v>50.050000000000004</v>
      </c>
      <c r="P52" s="18"/>
    </row>
    <row r="53" spans="1:16" x14ac:dyDescent="0.25">
      <c r="B53" s="18"/>
      <c r="C53" s="20" t="s">
        <v>11</v>
      </c>
      <c r="D53" s="25" t="str">
        <f t="shared" si="15"/>
        <v>Agr</v>
      </c>
      <c r="E53" s="141">
        <f>+IO_sub_model!E53+IO_sub_model!B194</f>
        <v>0.32005128205128225</v>
      </c>
      <c r="F53" s="36">
        <f t="shared" si="11"/>
        <v>0.67994871794871781</v>
      </c>
      <c r="G53" s="5">
        <v>15</v>
      </c>
      <c r="H53" s="7">
        <f t="shared" si="12"/>
        <v>10.199230769230766</v>
      </c>
      <c r="I53" s="18"/>
      <c r="J53" s="20" t="s">
        <v>11</v>
      </c>
      <c r="K53" s="25" t="str">
        <f t="shared" si="16"/>
        <v>Agr</v>
      </c>
      <c r="L53" s="141">
        <f>+IO_sub_model!L53</f>
        <v>0</v>
      </c>
      <c r="M53" s="36">
        <f t="shared" si="13"/>
        <v>1</v>
      </c>
      <c r="N53" s="5">
        <v>79</v>
      </c>
      <c r="O53" s="7">
        <f t="shared" si="14"/>
        <v>79</v>
      </c>
      <c r="P53" s="18"/>
    </row>
    <row r="54" spans="1:16" x14ac:dyDescent="0.25">
      <c r="B54" s="18"/>
      <c r="C54" s="20" t="s">
        <v>11</v>
      </c>
      <c r="D54" s="25" t="str">
        <f t="shared" si="15"/>
        <v>Ind</v>
      </c>
      <c r="E54" s="141">
        <f>+IO_sub_model!E54+IO_sub_model!B195</f>
        <v>4.8214285714286022E-2</v>
      </c>
      <c r="F54" s="36">
        <f t="shared" si="11"/>
        <v>0.95178571428571401</v>
      </c>
      <c r="G54" s="5">
        <v>28</v>
      </c>
      <c r="H54" s="7">
        <f t="shared" si="12"/>
        <v>26.649999999999991</v>
      </c>
      <c r="I54" s="18"/>
      <c r="J54" s="20" t="s">
        <v>11</v>
      </c>
      <c r="K54" s="25" t="str">
        <f t="shared" si="16"/>
        <v>Ind</v>
      </c>
      <c r="L54" s="141">
        <f>+IO_sub_model!L54</f>
        <v>0.04</v>
      </c>
      <c r="M54" s="36">
        <f t="shared" si="13"/>
        <v>0.96</v>
      </c>
      <c r="N54" s="5">
        <v>65</v>
      </c>
      <c r="O54" s="7">
        <f t="shared" si="14"/>
        <v>62.4</v>
      </c>
      <c r="P54" s="18"/>
    </row>
    <row r="55" spans="1:16" x14ac:dyDescent="0.25">
      <c r="B55" s="18"/>
      <c r="C55" s="20" t="s">
        <v>11</v>
      </c>
      <c r="D55" s="25" t="str">
        <f t="shared" si="15"/>
        <v>Serv</v>
      </c>
      <c r="E55" s="142">
        <f>+IO_sub_model!E55+IO_sub_model!B196</f>
        <v>0.15192307692307713</v>
      </c>
      <c r="F55" s="37">
        <f t="shared" si="11"/>
        <v>0.84807692307692284</v>
      </c>
      <c r="G55" s="9">
        <v>24</v>
      </c>
      <c r="H55" s="11">
        <f t="shared" si="12"/>
        <v>20.353846153846149</v>
      </c>
      <c r="I55" s="18"/>
      <c r="J55" s="20" t="s">
        <v>11</v>
      </c>
      <c r="K55" s="25" t="str">
        <f t="shared" si="16"/>
        <v>Serv</v>
      </c>
      <c r="L55" s="142">
        <f>+IO_sub_model!L55</f>
        <v>0</v>
      </c>
      <c r="M55" s="37">
        <f t="shared" si="13"/>
        <v>1</v>
      </c>
      <c r="N55" s="9">
        <v>60</v>
      </c>
      <c r="O55" s="11">
        <f t="shared" si="14"/>
        <v>60</v>
      </c>
      <c r="P55" s="18"/>
    </row>
    <row r="56" spans="1:16" x14ac:dyDescent="0.25">
      <c r="G56" s="13">
        <f t="shared" ref="G56:H56" si="17">SUM(G47:G55)</f>
        <v>148</v>
      </c>
      <c r="H56" s="15">
        <f t="shared" si="17"/>
        <v>129.97153846153844</v>
      </c>
      <c r="N56" s="13">
        <f t="shared" ref="N56:O56" si="18">SUM(N47:N55)</f>
        <v>564</v>
      </c>
      <c r="O56" s="15">
        <f t="shared" si="18"/>
        <v>542.93000000000006</v>
      </c>
    </row>
    <row r="57" spans="1:16" x14ac:dyDescent="0.25">
      <c r="H57" s="18">
        <f>+H56-G56</f>
        <v>-18.028461538461556</v>
      </c>
      <c r="O57" s="18">
        <f>+O56-N56</f>
        <v>-21.069999999999936</v>
      </c>
    </row>
    <row r="58" spans="1:16" x14ac:dyDescent="0.25">
      <c r="A58" s="66"/>
    </row>
    <row r="59" spans="1:16" x14ac:dyDescent="0.25">
      <c r="A59" s="68" t="s">
        <v>30</v>
      </c>
      <c r="E59" s="20" t="s">
        <v>20</v>
      </c>
      <c r="F59" s="20" t="str" cm="1">
        <f t="array" ref="F59:F68">+O46:O55</f>
        <v>x_max</v>
      </c>
      <c r="G59" s="20" t="s">
        <v>3</v>
      </c>
    </row>
    <row r="60" spans="1:16" x14ac:dyDescent="0.25">
      <c r="A60" s="67"/>
      <c r="C60" s="20" t="s">
        <v>1</v>
      </c>
      <c r="D60" s="28" t="s">
        <v>51</v>
      </c>
      <c r="E60" s="4" cm="1">
        <f t="array" ref="E60:E68">+MMULT(_xlfn.ANCHORARRAY(E36),H47:H55)</f>
        <v>61.65791015427083</v>
      </c>
      <c r="F60" s="4">
        <v>71</v>
      </c>
      <c r="G60" s="40">
        <f>+MIN(F60/E60,1)</f>
        <v>1</v>
      </c>
      <c r="H60" s="18"/>
      <c r="I60" s="18"/>
    </row>
    <row r="61" spans="1:16" x14ac:dyDescent="0.25">
      <c r="C61" s="20" t="s">
        <v>1</v>
      </c>
      <c r="D61" s="25" t="s">
        <v>52</v>
      </c>
      <c r="E61" s="8">
        <v>46.503622151115295</v>
      </c>
      <c r="F61" s="8">
        <v>55</v>
      </c>
      <c r="G61" s="41">
        <f t="shared" ref="G61:G68" si="19">+MIN(F61/E61,1)</f>
        <v>1</v>
      </c>
      <c r="H61" s="18"/>
      <c r="I61" s="18"/>
    </row>
    <row r="62" spans="1:16" x14ac:dyDescent="0.25">
      <c r="C62" s="20" t="s">
        <v>1</v>
      </c>
      <c r="D62" s="25" t="s">
        <v>53</v>
      </c>
      <c r="E62" s="8">
        <v>43.021188033525945</v>
      </c>
      <c r="F62" s="8">
        <v>44.18</v>
      </c>
      <c r="G62" s="41">
        <f t="shared" si="19"/>
        <v>1</v>
      </c>
      <c r="H62" s="18"/>
      <c r="I62" s="18"/>
    </row>
    <row r="63" spans="1:16" x14ac:dyDescent="0.25">
      <c r="C63" s="20" t="s">
        <v>10</v>
      </c>
      <c r="D63" s="25" t="str">
        <f>+D60</f>
        <v>Agr</v>
      </c>
      <c r="E63" s="8">
        <v>73.449279877438144</v>
      </c>
      <c r="F63" s="8">
        <v>73.8</v>
      </c>
      <c r="G63" s="41">
        <f t="shared" si="19"/>
        <v>1</v>
      </c>
      <c r="H63" s="18"/>
      <c r="I63" s="18"/>
    </row>
    <row r="64" spans="1:16" x14ac:dyDescent="0.25">
      <c r="C64" s="20" t="s">
        <v>10</v>
      </c>
      <c r="D64" s="25" t="str">
        <f t="shared" ref="D64:D68" si="20">+D61</f>
        <v>Ind</v>
      </c>
      <c r="E64" s="8">
        <v>43.898579846740624</v>
      </c>
      <c r="F64" s="8">
        <v>47.5</v>
      </c>
      <c r="G64" s="41">
        <f t="shared" si="19"/>
        <v>1</v>
      </c>
      <c r="H64" s="18"/>
      <c r="I64" s="18"/>
    </row>
    <row r="65" spans="1:22" x14ac:dyDescent="0.25">
      <c r="C65" s="20" t="s">
        <v>10</v>
      </c>
      <c r="D65" s="25" t="str">
        <f t="shared" si="20"/>
        <v>Serv</v>
      </c>
      <c r="E65" s="8">
        <v>50.901244484120163</v>
      </c>
      <c r="F65" s="8">
        <v>50.050000000000004</v>
      </c>
      <c r="G65" s="41">
        <f t="shared" si="19"/>
        <v>0.9832765486827002</v>
      </c>
      <c r="H65" s="18"/>
      <c r="I65" s="18"/>
    </row>
    <row r="66" spans="1:22" x14ac:dyDescent="0.25">
      <c r="C66" s="20" t="s">
        <v>11</v>
      </c>
      <c r="D66" s="25" t="str">
        <f t="shared" si="20"/>
        <v>Agr</v>
      </c>
      <c r="E66" s="8">
        <v>66.402058331945909</v>
      </c>
      <c r="F66" s="8">
        <v>79</v>
      </c>
      <c r="G66" s="41">
        <f t="shared" si="19"/>
        <v>1</v>
      </c>
      <c r="H66" s="18"/>
      <c r="I66" s="18"/>
    </row>
    <row r="67" spans="1:22" x14ac:dyDescent="0.25">
      <c r="C67" s="20" t="s">
        <v>11</v>
      </c>
      <c r="D67" s="25" t="str">
        <f t="shared" si="20"/>
        <v>Ind</v>
      </c>
      <c r="E67" s="8">
        <v>59.01268271719006</v>
      </c>
      <c r="F67" s="8">
        <v>62.4</v>
      </c>
      <c r="G67" s="41">
        <f t="shared" si="19"/>
        <v>1</v>
      </c>
      <c r="H67" s="18"/>
      <c r="I67" s="18"/>
    </row>
    <row r="68" spans="1:22" x14ac:dyDescent="0.25">
      <c r="C68" s="20" t="s">
        <v>11</v>
      </c>
      <c r="D68" s="25" t="str">
        <f t="shared" si="20"/>
        <v>Serv</v>
      </c>
      <c r="E68" s="12">
        <v>51.927513698829031</v>
      </c>
      <c r="F68" s="12">
        <v>60</v>
      </c>
      <c r="G68" s="42">
        <f t="shared" si="19"/>
        <v>1</v>
      </c>
      <c r="H68" s="18"/>
      <c r="I68" s="18"/>
    </row>
    <row r="69" spans="1:22" x14ac:dyDescent="0.25">
      <c r="A69" s="66"/>
    </row>
    <row r="70" spans="1:22" x14ac:dyDescent="0.25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22" x14ac:dyDescent="0.25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22" x14ac:dyDescent="0.25">
      <c r="C72" t="s">
        <v>25</v>
      </c>
      <c r="D72" s="20" t="s">
        <v>4</v>
      </c>
      <c r="E72" s="43" cm="1">
        <f t="array" ref="E72">+MIN(_xlfn._xlws.FILTER($G$60:$G$68,E21:E29&gt;0))</f>
        <v>0.9832765486827002</v>
      </c>
      <c r="F72" s="44" cm="1">
        <f t="array" ref="F72">+MIN(_xlfn._xlws.FILTER($G$60:$G$68,F21:F29&gt;0))</f>
        <v>0.9832765486827002</v>
      </c>
      <c r="G72" s="44" cm="1">
        <f t="array" ref="G72">+MIN(_xlfn._xlws.FILTER($G$60:$G$68,G21:G29&gt;0))</f>
        <v>0.9832765486827002</v>
      </c>
      <c r="H72" s="44" cm="1">
        <f t="array" ref="H72">+MIN(_xlfn._xlws.FILTER($G$60:$G$68,H21:H29&gt;0))</f>
        <v>0.9832765486827002</v>
      </c>
      <c r="I72" s="44" cm="1">
        <f t="array" ref="I72">+MIN(_xlfn._xlws.FILTER($G$60:$G$68,I21:I29&gt;0))</f>
        <v>0.9832765486827002</v>
      </c>
      <c r="J72" s="44" cm="1">
        <f t="array" ref="J72">+MIN(_xlfn._xlws.FILTER($G$60:$G$68,J21:J29&gt;0))</f>
        <v>0.9832765486827002</v>
      </c>
      <c r="K72" s="44" cm="1">
        <f t="array" ref="K72">+MIN(_xlfn._xlws.FILTER($G$60:$G$68,K21:K29&gt;0))</f>
        <v>0.9832765486827002</v>
      </c>
      <c r="L72" s="44" cm="1">
        <f t="array" ref="L72">+MIN(_xlfn._xlws.FILTER($G$60:$G$68,L21:L29&gt;0))</f>
        <v>0.9832765486827002</v>
      </c>
      <c r="M72" s="45" cm="1">
        <f t="array" ref="M72">+MIN(_xlfn._xlws.FILTER($G$60:$G$68,M21:M29&gt;0))</f>
        <v>0.9832765486827002</v>
      </c>
    </row>
    <row r="73" spans="1:22" ht="15.75" thickBot="1" x14ac:dyDescent="0.3">
      <c r="C73" t="s">
        <v>26</v>
      </c>
      <c r="D73" s="49" t="s">
        <v>18</v>
      </c>
      <c r="E73" s="50" cm="1">
        <f t="array" ref="E73:M73">+TRANSPOSE(M47:M55)</f>
        <v>1</v>
      </c>
      <c r="F73" s="51">
        <v>1</v>
      </c>
      <c r="G73" s="51">
        <v>0.94</v>
      </c>
      <c r="H73" s="51">
        <v>0.9</v>
      </c>
      <c r="I73" s="51">
        <v>0.95</v>
      </c>
      <c r="J73" s="51">
        <v>0.91</v>
      </c>
      <c r="K73" s="51">
        <v>1</v>
      </c>
      <c r="L73" s="51">
        <v>0.96</v>
      </c>
      <c r="M73" s="52">
        <v>1</v>
      </c>
    </row>
    <row r="74" spans="1:22" x14ac:dyDescent="0.25">
      <c r="D74" s="22" t="s">
        <v>22</v>
      </c>
      <c r="E74" s="46">
        <f>+MIN(E72:E73)</f>
        <v>0.9832765486827002</v>
      </c>
      <c r="F74" s="47">
        <f t="shared" ref="F74:M74" si="21">+MIN(F72:F73)</f>
        <v>0.9832765486827002</v>
      </c>
      <c r="G74" s="47">
        <f t="shared" si="21"/>
        <v>0.94</v>
      </c>
      <c r="H74" s="47">
        <f t="shared" si="21"/>
        <v>0.9</v>
      </c>
      <c r="I74" s="47">
        <f t="shared" si="21"/>
        <v>0.95</v>
      </c>
      <c r="J74" s="47">
        <f t="shared" si="21"/>
        <v>0.91</v>
      </c>
      <c r="K74" s="47">
        <f t="shared" si="21"/>
        <v>0.9832765486827002</v>
      </c>
      <c r="L74" s="47">
        <f t="shared" si="21"/>
        <v>0.96</v>
      </c>
      <c r="M74" s="48">
        <f t="shared" si="21"/>
        <v>0.9832765486827002</v>
      </c>
    </row>
    <row r="75" spans="1:22" x14ac:dyDescent="0.25">
      <c r="A75" s="66"/>
    </row>
    <row r="76" spans="1:22" ht="15.75" thickBot="1" x14ac:dyDescent="0.3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22" ht="15.75" thickBot="1" x14ac:dyDescent="0.3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22" x14ac:dyDescent="0.25">
      <c r="B78" s="63" cm="1">
        <f t="array" ref="B78:B86">+TRANSPOSE(E74:M74)</f>
        <v>0.9832765486827002</v>
      </c>
      <c r="C78" s="20" t="s">
        <v>1</v>
      </c>
      <c r="D78" s="28" t="s">
        <v>51</v>
      </c>
      <c r="E78" s="1">
        <f>+E5*$B78</f>
        <v>9.832765486827002</v>
      </c>
      <c r="F78" s="2">
        <f t="shared" ref="F78:M78" si="22">+F5*$B78</f>
        <v>4.916382743413501</v>
      </c>
      <c r="G78" s="2">
        <f t="shared" si="22"/>
        <v>9.832765486827002</v>
      </c>
      <c r="H78" s="2">
        <f t="shared" si="22"/>
        <v>0.9832765486827002</v>
      </c>
      <c r="I78" s="2">
        <f t="shared" si="22"/>
        <v>0</v>
      </c>
      <c r="J78" s="2">
        <f t="shared" si="22"/>
        <v>7.8662123894616016</v>
      </c>
      <c r="K78" s="2">
        <f t="shared" si="22"/>
        <v>2.9498296460481006</v>
      </c>
      <c r="L78" s="2">
        <f t="shared" si="22"/>
        <v>6.8829358407789014</v>
      </c>
      <c r="M78" s="3">
        <f t="shared" si="22"/>
        <v>1.9665530973654004</v>
      </c>
      <c r="N78" s="18"/>
      <c r="O78" s="18"/>
      <c r="P78" s="18"/>
      <c r="Q78" s="18"/>
      <c r="R78" s="18"/>
      <c r="S78" s="18"/>
      <c r="T78" s="18"/>
      <c r="U78" s="18"/>
      <c r="V78" s="18"/>
    </row>
    <row r="79" spans="1:22" x14ac:dyDescent="0.25">
      <c r="B79" s="30">
        <v>0.9832765486827002</v>
      </c>
      <c r="C79" s="20" t="s">
        <v>1</v>
      </c>
      <c r="D79" s="25" t="s">
        <v>52</v>
      </c>
      <c r="E79" s="5">
        <f t="shared" ref="E79:M86" si="23">+E6*$B79</f>
        <v>7.8662123894616016</v>
      </c>
      <c r="F79" s="6">
        <f t="shared" si="23"/>
        <v>2.9498296460481006</v>
      </c>
      <c r="G79" s="6">
        <f t="shared" si="23"/>
        <v>8.8494889381443009</v>
      </c>
      <c r="H79" s="6">
        <f t="shared" si="23"/>
        <v>3.9331061947308008</v>
      </c>
      <c r="I79" s="6">
        <f t="shared" si="23"/>
        <v>1.9665530973654004</v>
      </c>
      <c r="J79" s="6">
        <f t="shared" si="23"/>
        <v>9.832765486827002</v>
      </c>
      <c r="K79" s="6">
        <f t="shared" si="23"/>
        <v>0.9832765486827002</v>
      </c>
      <c r="L79" s="6">
        <f t="shared" si="23"/>
        <v>3.9331061947308008</v>
      </c>
      <c r="M79" s="7">
        <f t="shared" si="23"/>
        <v>6.8829358407789014</v>
      </c>
      <c r="N79" s="18"/>
      <c r="O79" s="18"/>
      <c r="P79" s="18"/>
      <c r="Q79" s="18"/>
      <c r="R79" s="18"/>
      <c r="S79" s="18"/>
      <c r="T79" s="18"/>
      <c r="U79" s="18"/>
      <c r="V79" s="18"/>
    </row>
    <row r="80" spans="1:22" x14ac:dyDescent="0.25">
      <c r="B80" s="30">
        <v>0.94</v>
      </c>
      <c r="C80" s="20" t="s">
        <v>1</v>
      </c>
      <c r="D80" s="25" t="s">
        <v>53</v>
      </c>
      <c r="E80" s="5">
        <f t="shared" si="23"/>
        <v>0</v>
      </c>
      <c r="F80" s="6">
        <f t="shared" si="23"/>
        <v>0</v>
      </c>
      <c r="G80" s="6">
        <f t="shared" si="23"/>
        <v>0</v>
      </c>
      <c r="H80" s="6">
        <f t="shared" si="23"/>
        <v>6.58</v>
      </c>
      <c r="I80" s="6">
        <f t="shared" si="23"/>
        <v>3.76</v>
      </c>
      <c r="J80" s="6">
        <f t="shared" si="23"/>
        <v>3.76</v>
      </c>
      <c r="K80" s="6">
        <f t="shared" si="23"/>
        <v>6.58</v>
      </c>
      <c r="L80" s="6">
        <f t="shared" si="23"/>
        <v>3.76</v>
      </c>
      <c r="M80" s="7">
        <f t="shared" si="23"/>
        <v>6.58</v>
      </c>
      <c r="N80" s="18"/>
      <c r="O80" s="18"/>
      <c r="P80" s="18"/>
      <c r="Q80" s="18"/>
      <c r="R80" s="18"/>
      <c r="S80" s="18"/>
      <c r="T80" s="18"/>
      <c r="U80" s="18"/>
      <c r="V80" s="18"/>
    </row>
    <row r="81" spans="1:22" x14ac:dyDescent="0.25">
      <c r="B81" s="30">
        <v>0.9</v>
      </c>
      <c r="C81" s="20" t="s">
        <v>10</v>
      </c>
      <c r="D81" s="25" t="str">
        <f>+D78</f>
        <v>Agr</v>
      </c>
      <c r="E81" s="5">
        <f t="shared" si="23"/>
        <v>8.1</v>
      </c>
      <c r="F81" s="6">
        <f t="shared" si="23"/>
        <v>4.5</v>
      </c>
      <c r="G81" s="6">
        <f t="shared" si="23"/>
        <v>3.6</v>
      </c>
      <c r="H81" s="6">
        <f t="shared" si="23"/>
        <v>6.3</v>
      </c>
      <c r="I81" s="6">
        <f t="shared" si="23"/>
        <v>9</v>
      </c>
      <c r="J81" s="6">
        <f t="shared" si="23"/>
        <v>8.1</v>
      </c>
      <c r="K81" s="6">
        <f t="shared" si="23"/>
        <v>9</v>
      </c>
      <c r="L81" s="6">
        <f t="shared" si="23"/>
        <v>8.1</v>
      </c>
      <c r="M81" s="7">
        <f t="shared" si="23"/>
        <v>8.1</v>
      </c>
      <c r="N81" s="18"/>
      <c r="O81" s="18"/>
      <c r="P81" s="18"/>
      <c r="Q81" s="18"/>
      <c r="R81" s="18"/>
      <c r="S81" s="18"/>
      <c r="T81" s="18"/>
      <c r="U81" s="18"/>
      <c r="V81" s="18"/>
    </row>
    <row r="82" spans="1:22" x14ac:dyDescent="0.25">
      <c r="B82" s="30">
        <v>0.95</v>
      </c>
      <c r="C82" s="20" t="s">
        <v>10</v>
      </c>
      <c r="D82" s="25" t="str">
        <f t="shared" ref="D82:D86" si="24">+D79</f>
        <v>Ind</v>
      </c>
      <c r="E82" s="5">
        <f t="shared" si="23"/>
        <v>3.8</v>
      </c>
      <c r="F82" s="6">
        <f t="shared" si="23"/>
        <v>1.9</v>
      </c>
      <c r="G82" s="6">
        <f t="shared" si="23"/>
        <v>2.8499999999999996</v>
      </c>
      <c r="H82" s="6">
        <f t="shared" si="23"/>
        <v>5.6999999999999993</v>
      </c>
      <c r="I82" s="6">
        <f t="shared" si="23"/>
        <v>6.6499999999999995</v>
      </c>
      <c r="J82" s="6">
        <f t="shared" si="23"/>
        <v>3.8</v>
      </c>
      <c r="K82" s="6">
        <f t="shared" si="23"/>
        <v>8.5499999999999989</v>
      </c>
      <c r="L82" s="6">
        <f t="shared" si="23"/>
        <v>1.9</v>
      </c>
      <c r="M82" s="7">
        <f t="shared" si="23"/>
        <v>7.6</v>
      </c>
      <c r="N82" s="18"/>
      <c r="O82" s="18"/>
      <c r="P82" s="18"/>
      <c r="Q82" s="18"/>
      <c r="R82" s="18"/>
      <c r="S82" s="18"/>
      <c r="T82" s="18"/>
      <c r="U82" s="18"/>
      <c r="V82" s="18"/>
    </row>
    <row r="83" spans="1:22" x14ac:dyDescent="0.25">
      <c r="B83" s="30">
        <v>0.91</v>
      </c>
      <c r="C83" s="20" t="s">
        <v>10</v>
      </c>
      <c r="D83" s="25" t="str">
        <f t="shared" si="24"/>
        <v>Serv</v>
      </c>
      <c r="E83" s="5">
        <f t="shared" si="23"/>
        <v>5.46</v>
      </c>
      <c r="F83" s="6">
        <f t="shared" si="23"/>
        <v>4.55</v>
      </c>
      <c r="G83" s="6">
        <f t="shared" si="23"/>
        <v>3.64</v>
      </c>
      <c r="H83" s="6">
        <f t="shared" si="23"/>
        <v>0.91</v>
      </c>
      <c r="I83" s="6">
        <f t="shared" si="23"/>
        <v>8.19</v>
      </c>
      <c r="J83" s="6">
        <f t="shared" si="23"/>
        <v>1.82</v>
      </c>
      <c r="K83" s="6">
        <f t="shared" si="23"/>
        <v>0.91</v>
      </c>
      <c r="L83" s="6">
        <f t="shared" si="23"/>
        <v>5.46</v>
      </c>
      <c r="M83" s="7">
        <f t="shared" si="23"/>
        <v>0.91</v>
      </c>
      <c r="N83" s="18"/>
      <c r="O83" s="18"/>
      <c r="P83" s="18"/>
      <c r="Q83" s="18"/>
      <c r="R83" s="18"/>
      <c r="S83" s="18"/>
      <c r="T83" s="18"/>
      <c r="U83" s="18"/>
      <c r="V83" s="18"/>
    </row>
    <row r="84" spans="1:22" x14ac:dyDescent="0.25">
      <c r="B84" s="30">
        <v>0.9832765486827002</v>
      </c>
      <c r="C84" s="20" t="s">
        <v>11</v>
      </c>
      <c r="D84" s="25" t="str">
        <f t="shared" si="24"/>
        <v>Agr</v>
      </c>
      <c r="E84" s="5">
        <f t="shared" si="23"/>
        <v>2.9498296460481006</v>
      </c>
      <c r="F84" s="6">
        <f t="shared" si="23"/>
        <v>9.832765486827002</v>
      </c>
      <c r="G84" s="6">
        <f t="shared" si="23"/>
        <v>7.8662123894616016</v>
      </c>
      <c r="H84" s="6">
        <f t="shared" si="23"/>
        <v>8.8494889381443009</v>
      </c>
      <c r="I84" s="6">
        <f t="shared" si="23"/>
        <v>9.832765486827002</v>
      </c>
      <c r="J84" s="6">
        <f t="shared" si="23"/>
        <v>0</v>
      </c>
      <c r="K84" s="6">
        <f t="shared" si="23"/>
        <v>6.8829358407789014</v>
      </c>
      <c r="L84" s="6">
        <f t="shared" si="23"/>
        <v>8.8494889381443009</v>
      </c>
      <c r="M84" s="7">
        <f t="shared" si="23"/>
        <v>7.8662123894616016</v>
      </c>
      <c r="N84" s="18"/>
      <c r="O84" s="18"/>
      <c r="P84" s="18"/>
      <c r="Q84" s="18"/>
      <c r="R84" s="18"/>
      <c r="S84" s="18"/>
      <c r="T84" s="18"/>
      <c r="U84" s="18"/>
      <c r="V84" s="18"/>
    </row>
    <row r="85" spans="1:22" x14ac:dyDescent="0.25">
      <c r="B85" s="30">
        <v>0.96</v>
      </c>
      <c r="C85" s="20" t="s">
        <v>11</v>
      </c>
      <c r="D85" s="25" t="str">
        <f t="shared" si="24"/>
        <v>Ind</v>
      </c>
      <c r="E85" s="5">
        <f t="shared" si="23"/>
        <v>0.96</v>
      </c>
      <c r="F85" s="6">
        <f t="shared" si="23"/>
        <v>7.68</v>
      </c>
      <c r="G85" s="6">
        <f t="shared" si="23"/>
        <v>0</v>
      </c>
      <c r="H85" s="6">
        <f t="shared" si="23"/>
        <v>8.64</v>
      </c>
      <c r="I85" s="6">
        <f t="shared" si="23"/>
        <v>0</v>
      </c>
      <c r="J85" s="6">
        <f t="shared" si="23"/>
        <v>0</v>
      </c>
      <c r="K85" s="6">
        <f t="shared" si="23"/>
        <v>7.68</v>
      </c>
      <c r="L85" s="6">
        <f t="shared" si="23"/>
        <v>9.6</v>
      </c>
      <c r="M85" s="7">
        <f t="shared" si="23"/>
        <v>0.96</v>
      </c>
      <c r="N85" s="18"/>
      <c r="O85" s="18"/>
      <c r="P85" s="18"/>
      <c r="Q85" s="18"/>
      <c r="R85" s="18"/>
      <c r="S85" s="18"/>
      <c r="T85" s="18"/>
      <c r="U85" s="18"/>
      <c r="V85" s="18"/>
    </row>
    <row r="86" spans="1:22" x14ac:dyDescent="0.25">
      <c r="B86" s="31">
        <v>0.9832765486827002</v>
      </c>
      <c r="C86" s="20" t="s">
        <v>11</v>
      </c>
      <c r="D86" s="25" t="str">
        <f t="shared" si="24"/>
        <v>Serv</v>
      </c>
      <c r="E86" s="9">
        <f t="shared" si="23"/>
        <v>9.832765486827002</v>
      </c>
      <c r="F86" s="10">
        <f t="shared" si="23"/>
        <v>1.9665530973654004</v>
      </c>
      <c r="G86" s="10">
        <f t="shared" si="23"/>
        <v>3.9331061947308008</v>
      </c>
      <c r="H86" s="10">
        <f t="shared" si="23"/>
        <v>9.832765486827002</v>
      </c>
      <c r="I86" s="10">
        <f t="shared" si="23"/>
        <v>0</v>
      </c>
      <c r="J86" s="10">
        <f t="shared" si="23"/>
        <v>0</v>
      </c>
      <c r="K86" s="10">
        <f t="shared" si="23"/>
        <v>2.9498296460481006</v>
      </c>
      <c r="L86" s="10">
        <f t="shared" si="23"/>
        <v>0</v>
      </c>
      <c r="M86" s="11">
        <f t="shared" si="23"/>
        <v>6.8829358407789014</v>
      </c>
      <c r="N86" s="18"/>
      <c r="O86" s="18"/>
      <c r="P86" s="18"/>
      <c r="Q86" s="18"/>
      <c r="R86" s="18"/>
      <c r="S86" s="18"/>
      <c r="T86" s="18"/>
      <c r="U86" s="18"/>
      <c r="V86" s="18"/>
    </row>
    <row r="87" spans="1:22" x14ac:dyDescent="0.25">
      <c r="N87" s="19">
        <f>+SUM(E78:M86)</f>
        <v>396.6956504444438</v>
      </c>
    </row>
    <row r="88" spans="1:22" x14ac:dyDescent="0.25">
      <c r="D88" s="20" t="str" cm="1">
        <f t="array" ref="D88:M89">+TRANSPOSE(E59:F68)</f>
        <v>x_md</v>
      </c>
      <c r="E88" s="43">
        <v>61.65791015427083</v>
      </c>
      <c r="F88" s="44">
        <v>46.503622151115295</v>
      </c>
      <c r="G88" s="44">
        <v>43.021188033525945</v>
      </c>
      <c r="H88" s="44">
        <v>73.449279877438144</v>
      </c>
      <c r="I88" s="44">
        <v>43.898579846740624</v>
      </c>
      <c r="J88" s="44">
        <v>50.901244484120163</v>
      </c>
      <c r="K88" s="44">
        <v>66.402058331945909</v>
      </c>
      <c r="L88" s="44">
        <v>59.01268271719006</v>
      </c>
      <c r="M88" s="45">
        <v>51.927513698829031</v>
      </c>
    </row>
    <row r="89" spans="1:22" ht="15.75" thickBot="1" x14ac:dyDescent="0.3">
      <c r="D89" s="49" t="str">
        <v>x_max</v>
      </c>
      <c r="E89" s="50">
        <v>71</v>
      </c>
      <c r="F89" s="51">
        <v>55</v>
      </c>
      <c r="G89" s="51">
        <v>44.18</v>
      </c>
      <c r="H89" s="51">
        <v>73.8</v>
      </c>
      <c r="I89" s="51">
        <v>47.5</v>
      </c>
      <c r="J89" s="51">
        <v>50.050000000000004</v>
      </c>
      <c r="K89" s="51">
        <v>79</v>
      </c>
      <c r="L89" s="51">
        <v>62.4</v>
      </c>
      <c r="M89" s="52">
        <v>60</v>
      </c>
    </row>
    <row r="90" spans="1:22" x14ac:dyDescent="0.25">
      <c r="D90" s="22" t="s">
        <v>60</v>
      </c>
      <c r="E90" s="46">
        <f>+MIN(E88:E89)</f>
        <v>61.65791015427083</v>
      </c>
      <c r="F90" s="47">
        <f t="shared" ref="F90:M90" si="25">+MIN(F88:F89)</f>
        <v>46.503622151115295</v>
      </c>
      <c r="G90" s="47">
        <f t="shared" si="25"/>
        <v>43.021188033525945</v>
      </c>
      <c r="H90" s="47">
        <f t="shared" si="25"/>
        <v>73.449279877438144</v>
      </c>
      <c r="I90" s="47">
        <f t="shared" si="25"/>
        <v>43.898579846740624</v>
      </c>
      <c r="J90" s="47">
        <f t="shared" si="25"/>
        <v>50.050000000000004</v>
      </c>
      <c r="K90" s="47">
        <f t="shared" si="25"/>
        <v>66.402058331945909</v>
      </c>
      <c r="L90" s="47">
        <f t="shared" si="25"/>
        <v>59.01268271719006</v>
      </c>
      <c r="M90" s="48">
        <f t="shared" si="25"/>
        <v>51.927513698829031</v>
      </c>
      <c r="N90" s="19">
        <f>+SUM(E90:M90)</f>
        <v>495.92283481105585</v>
      </c>
    </row>
    <row r="91" spans="1:22" x14ac:dyDescent="0.25">
      <c r="A91" s="66"/>
    </row>
    <row r="92" spans="1:22" ht="15.75" thickBot="1" x14ac:dyDescent="0.3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22" ht="75.75" thickBot="1" x14ac:dyDescent="0.3">
      <c r="A93" s="67"/>
      <c r="C93" s="98" t="s">
        <v>54</v>
      </c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22" x14ac:dyDescent="0.25">
      <c r="C94" s="20" t="s">
        <v>1</v>
      </c>
      <c r="D94" s="28" t="s">
        <v>51</v>
      </c>
      <c r="E94" s="1">
        <f>+E21*E$88</f>
        <v>8.6842126977846252</v>
      </c>
      <c r="F94" s="2">
        <f t="shared" ref="F94:M94" si="26">+F21*F$88</f>
        <v>4.2276020137377541</v>
      </c>
      <c r="G94" s="2">
        <f t="shared" si="26"/>
        <v>9.1534442624523287</v>
      </c>
      <c r="H94" s="2">
        <f t="shared" si="26"/>
        <v>0.89572292533461151</v>
      </c>
      <c r="I94" s="2">
        <f t="shared" si="26"/>
        <v>0</v>
      </c>
      <c r="J94" s="2">
        <f t="shared" si="26"/>
        <v>7.4038173795083866</v>
      </c>
      <c r="K94" s="2">
        <f t="shared" si="26"/>
        <v>2.5215971518460472</v>
      </c>
      <c r="L94" s="2">
        <f t="shared" si="26"/>
        <v>6.355211984928161</v>
      </c>
      <c r="M94" s="3">
        <f t="shared" si="26"/>
        <v>1.730917123294301</v>
      </c>
      <c r="N94" s="19"/>
      <c r="O94" s="19"/>
      <c r="P94" s="19"/>
      <c r="Q94" s="19"/>
      <c r="R94" s="19"/>
      <c r="S94" s="19"/>
      <c r="T94" s="19"/>
      <c r="U94" s="19"/>
      <c r="V94" s="19"/>
    </row>
    <row r="95" spans="1:22" x14ac:dyDescent="0.25">
      <c r="C95" s="20" t="s">
        <v>1</v>
      </c>
      <c r="D95" s="25" t="s">
        <v>52</v>
      </c>
      <c r="E95" s="5">
        <f t="shared" ref="E95:M102" si="27">+E22*E$88</f>
        <v>6.9473701582276997</v>
      </c>
      <c r="F95" s="6">
        <f t="shared" si="27"/>
        <v>2.5365612082426523</v>
      </c>
      <c r="G95" s="6">
        <f t="shared" si="27"/>
        <v>8.2380998362070965</v>
      </c>
      <c r="H95" s="6">
        <f t="shared" si="27"/>
        <v>3.582891701338446</v>
      </c>
      <c r="I95" s="6">
        <f t="shared" si="27"/>
        <v>1.7559431938696251</v>
      </c>
      <c r="J95" s="6">
        <f t="shared" si="27"/>
        <v>9.2547717243854848</v>
      </c>
      <c r="K95" s="6">
        <f t="shared" si="27"/>
        <v>0.84053238394868235</v>
      </c>
      <c r="L95" s="6">
        <f t="shared" si="27"/>
        <v>3.6315497056732347</v>
      </c>
      <c r="M95" s="7">
        <f t="shared" si="27"/>
        <v>6.0582099315300537</v>
      </c>
      <c r="N95" s="19"/>
      <c r="O95" s="19"/>
      <c r="P95" s="19"/>
      <c r="Q95" s="19"/>
      <c r="R95" s="19"/>
      <c r="S95" s="19"/>
      <c r="T95" s="19"/>
      <c r="U95" s="19"/>
      <c r="V95" s="19"/>
    </row>
    <row r="96" spans="1:22" x14ac:dyDescent="0.25">
      <c r="C96" s="20" t="s">
        <v>1</v>
      </c>
      <c r="D96" s="25" t="s">
        <v>53</v>
      </c>
      <c r="E96" s="5">
        <f t="shared" si="27"/>
        <v>0</v>
      </c>
      <c r="F96" s="6">
        <f t="shared" si="27"/>
        <v>0</v>
      </c>
      <c r="G96" s="6">
        <f t="shared" si="27"/>
        <v>0</v>
      </c>
      <c r="H96" s="6">
        <f t="shared" si="27"/>
        <v>6.2700604773422812</v>
      </c>
      <c r="I96" s="6">
        <f t="shared" si="27"/>
        <v>3.5118863877392501</v>
      </c>
      <c r="J96" s="6">
        <f t="shared" si="27"/>
        <v>3.7019086897541933</v>
      </c>
      <c r="K96" s="6">
        <f t="shared" si="27"/>
        <v>5.8837266876407766</v>
      </c>
      <c r="L96" s="6">
        <f t="shared" si="27"/>
        <v>3.6315497056732347</v>
      </c>
      <c r="M96" s="7">
        <f t="shared" si="27"/>
        <v>6.0582099315300537</v>
      </c>
      <c r="N96" s="19"/>
      <c r="O96" s="19"/>
      <c r="P96" s="19"/>
      <c r="Q96" s="19"/>
      <c r="R96" s="19"/>
      <c r="S96" s="19"/>
      <c r="T96" s="19"/>
      <c r="U96" s="19"/>
      <c r="V96" s="19"/>
    </row>
    <row r="97" spans="3:36" x14ac:dyDescent="0.25">
      <c r="C97" s="20" t="s">
        <v>10</v>
      </c>
      <c r="D97" s="25" t="str">
        <f>+D94</f>
        <v>Agr</v>
      </c>
      <c r="E97" s="5">
        <f t="shared" si="27"/>
        <v>7.8157914280061611</v>
      </c>
      <c r="F97" s="6">
        <f t="shared" si="27"/>
        <v>4.2276020137377541</v>
      </c>
      <c r="G97" s="6">
        <f t="shared" si="27"/>
        <v>3.6613777049809313</v>
      </c>
      <c r="H97" s="6">
        <f t="shared" si="27"/>
        <v>6.2700604773422812</v>
      </c>
      <c r="I97" s="6">
        <f t="shared" si="27"/>
        <v>8.7797159693481248</v>
      </c>
      <c r="J97" s="6">
        <f t="shared" si="27"/>
        <v>8.3292945519469352</v>
      </c>
      <c r="K97" s="6">
        <f t="shared" si="27"/>
        <v>8.4053238394868242</v>
      </c>
      <c r="L97" s="6">
        <f t="shared" si="27"/>
        <v>8.1709868377647776</v>
      </c>
      <c r="M97" s="7">
        <f t="shared" si="27"/>
        <v>7.7891270548243545</v>
      </c>
      <c r="N97" s="19"/>
      <c r="O97" s="19"/>
      <c r="P97" s="19"/>
      <c r="Q97" s="19"/>
      <c r="R97" s="19"/>
      <c r="S97" s="19"/>
      <c r="T97" s="19"/>
      <c r="U97" s="19"/>
      <c r="V97" s="19"/>
    </row>
    <row r="98" spans="3:36" x14ac:dyDescent="0.25">
      <c r="C98" s="20" t="s">
        <v>10</v>
      </c>
      <c r="D98" s="25" t="str">
        <f t="shared" ref="D98:D102" si="28">+D95</f>
        <v>Ind</v>
      </c>
      <c r="E98" s="5">
        <f t="shared" si="27"/>
        <v>3.4736850791138498</v>
      </c>
      <c r="F98" s="6">
        <f t="shared" si="27"/>
        <v>1.6910408054951016</v>
      </c>
      <c r="G98" s="6">
        <f t="shared" si="27"/>
        <v>2.7460332787356982</v>
      </c>
      <c r="H98" s="6">
        <f t="shared" si="27"/>
        <v>5.3743375520076686</v>
      </c>
      <c r="I98" s="6">
        <f t="shared" si="27"/>
        <v>6.1458011785436879</v>
      </c>
      <c r="J98" s="6">
        <f t="shared" si="27"/>
        <v>3.7019086897541933</v>
      </c>
      <c r="K98" s="6">
        <f t="shared" si="27"/>
        <v>7.564791455538141</v>
      </c>
      <c r="L98" s="6">
        <f t="shared" si="27"/>
        <v>1.8157748528366173</v>
      </c>
      <c r="M98" s="7">
        <f t="shared" si="27"/>
        <v>6.9236684931772041</v>
      </c>
      <c r="N98" s="19"/>
      <c r="O98" s="19"/>
      <c r="P98" s="19"/>
      <c r="Q98" s="19"/>
      <c r="R98" s="19"/>
      <c r="S98" s="19"/>
      <c r="T98" s="19"/>
      <c r="U98" s="19"/>
      <c r="V98" s="19"/>
    </row>
    <row r="99" spans="3:36" x14ac:dyDescent="0.25">
      <c r="C99" s="20" t="s">
        <v>10</v>
      </c>
      <c r="D99" s="25" t="str">
        <f t="shared" si="28"/>
        <v>Serv</v>
      </c>
      <c r="E99" s="5">
        <f t="shared" si="27"/>
        <v>5.2105276186707741</v>
      </c>
      <c r="F99" s="6">
        <f t="shared" si="27"/>
        <v>4.2276020137377541</v>
      </c>
      <c r="G99" s="6">
        <f t="shared" si="27"/>
        <v>3.6613777049809313</v>
      </c>
      <c r="H99" s="6">
        <f t="shared" si="27"/>
        <v>0.89572292533461151</v>
      </c>
      <c r="I99" s="6">
        <f t="shared" si="27"/>
        <v>7.9017443724133116</v>
      </c>
      <c r="J99" s="6">
        <f t="shared" si="27"/>
        <v>1.8509543448770966</v>
      </c>
      <c r="K99" s="6">
        <f t="shared" si="27"/>
        <v>0.84053238394868235</v>
      </c>
      <c r="L99" s="6">
        <f t="shared" si="27"/>
        <v>5.4473245585098518</v>
      </c>
      <c r="M99" s="7">
        <f t="shared" si="27"/>
        <v>0.86545856164715051</v>
      </c>
      <c r="N99" s="19"/>
      <c r="O99" s="19"/>
      <c r="P99" s="19"/>
      <c r="Q99" s="19"/>
      <c r="R99" s="19"/>
      <c r="S99" s="19"/>
      <c r="T99" s="19"/>
      <c r="U99" s="19"/>
      <c r="V99" s="19"/>
    </row>
    <row r="100" spans="3:36" x14ac:dyDescent="0.25">
      <c r="C100" s="20" t="s">
        <v>11</v>
      </c>
      <c r="D100" s="25" t="str">
        <f t="shared" si="28"/>
        <v>Agr</v>
      </c>
      <c r="E100" s="5">
        <f t="shared" si="27"/>
        <v>2.605263809335387</v>
      </c>
      <c r="F100" s="6">
        <f t="shared" si="27"/>
        <v>8.4552040274755083</v>
      </c>
      <c r="G100" s="6">
        <f t="shared" si="27"/>
        <v>7.3227554099618626</v>
      </c>
      <c r="H100" s="6">
        <f t="shared" si="27"/>
        <v>8.0615063280115038</v>
      </c>
      <c r="I100" s="6">
        <f t="shared" si="27"/>
        <v>8.7797159693481248</v>
      </c>
      <c r="J100" s="6">
        <f t="shared" si="27"/>
        <v>0</v>
      </c>
      <c r="K100" s="6">
        <f t="shared" si="27"/>
        <v>5.8837266876407766</v>
      </c>
      <c r="L100" s="6">
        <f t="shared" si="27"/>
        <v>8.1709868377647776</v>
      </c>
      <c r="M100" s="7">
        <f t="shared" si="27"/>
        <v>6.9236684931772041</v>
      </c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3:36" x14ac:dyDescent="0.25">
      <c r="C101" s="20" t="s">
        <v>11</v>
      </c>
      <c r="D101" s="25" t="str">
        <f t="shared" si="28"/>
        <v>Ind</v>
      </c>
      <c r="E101" s="5">
        <f t="shared" si="27"/>
        <v>0.86842126977846246</v>
      </c>
      <c r="F101" s="6">
        <f t="shared" si="27"/>
        <v>6.7641632219804064</v>
      </c>
      <c r="G101" s="6">
        <f t="shared" si="27"/>
        <v>0</v>
      </c>
      <c r="H101" s="6">
        <f t="shared" si="27"/>
        <v>8.0615063280115038</v>
      </c>
      <c r="I101" s="6">
        <f t="shared" si="27"/>
        <v>0</v>
      </c>
      <c r="J101" s="6">
        <f t="shared" si="27"/>
        <v>0</v>
      </c>
      <c r="K101" s="6">
        <f t="shared" si="27"/>
        <v>6.7242590715894588</v>
      </c>
      <c r="L101" s="6">
        <f t="shared" si="27"/>
        <v>9.0788742641830869</v>
      </c>
      <c r="M101" s="7">
        <f t="shared" si="27"/>
        <v>0.86545856164715051</v>
      </c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3:36" x14ac:dyDescent="0.25">
      <c r="C102" s="20" t="s">
        <v>11</v>
      </c>
      <c r="D102" s="25" t="str">
        <f t="shared" si="28"/>
        <v>Serv</v>
      </c>
      <c r="E102" s="9">
        <f t="shared" si="27"/>
        <v>8.6842126977846252</v>
      </c>
      <c r="F102" s="10">
        <f t="shared" si="27"/>
        <v>1.6910408054951016</v>
      </c>
      <c r="G102" s="10">
        <f t="shared" si="27"/>
        <v>3.6613777049809313</v>
      </c>
      <c r="H102" s="10">
        <f t="shared" si="27"/>
        <v>8.9572292533461155</v>
      </c>
      <c r="I102" s="10">
        <f t="shared" si="27"/>
        <v>0</v>
      </c>
      <c r="J102" s="10">
        <f t="shared" si="27"/>
        <v>0</v>
      </c>
      <c r="K102" s="10">
        <f t="shared" si="27"/>
        <v>2.5215971518460472</v>
      </c>
      <c r="L102" s="10">
        <f t="shared" si="27"/>
        <v>0</v>
      </c>
      <c r="M102" s="11">
        <f t="shared" si="27"/>
        <v>6.0582099315300537</v>
      </c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3:36" x14ac:dyDescent="0.25">
      <c r="N103" s="19">
        <f>+SUM(E94:M102)</f>
        <v>366.80254083363747</v>
      </c>
    </row>
    <row r="104" spans="3:36" ht="15.75" thickBot="1" x14ac:dyDescent="0.3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36" ht="15.75" thickBot="1" x14ac:dyDescent="0.3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36" x14ac:dyDescent="0.25">
      <c r="C106" s="20" t="s">
        <v>1</v>
      </c>
      <c r="D106" s="28" t="s">
        <v>51</v>
      </c>
      <c r="E106" s="1">
        <f>+MAX(E94-E78,0)</f>
        <v>0</v>
      </c>
      <c r="F106" s="2">
        <f t="shared" ref="F106:M106" si="29">+MAX(F94-F78,0)</f>
        <v>0</v>
      </c>
      <c r="G106" s="2">
        <f t="shared" si="29"/>
        <v>0</v>
      </c>
      <c r="H106" s="2">
        <f t="shared" si="29"/>
        <v>0</v>
      </c>
      <c r="I106" s="2">
        <f t="shared" si="29"/>
        <v>0</v>
      </c>
      <c r="J106" s="2">
        <f t="shared" si="29"/>
        <v>0</v>
      </c>
      <c r="K106" s="2">
        <f t="shared" si="29"/>
        <v>0</v>
      </c>
      <c r="L106" s="2">
        <f t="shared" si="29"/>
        <v>0</v>
      </c>
      <c r="M106" s="3">
        <f t="shared" si="29"/>
        <v>0</v>
      </c>
      <c r="N106" s="53">
        <f>+SUM(E106:M106)</f>
        <v>0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6"/>
      <c r="Y106" s="16"/>
      <c r="Z106" s="16"/>
      <c r="AA106" s="16"/>
      <c r="AB106" s="16"/>
      <c r="AC106" s="16"/>
      <c r="AD106" s="16"/>
      <c r="AE106" s="16"/>
      <c r="AF106" s="16"/>
      <c r="AG106" s="18"/>
      <c r="AH106" s="18"/>
      <c r="AI106" s="18"/>
      <c r="AJ106" s="18"/>
    </row>
    <row r="107" spans="3:36" x14ac:dyDescent="0.25">
      <c r="C107" s="20" t="s">
        <v>1</v>
      </c>
      <c r="D107" s="25" t="s">
        <v>52</v>
      </c>
      <c r="E107" s="5">
        <f t="shared" ref="E107:M114" si="30">+MAX(E95-E79,0)</f>
        <v>0</v>
      </c>
      <c r="F107" s="6">
        <f t="shared" si="30"/>
        <v>0</v>
      </c>
      <c r="G107" s="6">
        <f t="shared" si="30"/>
        <v>0</v>
      </c>
      <c r="H107" s="6">
        <f t="shared" si="30"/>
        <v>0</v>
      </c>
      <c r="I107" s="6">
        <f t="shared" si="30"/>
        <v>0</v>
      </c>
      <c r="J107" s="6">
        <f t="shared" si="30"/>
        <v>0</v>
      </c>
      <c r="K107" s="6">
        <f t="shared" si="30"/>
        <v>0</v>
      </c>
      <c r="L107" s="6">
        <f t="shared" si="30"/>
        <v>0</v>
      </c>
      <c r="M107" s="7">
        <f t="shared" si="30"/>
        <v>0</v>
      </c>
      <c r="N107" s="8">
        <f t="shared" ref="N107:N114" si="31">+SUM(E107:M107)</f>
        <v>0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6"/>
      <c r="Y107" s="16"/>
      <c r="Z107" s="16"/>
      <c r="AA107" s="16"/>
      <c r="AB107" s="16"/>
      <c r="AC107" s="16"/>
      <c r="AD107" s="16"/>
      <c r="AE107" s="16"/>
      <c r="AF107" s="16"/>
      <c r="AG107" s="18"/>
      <c r="AH107" s="18"/>
      <c r="AI107" s="18"/>
      <c r="AJ107" s="18"/>
    </row>
    <row r="108" spans="3:36" x14ac:dyDescent="0.25">
      <c r="C108" s="20" t="s">
        <v>1</v>
      </c>
      <c r="D108" s="25" t="s">
        <v>53</v>
      </c>
      <c r="E108" s="5">
        <f t="shared" si="30"/>
        <v>0</v>
      </c>
      <c r="F108" s="6">
        <f t="shared" si="30"/>
        <v>0</v>
      </c>
      <c r="G108" s="6">
        <f t="shared" si="30"/>
        <v>0</v>
      </c>
      <c r="H108" s="6">
        <f t="shared" si="30"/>
        <v>0</v>
      </c>
      <c r="I108" s="6">
        <f t="shared" si="30"/>
        <v>0</v>
      </c>
      <c r="J108" s="6">
        <f t="shared" si="30"/>
        <v>0</v>
      </c>
      <c r="K108" s="6">
        <f t="shared" si="30"/>
        <v>0</v>
      </c>
      <c r="L108" s="6">
        <f t="shared" si="30"/>
        <v>0</v>
      </c>
      <c r="M108" s="7">
        <f t="shared" si="30"/>
        <v>0</v>
      </c>
      <c r="N108" s="8">
        <f t="shared" si="31"/>
        <v>0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6"/>
      <c r="Y108" s="16"/>
      <c r="Z108" s="16"/>
      <c r="AA108" s="16"/>
      <c r="AB108" s="16"/>
      <c r="AC108" s="16"/>
      <c r="AD108" s="16"/>
      <c r="AE108" s="16"/>
      <c r="AF108" s="16"/>
      <c r="AG108" s="18"/>
      <c r="AH108" s="18"/>
      <c r="AI108" s="18"/>
      <c r="AJ108" s="18"/>
    </row>
    <row r="109" spans="3:36" x14ac:dyDescent="0.25">
      <c r="C109" s="20" t="s">
        <v>10</v>
      </c>
      <c r="D109" s="25" t="str">
        <f>+D106</f>
        <v>Agr</v>
      </c>
      <c r="E109" s="5">
        <f t="shared" si="30"/>
        <v>0</v>
      </c>
      <c r="F109" s="6">
        <f t="shared" si="30"/>
        <v>0</v>
      </c>
      <c r="G109" s="6">
        <f t="shared" si="30"/>
        <v>6.1377704980931203E-2</v>
      </c>
      <c r="H109" s="6">
        <f t="shared" si="30"/>
        <v>0</v>
      </c>
      <c r="I109" s="6">
        <f t="shared" si="30"/>
        <v>0</v>
      </c>
      <c r="J109" s="6">
        <f t="shared" si="30"/>
        <v>0.2292945519469356</v>
      </c>
      <c r="K109" s="6">
        <f t="shared" si="30"/>
        <v>0</v>
      </c>
      <c r="L109" s="6">
        <f t="shared" si="30"/>
        <v>7.0986837764777988E-2</v>
      </c>
      <c r="M109" s="7">
        <f t="shared" si="30"/>
        <v>0</v>
      </c>
      <c r="N109" s="8">
        <f t="shared" si="31"/>
        <v>0.36165909469264479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6"/>
      <c r="Y109" s="16"/>
      <c r="Z109" s="16"/>
      <c r="AA109" s="16"/>
      <c r="AB109" s="16"/>
      <c r="AC109" s="16"/>
      <c r="AD109" s="16"/>
      <c r="AE109" s="16"/>
      <c r="AF109" s="16"/>
      <c r="AG109" s="18"/>
      <c r="AH109" s="18"/>
      <c r="AI109" s="18"/>
      <c r="AJ109" s="18"/>
    </row>
    <row r="110" spans="3:36" x14ac:dyDescent="0.25">
      <c r="C110" s="20" t="s">
        <v>10</v>
      </c>
      <c r="D110" s="25" t="str">
        <f t="shared" ref="D110:D114" si="32">+D107</f>
        <v>Ind</v>
      </c>
      <c r="E110" s="5">
        <f t="shared" si="30"/>
        <v>0</v>
      </c>
      <c r="F110" s="6">
        <f t="shared" si="30"/>
        <v>0</v>
      </c>
      <c r="G110" s="6">
        <f t="shared" si="30"/>
        <v>0</v>
      </c>
      <c r="H110" s="6">
        <f t="shared" si="30"/>
        <v>0</v>
      </c>
      <c r="I110" s="6">
        <f t="shared" si="30"/>
        <v>0</v>
      </c>
      <c r="J110" s="6">
        <f t="shared" si="30"/>
        <v>0</v>
      </c>
      <c r="K110" s="6">
        <f t="shared" si="30"/>
        <v>0</v>
      </c>
      <c r="L110" s="6">
        <f t="shared" si="30"/>
        <v>0</v>
      </c>
      <c r="M110" s="7">
        <f t="shared" si="30"/>
        <v>0</v>
      </c>
      <c r="N110" s="8">
        <f t="shared" si="31"/>
        <v>0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6"/>
      <c r="Y110" s="16"/>
      <c r="Z110" s="16"/>
      <c r="AA110" s="16"/>
      <c r="AB110" s="16"/>
      <c r="AC110" s="16"/>
      <c r="AD110" s="16"/>
      <c r="AE110" s="16"/>
      <c r="AF110" s="16"/>
      <c r="AG110" s="18"/>
      <c r="AH110" s="18"/>
      <c r="AI110" s="18"/>
      <c r="AJ110" s="18"/>
    </row>
    <row r="111" spans="3:36" x14ac:dyDescent="0.25">
      <c r="C111" s="20" t="s">
        <v>10</v>
      </c>
      <c r="D111" s="25" t="str">
        <f t="shared" si="32"/>
        <v>Serv</v>
      </c>
      <c r="E111" s="5">
        <f t="shared" si="30"/>
        <v>0</v>
      </c>
      <c r="F111" s="6">
        <f t="shared" si="30"/>
        <v>0</v>
      </c>
      <c r="G111" s="6">
        <f t="shared" si="30"/>
        <v>2.1377704980931167E-2</v>
      </c>
      <c r="H111" s="6">
        <f t="shared" si="30"/>
        <v>0</v>
      </c>
      <c r="I111" s="6">
        <f t="shared" si="30"/>
        <v>0</v>
      </c>
      <c r="J111" s="6">
        <f t="shared" si="30"/>
        <v>3.0954344877096585E-2</v>
      </c>
      <c r="K111" s="6">
        <f t="shared" si="30"/>
        <v>0</v>
      </c>
      <c r="L111" s="6">
        <f t="shared" si="30"/>
        <v>0</v>
      </c>
      <c r="M111" s="7">
        <f t="shared" si="30"/>
        <v>0</v>
      </c>
      <c r="N111" s="8">
        <f t="shared" si="31"/>
        <v>5.2332049858027752E-2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6"/>
      <c r="Y111" s="16"/>
      <c r="Z111" s="16"/>
      <c r="AA111" s="16"/>
      <c r="AB111" s="16"/>
      <c r="AC111" s="16"/>
      <c r="AD111" s="16"/>
      <c r="AE111" s="16"/>
      <c r="AF111" s="16"/>
      <c r="AG111" s="18"/>
      <c r="AH111" s="18"/>
      <c r="AI111" s="18"/>
      <c r="AJ111" s="18"/>
    </row>
    <row r="112" spans="3:36" x14ac:dyDescent="0.25">
      <c r="C112" s="20" t="s">
        <v>11</v>
      </c>
      <c r="D112" s="25" t="str">
        <f t="shared" si="32"/>
        <v>Agr</v>
      </c>
      <c r="E112" s="5">
        <f t="shared" si="30"/>
        <v>0</v>
      </c>
      <c r="F112" s="6">
        <f t="shared" si="30"/>
        <v>0</v>
      </c>
      <c r="G112" s="6">
        <f t="shared" si="30"/>
        <v>0</v>
      </c>
      <c r="H112" s="6">
        <f t="shared" si="30"/>
        <v>0</v>
      </c>
      <c r="I112" s="6">
        <f t="shared" si="30"/>
        <v>0</v>
      </c>
      <c r="J112" s="6">
        <f t="shared" si="30"/>
        <v>0</v>
      </c>
      <c r="K112" s="6">
        <f t="shared" si="30"/>
        <v>0</v>
      </c>
      <c r="L112" s="6">
        <f t="shared" si="30"/>
        <v>0</v>
      </c>
      <c r="M112" s="7">
        <f t="shared" si="30"/>
        <v>0</v>
      </c>
      <c r="N112" s="8">
        <f t="shared" si="31"/>
        <v>0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6"/>
      <c r="Y112" s="16"/>
      <c r="Z112" s="16"/>
      <c r="AA112" s="16"/>
      <c r="AB112" s="16"/>
      <c r="AC112" s="16"/>
      <c r="AD112" s="16"/>
      <c r="AE112" s="16"/>
      <c r="AF112" s="16"/>
      <c r="AG112" s="18"/>
      <c r="AH112" s="18"/>
      <c r="AI112" s="18"/>
      <c r="AJ112" s="18"/>
    </row>
    <row r="113" spans="1:36" x14ac:dyDescent="0.25">
      <c r="C113" s="20" t="s">
        <v>11</v>
      </c>
      <c r="D113" s="25" t="str">
        <f t="shared" si="32"/>
        <v>Ind</v>
      </c>
      <c r="E113" s="5">
        <f t="shared" si="30"/>
        <v>0</v>
      </c>
      <c r="F113" s="6">
        <f t="shared" si="30"/>
        <v>0</v>
      </c>
      <c r="G113" s="6">
        <f t="shared" si="30"/>
        <v>0</v>
      </c>
      <c r="H113" s="6">
        <f t="shared" si="30"/>
        <v>0</v>
      </c>
      <c r="I113" s="6">
        <f t="shared" si="30"/>
        <v>0</v>
      </c>
      <c r="J113" s="6">
        <f t="shared" si="30"/>
        <v>0</v>
      </c>
      <c r="K113" s="6">
        <f t="shared" si="30"/>
        <v>0</v>
      </c>
      <c r="L113" s="6">
        <f t="shared" si="30"/>
        <v>0</v>
      </c>
      <c r="M113" s="7">
        <f t="shared" si="30"/>
        <v>0</v>
      </c>
      <c r="N113" s="8">
        <f t="shared" si="31"/>
        <v>0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6"/>
      <c r="Y113" s="16"/>
      <c r="Z113" s="16"/>
      <c r="AA113" s="16"/>
      <c r="AB113" s="16"/>
      <c r="AC113" s="16"/>
      <c r="AD113" s="16"/>
      <c r="AE113" s="16"/>
      <c r="AF113" s="16"/>
      <c r="AG113" s="18"/>
      <c r="AH113" s="18"/>
      <c r="AI113" s="18"/>
      <c r="AJ113" s="18"/>
    </row>
    <row r="114" spans="1:36" x14ac:dyDescent="0.25">
      <c r="C114" s="20" t="s">
        <v>11</v>
      </c>
      <c r="D114" s="25" t="str">
        <f t="shared" si="32"/>
        <v>Serv</v>
      </c>
      <c r="E114" s="9">
        <f t="shared" si="30"/>
        <v>0</v>
      </c>
      <c r="F114" s="10">
        <f t="shared" si="30"/>
        <v>0</v>
      </c>
      <c r="G114" s="10">
        <f t="shared" si="30"/>
        <v>0</v>
      </c>
      <c r="H114" s="10">
        <f t="shared" si="30"/>
        <v>0</v>
      </c>
      <c r="I114" s="10">
        <f t="shared" si="30"/>
        <v>0</v>
      </c>
      <c r="J114" s="10">
        <f t="shared" si="30"/>
        <v>0</v>
      </c>
      <c r="K114" s="10">
        <f t="shared" si="30"/>
        <v>0</v>
      </c>
      <c r="L114" s="10">
        <f t="shared" si="30"/>
        <v>0</v>
      </c>
      <c r="M114" s="11">
        <f t="shared" si="30"/>
        <v>0</v>
      </c>
      <c r="N114" s="12">
        <f t="shared" si="31"/>
        <v>0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6"/>
      <c r="Y114" s="16"/>
      <c r="Z114" s="16"/>
      <c r="AA114" s="16"/>
      <c r="AB114" s="16"/>
      <c r="AC114" s="16"/>
      <c r="AD114" s="16"/>
      <c r="AE114" s="16"/>
      <c r="AF114" s="16"/>
      <c r="AG114" s="18"/>
      <c r="AH114" s="18"/>
      <c r="AI114" s="18"/>
      <c r="AJ114" s="18"/>
    </row>
    <row r="115" spans="1:36" x14ac:dyDescent="0.25">
      <c r="C115" s="57"/>
      <c r="D115" s="57"/>
      <c r="E115" s="13">
        <f t="shared" ref="E115:M115" si="33">SUM(E105:E114)</f>
        <v>0</v>
      </c>
      <c r="F115" s="14">
        <f t="shared" si="33"/>
        <v>0</v>
      </c>
      <c r="G115" s="14">
        <f t="shared" si="33"/>
        <v>8.275540996186237E-2</v>
      </c>
      <c r="H115" s="14">
        <f t="shared" si="33"/>
        <v>0</v>
      </c>
      <c r="I115" s="14">
        <f t="shared" si="33"/>
        <v>0</v>
      </c>
      <c r="J115" s="14">
        <f t="shared" si="33"/>
        <v>0.26024889682403218</v>
      </c>
      <c r="K115" s="14">
        <f t="shared" si="33"/>
        <v>0</v>
      </c>
      <c r="L115" s="14">
        <f t="shared" si="33"/>
        <v>7.0986837764777988E-2</v>
      </c>
      <c r="M115" s="15">
        <f t="shared" si="33"/>
        <v>0</v>
      </c>
      <c r="N115" s="19">
        <f>+SUM(E106:M114)</f>
        <v>0.41399114455067254</v>
      </c>
    </row>
    <row r="116" spans="1:36" x14ac:dyDescent="0.25">
      <c r="A116" s="66"/>
    </row>
    <row r="117" spans="1:36" x14ac:dyDescent="0.25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  <c r="N117" s="57" t="s">
        <v>56</v>
      </c>
      <c r="O117" t="str" cm="1">
        <f t="array" ref="O117:Q117">+TRANSPOSE(_xlfn.UNIQUE($D$118:$D$126))</f>
        <v>Agr</v>
      </c>
      <c r="P117" t="str">
        <v>Ind</v>
      </c>
      <c r="Q117" t="str">
        <v>Serv</v>
      </c>
      <c r="R117" s="100" t="s">
        <v>58</v>
      </c>
    </row>
    <row r="118" spans="1:36" x14ac:dyDescent="0.25">
      <c r="A118" s="67"/>
      <c r="C118" s="20" t="s">
        <v>1</v>
      </c>
      <c r="D118" s="20" t="s">
        <v>51</v>
      </c>
      <c r="E118" s="53">
        <f>+MAX(F60-H47-SUM(E78:M78),0)</f>
        <v>5.0838941452111825</v>
      </c>
      <c r="F118" s="53" cm="1">
        <f t="array" ref="F118">+IFERROR(E118/_xlfn.XLOOKUP(D118,_xlfn.ANCHORARRAY($I$118),$K$118:$K$120,,0),1)</f>
        <v>14.057144476158465</v>
      </c>
      <c r="G118" s="53" cm="1">
        <f t="array" ref="G118">+E118/_xlfn.XLOOKUP(D118,_xlfn.ANCHORARRAY($I$118),$J$118:$J$120,,0)</f>
        <v>0.46407217991943595</v>
      </c>
      <c r="I118" s="54" t="str" cm="1">
        <f t="array" ref="I118:I120">+_xlfn.UNIQUE(D118:D126)</f>
        <v>Agr</v>
      </c>
      <c r="J118" s="58">
        <f>+SUMIF($D$118:$D$126,I118,$E$118:$E$126)</f>
        <v>10.954964260287611</v>
      </c>
      <c r="K118" s="40">
        <f>+SUMIF($D$106:$D$114,I118,$N$106:$N$114)</f>
        <v>0.36165909469264479</v>
      </c>
      <c r="L118" s="40">
        <f>+IFERROR(MIN(1,J118/K118),1)</f>
        <v>1</v>
      </c>
      <c r="M118" s="18"/>
      <c r="N118" t="str" cm="1">
        <f t="array" ref="N118:N120">+_xlfn.UNIQUE($C$118:$C$126)</f>
        <v>A</v>
      </c>
      <c r="O118" s="16">
        <f>+SUMIFS($E$118:$E$126,$C$118:$C$126,$N118,$D$118:$D$126,O$117)</f>
        <v>5.0838941452111825</v>
      </c>
      <c r="P118" s="16">
        <f t="shared" ref="P118:Q118" si="34">+SUMIFS($E$118:$E$126,$C$118:$C$126,$N118,$D$118:$D$126,P$117)</f>
        <v>4.1450333555380681</v>
      </c>
      <c r="Q118" s="16">
        <f t="shared" si="34"/>
        <v>0</v>
      </c>
      <c r="S118" s="99" cm="1">
        <f t="array" ref="S118:S120">+O118:O120/O121</f>
        <v>0.46407217991943595</v>
      </c>
      <c r="T118" s="99" cm="1">
        <f t="array" ref="T118:T120">+P118:P120/P121</f>
        <v>0.88882553744646875</v>
      </c>
      <c r="U118" s="99" cm="1">
        <f t="array" ref="U118:U120">+Q118:Q120/Q121</f>
        <v>0</v>
      </c>
    </row>
    <row r="119" spans="1:36" x14ac:dyDescent="0.25">
      <c r="C119" s="20" t="s">
        <v>1</v>
      </c>
      <c r="D119" s="20" t="s">
        <v>52</v>
      </c>
      <c r="E119" s="8">
        <f>+MAX(F61-H48-SUM(E79:M79),0)</f>
        <v>4.1450333555380681</v>
      </c>
      <c r="F119" s="8" cm="1">
        <f t="array" ref="F119">+IFERROR(E119/_xlfn.XLOOKUP(D119,_xlfn.ANCHORARRAY($I$118),$K$118:$K$120,,0),1)</f>
        <v>1</v>
      </c>
      <c r="G119" s="8" cm="1">
        <f t="array" ref="G119">+E119/_xlfn.XLOOKUP(D119,_xlfn.ANCHORARRAY($I$118),$J$118:$J$120,,0)</f>
        <v>0.88882553744646875</v>
      </c>
      <c r="I119" s="55" t="str">
        <v>Ind</v>
      </c>
      <c r="J119" s="59">
        <f t="shared" ref="J119:J120" si="35">+SUMIF($D$118:$D$126,I119,$E$118:$E$126)</f>
        <v>4.6634948939996121</v>
      </c>
      <c r="K119" s="41">
        <f t="shared" ref="K119:K120" si="36">+SUMIF($D$106:$D$114,I119,$N$106:$N$114)</f>
        <v>0</v>
      </c>
      <c r="L119" s="40">
        <f t="shared" ref="L119:L120" si="37">+IFERROR(MIN(1,J119/K119),1)</f>
        <v>1</v>
      </c>
      <c r="M119" s="18"/>
      <c r="N119" t="str">
        <v>B</v>
      </c>
      <c r="O119" s="16">
        <f t="shared" ref="O119:Q120" si="38">+SUMIFS($E$118:$E$126,$C$118:$C$126,$N119,$D$118:$D$126,O$117)</f>
        <v>0</v>
      </c>
      <c r="P119" s="16">
        <f t="shared" si="38"/>
        <v>0.2884615384615401</v>
      </c>
      <c r="Q119" s="16">
        <f t="shared" si="38"/>
        <v>0</v>
      </c>
      <c r="S119" s="99">
        <v>0</v>
      </c>
      <c r="T119" s="99">
        <v>6.1855227681860539E-2</v>
      </c>
      <c r="U119" s="99">
        <v>0</v>
      </c>
    </row>
    <row r="120" spans="1:36" x14ac:dyDescent="0.25">
      <c r="C120" s="20" t="s">
        <v>1</v>
      </c>
      <c r="D120" s="20" t="s">
        <v>53</v>
      </c>
      <c r="E120" s="8">
        <f>+MAX(F62-H49-SUM(E80:M80),0)</f>
        <v>0</v>
      </c>
      <c r="F120" s="8" cm="1">
        <f t="array" ref="F120">+IFERROR(E120/_xlfn.XLOOKUP(D120,_xlfn.ANCHORARRAY($I$118),$K$118:$K$120,,0),1)</f>
        <v>0</v>
      </c>
      <c r="G120" s="8" cm="1">
        <f t="array" ref="G120">+E120/_xlfn.XLOOKUP(D120,_xlfn.ANCHORARRAY($I$118),$J$118:$J$120,,0)</f>
        <v>0</v>
      </c>
      <c r="I120" s="56" t="str">
        <v>Serv</v>
      </c>
      <c r="J120" s="60">
        <f t="shared" si="35"/>
        <v>4.2481980935766472</v>
      </c>
      <c r="K120" s="42">
        <f t="shared" si="36"/>
        <v>5.2332049858027752E-2</v>
      </c>
      <c r="L120" s="40">
        <f t="shared" si="37"/>
        <v>1</v>
      </c>
      <c r="M120" s="18"/>
      <c r="N120" t="str">
        <v>C</v>
      </c>
      <c r="O120" s="16">
        <f t="shared" si="38"/>
        <v>5.871070115076428</v>
      </c>
      <c r="P120" s="16">
        <f t="shared" si="38"/>
        <v>0.23000000000000398</v>
      </c>
      <c r="Q120" s="16">
        <f t="shared" si="38"/>
        <v>4.2481980935766472</v>
      </c>
      <c r="S120" s="99">
        <v>0.53592782008056405</v>
      </c>
      <c r="T120" s="99">
        <v>4.9319234871670711E-2</v>
      </c>
      <c r="U120" s="99">
        <v>1</v>
      </c>
    </row>
    <row r="121" spans="1:36" x14ac:dyDescent="0.25">
      <c r="C121" s="20" t="s">
        <v>10</v>
      </c>
      <c r="D121" s="20" t="str">
        <f>+D118</f>
        <v>Agr</v>
      </c>
      <c r="E121" s="8">
        <f>+MAX(F63-H50-SUM(E81:M81),0)</f>
        <v>0</v>
      </c>
      <c r="F121" s="8" cm="1">
        <f t="array" ref="F121">+IFERROR(E121/_xlfn.XLOOKUP(D121,_xlfn.ANCHORARRAY($I$118),$K$118:$K$120,,0),1)</f>
        <v>0</v>
      </c>
      <c r="G121" s="8" cm="1">
        <f t="array" ref="G121">+E121/_xlfn.XLOOKUP(D121,_xlfn.ANCHORARRAY($I$118),$J$118:$J$120,,0)</f>
        <v>0</v>
      </c>
      <c r="H121" s="18"/>
      <c r="N121" t="s">
        <v>57</v>
      </c>
      <c r="O121" s="19">
        <f>SUM(O118:O120)</f>
        <v>10.954964260287611</v>
      </c>
      <c r="P121" s="19">
        <f t="shared" ref="P121:Q121" si="39">SUM(P118:P120)</f>
        <v>4.6634948939996121</v>
      </c>
      <c r="Q121" s="19">
        <f t="shared" si="39"/>
        <v>4.2481980935766472</v>
      </c>
    </row>
    <row r="122" spans="1:36" x14ac:dyDescent="0.25">
      <c r="C122" s="20" t="s">
        <v>10</v>
      </c>
      <c r="D122" s="20" t="str">
        <f t="shared" ref="D122:D126" si="40">+D119</f>
        <v>Ind</v>
      </c>
      <c r="E122" s="8">
        <f t="shared" ref="E122:E126" si="41">+MAX(F64-H51-SUM(E82:M82),0)</f>
        <v>0.2884615384615401</v>
      </c>
      <c r="F122" s="8" cm="1">
        <f t="array" ref="F122">+IFERROR(E122/_xlfn.XLOOKUP(D122,_xlfn.ANCHORARRAY($I$118),$K$118:$K$120,,0),1)</f>
        <v>1</v>
      </c>
      <c r="G122" s="8" cm="1">
        <f t="array" ref="G122">+E122/_xlfn.XLOOKUP(D122,_xlfn.ANCHORARRAY($I$118),$J$118:$J$120,,0)</f>
        <v>6.1855227681860539E-2</v>
      </c>
      <c r="I122" s="20" t="s">
        <v>39</v>
      </c>
    </row>
    <row r="123" spans="1:36" x14ac:dyDescent="0.25">
      <c r="C123" s="20" t="s">
        <v>10</v>
      </c>
      <c r="D123" s="20" t="str">
        <f t="shared" si="40"/>
        <v>Serv</v>
      </c>
      <c r="E123" s="8">
        <f t="shared" si="41"/>
        <v>0</v>
      </c>
      <c r="F123" s="8" cm="1">
        <f t="array" ref="F123">+IFERROR(E123/_xlfn.XLOOKUP(D123,_xlfn.ANCHORARRAY($I$118),$K$118:$K$120,,0),1)</f>
        <v>0</v>
      </c>
      <c r="G123" s="8" cm="1">
        <f t="array" ref="G123">+E123/_xlfn.XLOOKUP(D123,_xlfn.ANCHORARRAY($I$118),$J$118:$J$120,,0)</f>
        <v>0</v>
      </c>
      <c r="I123" s="69">
        <v>1</v>
      </c>
    </row>
    <row r="124" spans="1:36" x14ac:dyDescent="0.25">
      <c r="C124" s="20" t="s">
        <v>11</v>
      </c>
      <c r="D124" s="20" t="str">
        <f t="shared" si="40"/>
        <v>Agr</v>
      </c>
      <c r="E124" s="8">
        <f t="shared" si="41"/>
        <v>5.871070115076428</v>
      </c>
      <c r="F124" s="8" cm="1">
        <f t="array" ref="F124">+IFERROR(E124/_xlfn.XLOOKUP(D124,_xlfn.ANCHORARRAY($I$118),$K$118:$K$120,,0),1)</f>
        <v>16.233713464515372</v>
      </c>
      <c r="G124" s="8" cm="1">
        <f t="array" ref="G124">+E124/_xlfn.XLOOKUP(D124,_xlfn.ANCHORARRAY($I$118),$J$118:$J$120,,0)</f>
        <v>0.53592782008056405</v>
      </c>
    </row>
    <row r="125" spans="1:36" x14ac:dyDescent="0.25">
      <c r="C125" s="20" t="s">
        <v>11</v>
      </c>
      <c r="D125" s="20" t="str">
        <f t="shared" si="40"/>
        <v>Ind</v>
      </c>
      <c r="E125" s="8">
        <f t="shared" si="41"/>
        <v>0.23000000000000398</v>
      </c>
      <c r="F125" s="8" cm="1">
        <f t="array" ref="F125">+IFERROR(E125/_xlfn.XLOOKUP(D125,_xlfn.ANCHORARRAY($I$118),$K$118:$K$120,,0),1)</f>
        <v>1</v>
      </c>
      <c r="G125" s="8" cm="1">
        <f t="array" ref="G125">+E125/_xlfn.XLOOKUP(D125,_xlfn.ANCHORARRAY($I$118),$J$118:$J$120,,0)</f>
        <v>4.9319234871670711E-2</v>
      </c>
    </row>
    <row r="126" spans="1:36" x14ac:dyDescent="0.25">
      <c r="C126" s="20" t="s">
        <v>11</v>
      </c>
      <c r="D126" s="20" t="str">
        <f t="shared" si="40"/>
        <v>Serv</v>
      </c>
      <c r="E126" s="12">
        <f t="shared" si="41"/>
        <v>4.2481980935766472</v>
      </c>
      <c r="F126" s="12" cm="1">
        <f t="array" ref="F126">+IFERROR(E126/_xlfn.XLOOKUP(D126,_xlfn.ANCHORARRAY($I$118),$K$118:$K$120,,0),1)</f>
        <v>81.177750634680564</v>
      </c>
      <c r="G126" s="12" cm="1">
        <f t="array" ref="G126">+E126/_xlfn.XLOOKUP(D126,_xlfn.ANCHORARRAY($I$118),$J$118:$J$120,,0)</f>
        <v>1</v>
      </c>
    </row>
    <row r="127" spans="1:36" x14ac:dyDescent="0.25">
      <c r="E127" s="19">
        <f>SUM(E118:E126)</f>
        <v>19.86665724786387</v>
      </c>
      <c r="G127" s="19">
        <f>SUM(G118:G126)</f>
        <v>3</v>
      </c>
    </row>
    <row r="128" spans="1:36" ht="15.75" thickBot="1" x14ac:dyDescent="0.3">
      <c r="A128" s="64"/>
      <c r="E128" s="19"/>
      <c r="G128" s="19"/>
    </row>
    <row r="129" spans="1:24" ht="15.75" thickBot="1" x14ac:dyDescent="0.3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  <c r="O129" s="109" t="s">
        <v>59</v>
      </c>
      <c r="P129" s="110" t="s">
        <v>1</v>
      </c>
      <c r="Q129" s="110" t="s">
        <v>1</v>
      </c>
      <c r="R129" s="110" t="s">
        <v>1</v>
      </c>
      <c r="S129" s="110" t="s">
        <v>10</v>
      </c>
      <c r="T129" s="110" t="s">
        <v>10</v>
      </c>
      <c r="U129" s="110" t="s">
        <v>10</v>
      </c>
      <c r="V129" s="110" t="s">
        <v>11</v>
      </c>
      <c r="W129" s="110" t="s">
        <v>11</v>
      </c>
      <c r="X129" s="111" t="s">
        <v>11</v>
      </c>
    </row>
    <row r="130" spans="1:24" ht="15.75" thickBot="1" x14ac:dyDescent="0.3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  <c r="O130" s="112" t="s">
        <v>55</v>
      </c>
      <c r="P130" s="49" t="s">
        <v>51</v>
      </c>
      <c r="Q130" s="49" t="s">
        <v>52</v>
      </c>
      <c r="R130" s="49" t="s">
        <v>53</v>
      </c>
      <c r="S130" s="49" t="s">
        <v>51</v>
      </c>
      <c r="T130" s="49" t="s">
        <v>52</v>
      </c>
      <c r="U130" s="49" t="s">
        <v>53</v>
      </c>
      <c r="V130" s="49" t="s">
        <v>51</v>
      </c>
      <c r="W130" s="49" t="s">
        <v>52</v>
      </c>
      <c r="X130" s="113" t="s">
        <v>53</v>
      </c>
    </row>
    <row r="131" spans="1:24" ht="15.75" thickBot="1" x14ac:dyDescent="0.3">
      <c r="D131" s="28" t="str" cm="1">
        <f t="array" ref="D131:D133">+_xlfn.UNIQUE(D118:D126)</f>
        <v>Agr</v>
      </c>
      <c r="E131" s="1">
        <f t="shared" ref="E131:M133" si="42">+SUMIF($D$106:$D$114,$D131,E$106:E$114)</f>
        <v>0</v>
      </c>
      <c r="F131" s="2">
        <f t="shared" si="42"/>
        <v>0</v>
      </c>
      <c r="G131" s="2">
        <f t="shared" si="42"/>
        <v>6.1377704980931203E-2</v>
      </c>
      <c r="H131" s="2">
        <f t="shared" si="42"/>
        <v>0</v>
      </c>
      <c r="I131" s="2">
        <f t="shared" si="42"/>
        <v>0</v>
      </c>
      <c r="J131" s="2">
        <f t="shared" si="42"/>
        <v>0.2292945519469356</v>
      </c>
      <c r="K131" s="2">
        <f t="shared" si="42"/>
        <v>0</v>
      </c>
      <c r="L131" s="2">
        <f t="shared" si="42"/>
        <v>7.0986837764777988E-2</v>
      </c>
      <c r="M131" s="3">
        <f t="shared" si="42"/>
        <v>0</v>
      </c>
      <c r="O131" s="104">
        <f>+$L118*$I$123</f>
        <v>1</v>
      </c>
      <c r="P131" s="105">
        <f>+$O131*E131</f>
        <v>0</v>
      </c>
      <c r="Q131" s="105">
        <f t="shared" ref="Q131:X131" si="43">+$O131*F131</f>
        <v>0</v>
      </c>
      <c r="R131" s="105">
        <f t="shared" si="43"/>
        <v>6.1377704980931203E-2</v>
      </c>
      <c r="S131" s="105">
        <f t="shared" si="43"/>
        <v>0</v>
      </c>
      <c r="T131" s="105">
        <f t="shared" si="43"/>
        <v>0</v>
      </c>
      <c r="U131" s="105">
        <f t="shared" si="43"/>
        <v>0.2292945519469356</v>
      </c>
      <c r="V131" s="105">
        <f t="shared" si="43"/>
        <v>0</v>
      </c>
      <c r="W131" s="105">
        <f t="shared" si="43"/>
        <v>7.0986837764777988E-2</v>
      </c>
      <c r="X131" s="106">
        <f t="shared" si="43"/>
        <v>0</v>
      </c>
    </row>
    <row r="132" spans="1:24" x14ac:dyDescent="0.25">
      <c r="D132" s="25" t="str">
        <v>Ind</v>
      </c>
      <c r="E132" s="5">
        <f t="shared" si="42"/>
        <v>0</v>
      </c>
      <c r="F132" s="6">
        <f t="shared" si="42"/>
        <v>0</v>
      </c>
      <c r="G132" s="6">
        <f t="shared" si="42"/>
        <v>0</v>
      </c>
      <c r="H132" s="6">
        <f t="shared" si="42"/>
        <v>0</v>
      </c>
      <c r="I132" s="6">
        <f t="shared" si="42"/>
        <v>0</v>
      </c>
      <c r="J132" s="6">
        <f t="shared" si="42"/>
        <v>0</v>
      </c>
      <c r="K132" s="6">
        <f t="shared" si="42"/>
        <v>0</v>
      </c>
      <c r="L132" s="6">
        <f t="shared" si="42"/>
        <v>0</v>
      </c>
      <c r="M132" s="7">
        <f t="shared" si="42"/>
        <v>0</v>
      </c>
      <c r="P132" s="108" cm="1">
        <f t="array" ref="P132:X134">+MMULT(_xlfn.ANCHORARRAY(S118),$P$131:$X$131)</f>
        <v>0</v>
      </c>
      <c r="Q132" s="108">
        <v>0</v>
      </c>
      <c r="R132" s="108">
        <v>2.8483685348952764E-2</v>
      </c>
      <c r="S132" s="108">
        <v>0</v>
      </c>
      <c r="T132" s="108">
        <v>0</v>
      </c>
      <c r="U132" s="108">
        <v>0.10640922256566475</v>
      </c>
      <c r="V132" s="108">
        <v>0</v>
      </c>
      <c r="W132" s="108">
        <v>3.294301654708786E-2</v>
      </c>
      <c r="X132" s="108">
        <v>0</v>
      </c>
    </row>
    <row r="133" spans="1:24" x14ac:dyDescent="0.25">
      <c r="D133" s="25" t="str">
        <v>Serv</v>
      </c>
      <c r="E133" s="9">
        <f t="shared" si="42"/>
        <v>0</v>
      </c>
      <c r="F133" s="10">
        <f t="shared" si="42"/>
        <v>0</v>
      </c>
      <c r="G133" s="10">
        <f t="shared" si="42"/>
        <v>2.1377704980931167E-2</v>
      </c>
      <c r="H133" s="10">
        <f t="shared" si="42"/>
        <v>0</v>
      </c>
      <c r="I133" s="10">
        <f t="shared" si="42"/>
        <v>0</v>
      </c>
      <c r="J133" s="10">
        <f t="shared" si="42"/>
        <v>3.0954344877096585E-2</v>
      </c>
      <c r="K133" s="10">
        <f t="shared" si="42"/>
        <v>0</v>
      </c>
      <c r="L133" s="10">
        <f t="shared" si="42"/>
        <v>0</v>
      </c>
      <c r="M133" s="11">
        <f t="shared" si="42"/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</row>
    <row r="134" spans="1:24" ht="15.75" thickBot="1" x14ac:dyDescent="0.3">
      <c r="P134" s="107">
        <v>0</v>
      </c>
      <c r="Q134" s="107">
        <v>0</v>
      </c>
      <c r="R134" s="107">
        <v>3.2894019631978438E-2</v>
      </c>
      <c r="S134" s="107">
        <v>0</v>
      </c>
      <c r="T134" s="107">
        <v>0</v>
      </c>
      <c r="U134" s="107">
        <v>0.12288532938127085</v>
      </c>
      <c r="V134" s="107">
        <v>0</v>
      </c>
      <c r="W134" s="107">
        <v>3.8043821217690128E-2</v>
      </c>
      <c r="X134" s="107">
        <v>0</v>
      </c>
    </row>
    <row r="135" spans="1:24" ht="15.75" thickBot="1" x14ac:dyDescent="0.3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  <c r="O135" s="104">
        <f>+$L119*$I$123</f>
        <v>1</v>
      </c>
      <c r="P135" s="105">
        <f t="shared" ref="P135:X135" si="44">+$O135*E132</f>
        <v>0</v>
      </c>
      <c r="Q135" s="105">
        <f t="shared" si="44"/>
        <v>0</v>
      </c>
      <c r="R135" s="105">
        <f t="shared" si="44"/>
        <v>0</v>
      </c>
      <c r="S135" s="105">
        <f t="shared" si="44"/>
        <v>0</v>
      </c>
      <c r="T135" s="105">
        <f t="shared" si="44"/>
        <v>0</v>
      </c>
      <c r="U135" s="105">
        <f t="shared" si="44"/>
        <v>0</v>
      </c>
      <c r="V135" s="105">
        <f t="shared" si="44"/>
        <v>0</v>
      </c>
      <c r="W135" s="105">
        <f t="shared" si="44"/>
        <v>0</v>
      </c>
      <c r="X135" s="106">
        <f t="shared" si="44"/>
        <v>0</v>
      </c>
    </row>
    <row r="136" spans="1:24" ht="15.75" thickBot="1" x14ac:dyDescent="0.3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  <c r="P136" s="103" cm="1">
        <f t="array" ref="P136:X138">+MMULT(_xlfn.ANCHORARRAY(T118),$P$135:$X$135)</f>
        <v>0</v>
      </c>
      <c r="Q136" s="103">
        <v>0</v>
      </c>
      <c r="R136" s="103">
        <v>0</v>
      </c>
      <c r="S136" s="103">
        <v>0</v>
      </c>
      <c r="T136" s="103">
        <v>0</v>
      </c>
      <c r="U136" s="103">
        <v>0</v>
      </c>
      <c r="V136" s="103">
        <v>0</v>
      </c>
      <c r="W136" s="103">
        <v>0</v>
      </c>
      <c r="X136" s="103">
        <v>0</v>
      </c>
    </row>
    <row r="137" spans="1:24" x14ac:dyDescent="0.25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0</v>
      </c>
      <c r="F137" s="2" cm="1">
        <f t="array" ref="F137">+$I$123*$G118*_xlfn.XLOOKUP($D137,_xlfn.ANCHORARRAY($I$118),$L$118:$L$120,,0)*_xlfn.XLOOKUP($D137,$D$131:$D$133,F$131:F$133,,0)</f>
        <v>0</v>
      </c>
      <c r="G137" s="2" cm="1">
        <f t="array" ref="G137">+$I$123*$G118*_xlfn.XLOOKUP($D137,_xlfn.ANCHORARRAY($I$118),$L$118:$L$120,,0)*_xlfn.XLOOKUP($D137,$D$131:$D$133,G$131:G$133,,0)</f>
        <v>2.8483685348952764E-2</v>
      </c>
      <c r="H137" s="2" cm="1">
        <f t="array" ref="H137">+$I$123*$G118*_xlfn.XLOOKUP($D137,_xlfn.ANCHORARRAY($I$118),$L$118:$L$120,,0)*_xlfn.XLOOKUP($D137,$D$131:$D$133,H$131:H$133,,0)</f>
        <v>0</v>
      </c>
      <c r="I137" s="2" cm="1">
        <f t="array" ref="I137">+$I$123*$G118*_xlfn.XLOOKUP($D137,_xlfn.ANCHORARRAY($I$118),$L$118:$L$120,,0)*_xlfn.XLOOKUP($D137,$D$131:$D$133,I$131:I$133,,0)</f>
        <v>0</v>
      </c>
      <c r="J137" s="2" cm="1">
        <f t="array" ref="J137">+$I$123*$G118*_xlfn.XLOOKUP($D137,_xlfn.ANCHORARRAY($I$118),$L$118:$L$120,,0)*_xlfn.XLOOKUP($D137,$D$131:$D$133,J$131:J$133,,0)</f>
        <v>0.10640922256566475</v>
      </c>
      <c r="K137" s="2" cm="1">
        <f t="array" ref="K137">+$I$123*$G118*_xlfn.XLOOKUP($D137,_xlfn.ANCHORARRAY($I$118),$L$118:$L$120,,0)*_xlfn.XLOOKUP($D137,$D$131:$D$133,K$131:K$133,,0)</f>
        <v>0</v>
      </c>
      <c r="L137" s="2" cm="1">
        <f t="array" ref="L137">+$I$123*$G118*_xlfn.XLOOKUP($D137,_xlfn.ANCHORARRAY($I$118),$L$118:$L$120,,0)*_xlfn.XLOOKUP($D137,$D$131:$D$133,L$131:L$133,,0)</f>
        <v>3.294301654708786E-2</v>
      </c>
      <c r="M137" s="3" cm="1">
        <f t="array" ref="M137">+$I$123*$G118*_xlfn.XLOOKUP($D137,_xlfn.ANCHORARRAY($I$118),$L$118:$L$120,,0)*_xlfn.XLOOKUP($D137,$D$131:$D$133,M$131:M$133,,0)</f>
        <v>0</v>
      </c>
      <c r="P137" s="101">
        <v>0</v>
      </c>
      <c r="Q137" s="101">
        <v>0</v>
      </c>
      <c r="R137" s="101">
        <v>0</v>
      </c>
      <c r="S137" s="101">
        <v>0</v>
      </c>
      <c r="T137" s="101">
        <v>0</v>
      </c>
      <c r="U137" s="101">
        <v>0</v>
      </c>
      <c r="V137" s="101">
        <v>0</v>
      </c>
      <c r="W137" s="101">
        <v>0</v>
      </c>
      <c r="X137" s="101">
        <v>0</v>
      </c>
    </row>
    <row r="138" spans="1:24" ht="15.75" thickBot="1" x14ac:dyDescent="0.3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0</v>
      </c>
      <c r="F138" s="6" cm="1">
        <f t="array" ref="F138">+$I$123*$G119*_xlfn.XLOOKUP($D138,_xlfn.ANCHORARRAY($I$118),$L$118:$L$120,,0)*_xlfn.XLOOKUP($D138,$D$131:$D$133,F$131:F$133,,0)</f>
        <v>0</v>
      </c>
      <c r="G138" s="6" cm="1">
        <f t="array" ref="G138">+$I$123*$G119*_xlfn.XLOOKUP($D138,_xlfn.ANCHORARRAY($I$118),$L$118:$L$120,,0)*_xlfn.XLOOKUP($D138,$D$131:$D$133,G$131:G$133,,0)</f>
        <v>0</v>
      </c>
      <c r="H138" s="6" cm="1">
        <f t="array" ref="H138">+$I$123*$G119*_xlfn.XLOOKUP($D138,_xlfn.ANCHORARRAY($I$118),$L$118:$L$120,,0)*_xlfn.XLOOKUP($D138,$D$131:$D$133,H$131:H$133,,0)</f>
        <v>0</v>
      </c>
      <c r="I138" s="6" cm="1">
        <f t="array" ref="I138">+$I$123*$G119*_xlfn.XLOOKUP($D138,_xlfn.ANCHORARRAY($I$118),$L$118:$L$120,,0)*_xlfn.XLOOKUP($D138,$D$131:$D$133,I$131:I$133,,0)</f>
        <v>0</v>
      </c>
      <c r="J138" s="6" cm="1">
        <f t="array" ref="J138">+$I$123*$G119*_xlfn.XLOOKUP($D138,_xlfn.ANCHORARRAY($I$118),$L$118:$L$120,,0)*_xlfn.XLOOKUP($D138,$D$131:$D$133,J$131:J$133,,0)</f>
        <v>0</v>
      </c>
      <c r="K138" s="6" cm="1">
        <f t="array" ref="K138">+$I$123*$G119*_xlfn.XLOOKUP($D138,_xlfn.ANCHORARRAY($I$118),$L$118:$L$120,,0)*_xlfn.XLOOKUP($D138,$D$131:$D$133,K$131:K$133,,0)</f>
        <v>0</v>
      </c>
      <c r="L138" s="6" cm="1">
        <f t="array" ref="L138">+$I$123*$G119*_xlfn.XLOOKUP($D138,_xlfn.ANCHORARRAY($I$118),$L$118:$L$120,,0)*_xlfn.XLOOKUP($D138,$D$131:$D$133,L$131:L$133,,0)</f>
        <v>0</v>
      </c>
      <c r="M138" s="7" cm="1">
        <f t="array" ref="M138">+$I$123*$G119*_xlfn.XLOOKUP($D138,_xlfn.ANCHORARRAY($I$118),$L$118:$L$120,,0)*_xlfn.XLOOKUP($D138,$D$131:$D$133,M$131:M$133,,0)</f>
        <v>0</v>
      </c>
      <c r="N138" s="18"/>
      <c r="P138" s="101">
        <v>0</v>
      </c>
      <c r="Q138" s="101">
        <v>0</v>
      </c>
      <c r="R138" s="101">
        <v>0</v>
      </c>
      <c r="S138" s="101">
        <v>0</v>
      </c>
      <c r="T138" s="101">
        <v>0</v>
      </c>
      <c r="U138" s="101">
        <v>0</v>
      </c>
      <c r="V138" s="101">
        <v>0</v>
      </c>
      <c r="W138" s="101">
        <v>0</v>
      </c>
      <c r="X138" s="101">
        <v>0</v>
      </c>
    </row>
    <row r="139" spans="1:24" ht="15.75" thickBot="1" x14ac:dyDescent="0.3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0</v>
      </c>
      <c r="F139" s="6" cm="1">
        <f t="array" ref="F139">+$I$123*$G120*_xlfn.XLOOKUP($D139,_xlfn.ANCHORARRAY($I$118),$L$118:$L$120,,0)*_xlfn.XLOOKUP($D139,$D$131:$D$133,F$131:F$133,,0)</f>
        <v>0</v>
      </c>
      <c r="G139" s="6" cm="1">
        <f t="array" ref="G139">+$I$123*$G120*_xlfn.XLOOKUP($D139,_xlfn.ANCHORARRAY($I$118),$L$118:$L$120,,0)*_xlfn.XLOOKUP($D139,$D$131:$D$133,G$131:G$133,,0)</f>
        <v>0</v>
      </c>
      <c r="H139" s="6" cm="1">
        <f t="array" ref="H139">+$I$123*$G120*_xlfn.XLOOKUP($D139,_xlfn.ANCHORARRAY($I$118),$L$118:$L$120,,0)*_xlfn.XLOOKUP($D139,$D$131:$D$133,H$131:H$133,,0)</f>
        <v>0</v>
      </c>
      <c r="I139" s="6" cm="1">
        <f t="array" ref="I139">+$I$123*$G120*_xlfn.XLOOKUP($D139,_xlfn.ANCHORARRAY($I$118),$L$118:$L$120,,0)*_xlfn.XLOOKUP($D139,$D$131:$D$133,I$131:I$133,,0)</f>
        <v>0</v>
      </c>
      <c r="J139" s="6" cm="1">
        <f t="array" ref="J139">+$I$123*$G120*_xlfn.XLOOKUP($D139,_xlfn.ANCHORARRAY($I$118),$L$118:$L$120,,0)*_xlfn.XLOOKUP($D139,$D$131:$D$133,J$131:J$133,,0)</f>
        <v>0</v>
      </c>
      <c r="K139" s="6" cm="1">
        <f t="array" ref="K139">+$I$123*$G120*_xlfn.XLOOKUP($D139,_xlfn.ANCHORARRAY($I$118),$L$118:$L$120,,0)*_xlfn.XLOOKUP($D139,$D$131:$D$133,K$131:K$133,,0)</f>
        <v>0</v>
      </c>
      <c r="L139" s="6" cm="1">
        <f t="array" ref="L139">+$I$123*$G120*_xlfn.XLOOKUP($D139,_xlfn.ANCHORARRAY($I$118),$L$118:$L$120,,0)*_xlfn.XLOOKUP($D139,$D$131:$D$133,L$131:L$133,,0)</f>
        <v>0</v>
      </c>
      <c r="M139" s="7" cm="1">
        <f t="array" ref="M139">+$I$123*$G120*_xlfn.XLOOKUP($D139,_xlfn.ANCHORARRAY($I$118),$L$118:$L$120,,0)*_xlfn.XLOOKUP($D139,$D$131:$D$133,M$131:M$133,,0)</f>
        <v>0</v>
      </c>
      <c r="N139" s="18"/>
      <c r="O139" s="104">
        <f>+$L120*$I$123</f>
        <v>1</v>
      </c>
      <c r="P139" s="105">
        <f t="shared" ref="P139:X139" si="45">+$O139*E133</f>
        <v>0</v>
      </c>
      <c r="Q139" s="105">
        <f t="shared" si="45"/>
        <v>0</v>
      </c>
      <c r="R139" s="105">
        <f t="shared" si="45"/>
        <v>2.1377704980931167E-2</v>
      </c>
      <c r="S139" s="105">
        <f t="shared" si="45"/>
        <v>0</v>
      </c>
      <c r="T139" s="105">
        <f t="shared" si="45"/>
        <v>0</v>
      </c>
      <c r="U139" s="105">
        <f t="shared" si="45"/>
        <v>3.0954344877096585E-2</v>
      </c>
      <c r="V139" s="105">
        <f t="shared" si="45"/>
        <v>0</v>
      </c>
      <c r="W139" s="105">
        <f t="shared" si="45"/>
        <v>0</v>
      </c>
      <c r="X139" s="106">
        <f t="shared" si="45"/>
        <v>0</v>
      </c>
    </row>
    <row r="140" spans="1:24" x14ac:dyDescent="0.25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</v>
      </c>
      <c r="F140" s="6" cm="1">
        <f t="array" ref="F140">+$I$123*$G121*_xlfn.XLOOKUP($D140,_xlfn.ANCHORARRAY($I$118),$L$118:$L$120,,0)*_xlfn.XLOOKUP($D140,$D$131:$D$133,F$131:F$133,,0)</f>
        <v>0</v>
      </c>
      <c r="G140" s="6" cm="1">
        <f t="array" ref="G140">+$I$123*$G121*_xlfn.XLOOKUP($D140,_xlfn.ANCHORARRAY($I$118),$L$118:$L$120,,0)*_xlfn.XLOOKUP($D140,$D$131:$D$133,G$131:G$133,,0)</f>
        <v>0</v>
      </c>
      <c r="H140" s="6" cm="1">
        <f t="array" ref="H140">+$I$123*$G121*_xlfn.XLOOKUP($D140,_xlfn.ANCHORARRAY($I$118),$L$118:$L$120,,0)*_xlfn.XLOOKUP($D140,$D$131:$D$133,H$131:H$133,,0)</f>
        <v>0</v>
      </c>
      <c r="I140" s="6" cm="1">
        <f t="array" ref="I140">+$I$123*$G121*_xlfn.XLOOKUP($D140,_xlfn.ANCHORARRAY($I$118),$L$118:$L$120,,0)*_xlfn.XLOOKUP($D140,$D$131:$D$133,I$131:I$133,,0)</f>
        <v>0</v>
      </c>
      <c r="J140" s="6" cm="1">
        <f t="array" ref="J140">+$I$123*$G121*_xlfn.XLOOKUP($D140,_xlfn.ANCHORARRAY($I$118),$L$118:$L$120,,0)*_xlfn.XLOOKUP($D140,$D$131:$D$133,J$131:J$133,,0)</f>
        <v>0</v>
      </c>
      <c r="K140" s="6" cm="1">
        <f t="array" ref="K140">+$I$123*$G121*_xlfn.XLOOKUP($D140,_xlfn.ANCHORARRAY($I$118),$L$118:$L$120,,0)*_xlfn.XLOOKUP($D140,$D$131:$D$133,K$131:K$133,,0)</f>
        <v>0</v>
      </c>
      <c r="L140" s="6" cm="1">
        <f t="array" ref="L140">+$I$123*$G121*_xlfn.XLOOKUP($D140,_xlfn.ANCHORARRAY($I$118),$L$118:$L$120,,0)*_xlfn.XLOOKUP($D140,$D$131:$D$133,L$131:L$133,,0)</f>
        <v>0</v>
      </c>
      <c r="M140" s="7" cm="1">
        <f t="array" ref="M140">+$I$123*$G121*_xlfn.XLOOKUP($D140,_xlfn.ANCHORARRAY($I$118),$L$118:$L$120,,0)*_xlfn.XLOOKUP($D140,$D$131:$D$133,M$131:M$133,,0)</f>
        <v>0</v>
      </c>
      <c r="N140" s="18"/>
      <c r="P140" s="103" cm="1">
        <f t="array" ref="P140:X142">+MMULT(_xlfn.ANCHORARRAY(U118),$P$139:$X$139)</f>
        <v>0</v>
      </c>
      <c r="Q140" s="103">
        <v>0</v>
      </c>
      <c r="R140" s="103">
        <v>0</v>
      </c>
      <c r="S140" s="103">
        <v>0</v>
      </c>
      <c r="T140" s="103">
        <v>0</v>
      </c>
      <c r="U140" s="103">
        <v>0</v>
      </c>
      <c r="V140" s="103">
        <v>0</v>
      </c>
      <c r="W140" s="103">
        <v>0</v>
      </c>
      <c r="X140" s="103">
        <v>0</v>
      </c>
    </row>
    <row r="141" spans="1:24" x14ac:dyDescent="0.25">
      <c r="C141" s="20" t="s">
        <v>10</v>
      </c>
      <c r="D141" s="25" t="str">
        <f t="shared" ref="D141:D145" si="46">+D138</f>
        <v>Ind</v>
      </c>
      <c r="E141" s="5" cm="1">
        <f t="array" ref="E141">+$I$123*$G122*_xlfn.XLOOKUP($D141,_xlfn.ANCHORARRAY($I$118),$L$118:$L$120,,0)*_xlfn.XLOOKUP($D141,$D$131:$D$133,E$131:E$133,,0)</f>
        <v>0</v>
      </c>
      <c r="F141" s="6" cm="1">
        <f t="array" ref="F141">+$I$123*$G122*_xlfn.XLOOKUP($D141,_xlfn.ANCHORARRAY($I$118),$L$118:$L$120,,0)*_xlfn.XLOOKUP($D141,$D$131:$D$133,F$131:F$133,,0)</f>
        <v>0</v>
      </c>
      <c r="G141" s="6" cm="1">
        <f t="array" ref="G141">+$I$123*$G122*_xlfn.XLOOKUP($D141,_xlfn.ANCHORARRAY($I$118),$L$118:$L$120,,0)*_xlfn.XLOOKUP($D141,$D$131:$D$133,G$131:G$133,,0)</f>
        <v>0</v>
      </c>
      <c r="H141" s="6" cm="1">
        <f t="array" ref="H141">+$I$123*$G122*_xlfn.XLOOKUP($D141,_xlfn.ANCHORARRAY($I$118),$L$118:$L$120,,0)*_xlfn.XLOOKUP($D141,$D$131:$D$133,H$131:H$133,,0)</f>
        <v>0</v>
      </c>
      <c r="I141" s="6" cm="1">
        <f t="array" ref="I141">+$I$123*$G122*_xlfn.XLOOKUP($D141,_xlfn.ANCHORARRAY($I$118),$L$118:$L$120,,0)*_xlfn.XLOOKUP($D141,$D$131:$D$133,I$131:I$133,,0)</f>
        <v>0</v>
      </c>
      <c r="J141" s="6" cm="1">
        <f t="array" ref="J141">+$I$123*$G122*_xlfn.XLOOKUP($D141,_xlfn.ANCHORARRAY($I$118),$L$118:$L$120,,0)*_xlfn.XLOOKUP($D141,$D$131:$D$133,J$131:J$133,,0)</f>
        <v>0</v>
      </c>
      <c r="K141" s="6" cm="1">
        <f t="array" ref="K141">+$I$123*$G122*_xlfn.XLOOKUP($D141,_xlfn.ANCHORARRAY($I$118),$L$118:$L$120,,0)*_xlfn.XLOOKUP($D141,$D$131:$D$133,K$131:K$133,,0)</f>
        <v>0</v>
      </c>
      <c r="L141" s="6" cm="1">
        <f t="array" ref="L141">+$I$123*$G122*_xlfn.XLOOKUP($D141,_xlfn.ANCHORARRAY($I$118),$L$118:$L$120,,0)*_xlfn.XLOOKUP($D141,$D$131:$D$133,L$131:L$133,,0)</f>
        <v>0</v>
      </c>
      <c r="M141" s="7" cm="1">
        <f t="array" ref="M141">+$I$123*$G122*_xlfn.XLOOKUP($D141,_xlfn.ANCHORARRAY($I$118),$L$118:$L$120,,0)*_xlfn.XLOOKUP($D141,$D$131:$D$133,M$131:M$133,,0)</f>
        <v>0</v>
      </c>
      <c r="N141" s="18"/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</row>
    <row r="142" spans="1:24" x14ac:dyDescent="0.25">
      <c r="C142" s="20" t="s">
        <v>10</v>
      </c>
      <c r="D142" s="25" t="str">
        <f t="shared" si="46"/>
        <v>Serv</v>
      </c>
      <c r="E142" s="5" cm="1">
        <f t="array" ref="E142">+$I$123*$G123*_xlfn.XLOOKUP($D142,_xlfn.ANCHORARRAY($I$118),$L$118:$L$120,,0)*_xlfn.XLOOKUP($D142,$D$131:$D$133,E$131:E$133,,0)</f>
        <v>0</v>
      </c>
      <c r="F142" s="6" cm="1">
        <f t="array" ref="F142">+$I$123*$G123*_xlfn.XLOOKUP($D142,_xlfn.ANCHORARRAY($I$118),$L$118:$L$120,,0)*_xlfn.XLOOKUP($D142,$D$131:$D$133,F$131:F$133,,0)</f>
        <v>0</v>
      </c>
      <c r="G142" s="6" cm="1">
        <f t="array" ref="G142">+$I$123*$G123*_xlfn.XLOOKUP($D142,_xlfn.ANCHORARRAY($I$118),$L$118:$L$120,,0)*_xlfn.XLOOKUP($D142,$D$131:$D$133,G$131:G$133,,0)</f>
        <v>0</v>
      </c>
      <c r="H142" s="6" cm="1">
        <f t="array" ref="H142">+$I$123*$G123*_xlfn.XLOOKUP($D142,_xlfn.ANCHORARRAY($I$118),$L$118:$L$120,,0)*_xlfn.XLOOKUP($D142,$D$131:$D$133,H$131:H$133,,0)</f>
        <v>0</v>
      </c>
      <c r="I142" s="6" cm="1">
        <f t="array" ref="I142">+$I$123*$G123*_xlfn.XLOOKUP($D142,_xlfn.ANCHORARRAY($I$118),$L$118:$L$120,,0)*_xlfn.XLOOKUP($D142,$D$131:$D$133,I$131:I$133,,0)</f>
        <v>0</v>
      </c>
      <c r="J142" s="6" cm="1">
        <f t="array" ref="J142">+$I$123*$G123*_xlfn.XLOOKUP($D142,_xlfn.ANCHORARRAY($I$118),$L$118:$L$120,,0)*_xlfn.XLOOKUP($D142,$D$131:$D$133,J$131:J$133,,0)</f>
        <v>0</v>
      </c>
      <c r="K142" s="6" cm="1">
        <f t="array" ref="K142">+$I$123*$G123*_xlfn.XLOOKUP($D142,_xlfn.ANCHORARRAY($I$118),$L$118:$L$120,,0)*_xlfn.XLOOKUP($D142,$D$131:$D$133,K$131:K$133,,0)</f>
        <v>0</v>
      </c>
      <c r="L142" s="6" cm="1">
        <f t="array" ref="L142">+$I$123*$G123*_xlfn.XLOOKUP($D142,_xlfn.ANCHORARRAY($I$118),$L$118:$L$120,,0)*_xlfn.XLOOKUP($D142,$D$131:$D$133,L$131:L$133,,0)</f>
        <v>0</v>
      </c>
      <c r="M142" s="7" cm="1">
        <f t="array" ref="M142">+$I$123*$G123*_xlfn.XLOOKUP($D142,_xlfn.ANCHORARRAY($I$118),$L$118:$L$120,,0)*_xlfn.XLOOKUP($D142,$D$131:$D$133,M$131:M$133,,0)</f>
        <v>0</v>
      </c>
      <c r="N142" s="18"/>
      <c r="P142" s="101">
        <v>0</v>
      </c>
      <c r="Q142" s="101">
        <v>0</v>
      </c>
      <c r="R142" s="101">
        <v>2.1377704980931167E-2</v>
      </c>
      <c r="S142" s="101">
        <v>0</v>
      </c>
      <c r="T142" s="101">
        <v>0</v>
      </c>
      <c r="U142" s="101">
        <v>3.0954344877096585E-2</v>
      </c>
      <c r="V142" s="101">
        <v>0</v>
      </c>
      <c r="W142" s="101">
        <v>0</v>
      </c>
      <c r="X142" s="101">
        <v>0</v>
      </c>
    </row>
    <row r="143" spans="1:24" x14ac:dyDescent="0.25">
      <c r="C143" s="20" t="s">
        <v>11</v>
      </c>
      <c r="D143" s="25" t="str">
        <f t="shared" si="46"/>
        <v>Agr</v>
      </c>
      <c r="E143" s="5" cm="1">
        <f t="array" ref="E143">+$I$123*$G124*_xlfn.XLOOKUP($D143,_xlfn.ANCHORARRAY($I$118),$L$118:$L$120,,0)*_xlfn.XLOOKUP($D143,$D$131:$D$133,E$131:E$133,,0)</f>
        <v>0</v>
      </c>
      <c r="F143" s="6" cm="1">
        <f t="array" ref="F143">+$I$123*$G124*_xlfn.XLOOKUP($D143,_xlfn.ANCHORARRAY($I$118),$L$118:$L$120,,0)*_xlfn.XLOOKUP($D143,$D$131:$D$133,F$131:F$133,,0)</f>
        <v>0</v>
      </c>
      <c r="G143" s="6" cm="1">
        <f t="array" ref="G143">+$I$123*$G124*_xlfn.XLOOKUP($D143,_xlfn.ANCHORARRAY($I$118),$L$118:$L$120,,0)*_xlfn.XLOOKUP($D143,$D$131:$D$133,G$131:G$133,,0)</f>
        <v>3.2894019631978438E-2</v>
      </c>
      <c r="H143" s="6" cm="1">
        <f t="array" ref="H143">+$I$123*$G124*_xlfn.XLOOKUP($D143,_xlfn.ANCHORARRAY($I$118),$L$118:$L$120,,0)*_xlfn.XLOOKUP($D143,$D$131:$D$133,H$131:H$133,,0)</f>
        <v>0</v>
      </c>
      <c r="I143" s="6" cm="1">
        <f t="array" ref="I143">+$I$123*$G124*_xlfn.XLOOKUP($D143,_xlfn.ANCHORARRAY($I$118),$L$118:$L$120,,0)*_xlfn.XLOOKUP($D143,$D$131:$D$133,I$131:I$133,,0)</f>
        <v>0</v>
      </c>
      <c r="J143" s="6" cm="1">
        <f t="array" ref="J143">+$I$123*$G124*_xlfn.XLOOKUP($D143,_xlfn.ANCHORARRAY($I$118),$L$118:$L$120,,0)*_xlfn.XLOOKUP($D143,$D$131:$D$133,J$131:J$133,,0)</f>
        <v>0.12288532938127085</v>
      </c>
      <c r="K143" s="6" cm="1">
        <f t="array" ref="K143">+$I$123*$G124*_xlfn.XLOOKUP($D143,_xlfn.ANCHORARRAY($I$118),$L$118:$L$120,,0)*_xlfn.XLOOKUP($D143,$D$131:$D$133,K$131:K$133,,0)</f>
        <v>0</v>
      </c>
      <c r="L143" s="6" cm="1">
        <f t="array" ref="L143">+$I$123*$G124*_xlfn.XLOOKUP($D143,_xlfn.ANCHORARRAY($I$118),$L$118:$L$120,,0)*_xlfn.XLOOKUP($D143,$D$131:$D$133,L$131:L$133,,0)</f>
        <v>3.8043821217690128E-2</v>
      </c>
      <c r="M143" s="7" cm="1">
        <f t="array" ref="M143">+$I$123*$G124*_xlfn.XLOOKUP($D143,_xlfn.ANCHORARRAY($I$118),$L$118:$L$120,,0)*_xlfn.XLOOKUP($D143,$D$131:$D$133,M$131:M$133,,0)</f>
        <v>0</v>
      </c>
      <c r="N143" s="18"/>
    </row>
    <row r="144" spans="1:24" x14ac:dyDescent="0.25">
      <c r="C144" s="20" t="s">
        <v>11</v>
      </c>
      <c r="D144" s="25" t="str">
        <f t="shared" si="46"/>
        <v>Ind</v>
      </c>
      <c r="E144" s="5" cm="1">
        <f t="array" ref="E144">+$I$123*$G125*_xlfn.XLOOKUP($D144,_xlfn.ANCHORARRAY($I$118),$L$118:$L$120,,0)*_xlfn.XLOOKUP($D144,$D$131:$D$133,E$131:E$133,,0)</f>
        <v>0</v>
      </c>
      <c r="F144" s="6" cm="1">
        <f t="array" ref="F144">+$I$123*$G125*_xlfn.XLOOKUP($D144,_xlfn.ANCHORARRAY($I$118),$L$118:$L$120,,0)*_xlfn.XLOOKUP($D144,$D$131:$D$133,F$131:F$133,,0)</f>
        <v>0</v>
      </c>
      <c r="G144" s="6" cm="1">
        <f t="array" ref="G144">+$I$123*$G125*_xlfn.XLOOKUP($D144,_xlfn.ANCHORARRAY($I$118),$L$118:$L$120,,0)*_xlfn.XLOOKUP($D144,$D$131:$D$133,G$131:G$133,,0)</f>
        <v>0</v>
      </c>
      <c r="H144" s="6" cm="1">
        <f t="array" ref="H144">+$I$123*$G125*_xlfn.XLOOKUP($D144,_xlfn.ANCHORARRAY($I$118),$L$118:$L$120,,0)*_xlfn.XLOOKUP($D144,$D$131:$D$133,H$131:H$133,,0)</f>
        <v>0</v>
      </c>
      <c r="I144" s="6" cm="1">
        <f t="array" ref="I144">+$I$123*$G125*_xlfn.XLOOKUP($D144,_xlfn.ANCHORARRAY($I$118),$L$118:$L$120,,0)*_xlfn.XLOOKUP($D144,$D$131:$D$133,I$131:I$133,,0)</f>
        <v>0</v>
      </c>
      <c r="J144" s="6" cm="1">
        <f t="array" ref="J144">+$I$123*$G125*_xlfn.XLOOKUP($D144,_xlfn.ANCHORARRAY($I$118),$L$118:$L$120,,0)*_xlfn.XLOOKUP($D144,$D$131:$D$133,J$131:J$133,,0)</f>
        <v>0</v>
      </c>
      <c r="K144" s="6" cm="1">
        <f t="array" ref="K144">+$I$123*$G125*_xlfn.XLOOKUP($D144,_xlfn.ANCHORARRAY($I$118),$L$118:$L$120,,0)*_xlfn.XLOOKUP($D144,$D$131:$D$133,K$131:K$133,,0)</f>
        <v>0</v>
      </c>
      <c r="L144" s="6" cm="1">
        <f t="array" ref="L144">+$I$123*$G125*_xlfn.XLOOKUP($D144,_xlfn.ANCHORARRAY($I$118),$L$118:$L$120,,0)*_xlfn.XLOOKUP($D144,$D$131:$D$133,L$131:L$133,,0)</f>
        <v>0</v>
      </c>
      <c r="M144" s="7" cm="1">
        <f t="array" ref="M144">+$I$123*$G125*_xlfn.XLOOKUP($D144,_xlfn.ANCHORARRAY($I$118),$L$118:$L$120,,0)*_xlfn.XLOOKUP($D144,$D$131:$D$133,M$131:M$133,,0)</f>
        <v>0</v>
      </c>
      <c r="N144" s="18"/>
    </row>
    <row r="145" spans="3:23" x14ac:dyDescent="0.25">
      <c r="C145" s="20" t="s">
        <v>11</v>
      </c>
      <c r="D145" s="25" t="str">
        <f t="shared" si="46"/>
        <v>Serv</v>
      </c>
      <c r="E145" s="9" cm="1">
        <f t="array" ref="E145">+$I$123*$G126*_xlfn.XLOOKUP($D145,_xlfn.ANCHORARRAY($I$118),$L$118:$L$120,,0)*_xlfn.XLOOKUP($D145,$D$131:$D$133,E$131:E$133,,0)</f>
        <v>0</v>
      </c>
      <c r="F145" s="10" cm="1">
        <f t="array" ref="F145">+$I$123*$G126*_xlfn.XLOOKUP($D145,_xlfn.ANCHORARRAY($I$118),$L$118:$L$120,,0)*_xlfn.XLOOKUP($D145,$D$131:$D$133,F$131:F$133,,0)</f>
        <v>0</v>
      </c>
      <c r="G145" s="10" cm="1">
        <f t="array" ref="G145">+$I$123*$G126*_xlfn.XLOOKUP($D145,_xlfn.ANCHORARRAY($I$118),$L$118:$L$120,,0)*_xlfn.XLOOKUP($D145,$D$131:$D$133,G$131:G$133,,0)</f>
        <v>2.1377704980931167E-2</v>
      </c>
      <c r="H145" s="10" cm="1">
        <f t="array" ref="H145">+$I$123*$G126*_xlfn.XLOOKUP($D145,_xlfn.ANCHORARRAY($I$118),$L$118:$L$120,,0)*_xlfn.XLOOKUP($D145,$D$131:$D$133,H$131:H$133,,0)</f>
        <v>0</v>
      </c>
      <c r="I145" s="10" cm="1">
        <f t="array" ref="I145">+$I$123*$G126*_xlfn.XLOOKUP($D145,_xlfn.ANCHORARRAY($I$118),$L$118:$L$120,,0)*_xlfn.XLOOKUP($D145,$D$131:$D$133,I$131:I$133,,0)</f>
        <v>0</v>
      </c>
      <c r="J145" s="10" cm="1">
        <f t="array" ref="J145">+$I$123*$G126*_xlfn.XLOOKUP($D145,_xlfn.ANCHORARRAY($I$118),$L$118:$L$120,,0)*_xlfn.XLOOKUP($D145,$D$131:$D$133,J$131:J$133,,0)</f>
        <v>3.0954344877096585E-2</v>
      </c>
      <c r="K145" s="10" cm="1">
        <f t="array" ref="K145">+$I$123*$G126*_xlfn.XLOOKUP($D145,_xlfn.ANCHORARRAY($I$118),$L$118:$L$120,,0)*_xlfn.XLOOKUP($D145,$D$131:$D$133,K$131:K$133,,0)</f>
        <v>0</v>
      </c>
      <c r="L145" s="10" cm="1">
        <f t="array" ref="L145">+$I$123*$G126*_xlfn.XLOOKUP($D145,_xlfn.ANCHORARRAY($I$118),$L$118:$L$120,,0)*_xlfn.XLOOKUP($D145,$D$131:$D$133,L$131:L$133,,0)</f>
        <v>0</v>
      </c>
      <c r="M145" s="11" cm="1">
        <f t="array" ref="M145">+$I$123*$G126*_xlfn.XLOOKUP($D145,_xlfn.ANCHORARRAY($I$118),$L$118:$L$120,,0)*_xlfn.XLOOKUP($D145,$D$131:$D$133,M$131:M$133,,0)</f>
        <v>0</v>
      </c>
      <c r="N145" s="18"/>
    </row>
    <row r="146" spans="3:23" x14ac:dyDescent="0.25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3" x14ac:dyDescent="0.25">
      <c r="O147" s="19"/>
    </row>
    <row r="148" spans="3:23" ht="15.75" thickBot="1" x14ac:dyDescent="0.3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3" ht="15.75" thickBot="1" x14ac:dyDescent="0.3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3" x14ac:dyDescent="0.25">
      <c r="C150" s="20" t="s">
        <v>1</v>
      </c>
      <c r="D150" s="28" t="s">
        <v>51</v>
      </c>
      <c r="E150" s="1">
        <f>+MIN(E78,E94)+E137</f>
        <v>8.6842126977846252</v>
      </c>
      <c r="F150" s="2">
        <f t="shared" ref="F150:M150" si="47">+MIN(F78,F94)+F137</f>
        <v>4.2276020137377541</v>
      </c>
      <c r="G150" s="2">
        <f t="shared" si="47"/>
        <v>9.181927947801281</v>
      </c>
      <c r="H150" s="2">
        <f t="shared" si="47"/>
        <v>0.89572292533461151</v>
      </c>
      <c r="I150" s="2">
        <f t="shared" si="47"/>
        <v>0</v>
      </c>
      <c r="J150" s="2">
        <f t="shared" si="47"/>
        <v>7.5102266020740513</v>
      </c>
      <c r="K150" s="2">
        <f t="shared" si="47"/>
        <v>2.5215971518460472</v>
      </c>
      <c r="L150" s="2">
        <f t="shared" si="47"/>
        <v>6.3881550014752486</v>
      </c>
      <c r="M150" s="3">
        <f t="shared" si="47"/>
        <v>1.730917123294301</v>
      </c>
      <c r="N150" s="19">
        <f>+E150-E5</f>
        <v>-1.3157873022153748</v>
      </c>
      <c r="O150" s="19">
        <f t="shared" ref="O150:V158" si="48">+F150-F5</f>
        <v>-0.77239798626224587</v>
      </c>
      <c r="P150" s="19">
        <f t="shared" si="48"/>
        <v>-0.81807205219871904</v>
      </c>
      <c r="Q150" s="19">
        <f t="shared" si="48"/>
        <v>-0.10427707466538849</v>
      </c>
      <c r="R150" s="19">
        <f t="shared" si="48"/>
        <v>0</v>
      </c>
      <c r="S150" s="19">
        <f t="shared" si="48"/>
        <v>-0.48977339792594865</v>
      </c>
      <c r="T150" s="19">
        <f t="shared" si="48"/>
        <v>-0.47840284815395284</v>
      </c>
      <c r="U150" s="19">
        <f t="shared" si="48"/>
        <v>-0.61184499852475138</v>
      </c>
      <c r="V150" s="19">
        <f t="shared" si="48"/>
        <v>-0.26908287670569897</v>
      </c>
      <c r="W150" s="16">
        <f>+SUM(N150:V150)</f>
        <v>-4.8596385366520796</v>
      </c>
    </row>
    <row r="151" spans="3:23" x14ac:dyDescent="0.25">
      <c r="C151" s="20" t="s">
        <v>1</v>
      </c>
      <c r="D151" s="25" t="s">
        <v>52</v>
      </c>
      <c r="E151" s="5">
        <f t="shared" ref="E151:M158" si="49">+MIN(E79,E95)+E138</f>
        <v>6.9473701582276997</v>
      </c>
      <c r="F151" s="6">
        <f t="shared" si="49"/>
        <v>2.5365612082426523</v>
      </c>
      <c r="G151" s="6">
        <f t="shared" si="49"/>
        <v>8.2380998362070965</v>
      </c>
      <c r="H151" s="6">
        <f t="shared" si="49"/>
        <v>3.582891701338446</v>
      </c>
      <c r="I151" s="6">
        <f t="shared" si="49"/>
        <v>1.7559431938696251</v>
      </c>
      <c r="J151" s="6">
        <f t="shared" si="49"/>
        <v>9.2547717243854848</v>
      </c>
      <c r="K151" s="6">
        <f t="shared" si="49"/>
        <v>0.84053238394868235</v>
      </c>
      <c r="L151" s="6">
        <f t="shared" si="49"/>
        <v>3.6315497056732347</v>
      </c>
      <c r="M151" s="7">
        <f t="shared" si="49"/>
        <v>6.0582099315300537</v>
      </c>
      <c r="N151" s="19">
        <f t="shared" ref="N151:N158" si="50">+E151-E6</f>
        <v>-1.0526298417723003</v>
      </c>
      <c r="O151" s="19">
        <f t="shared" si="48"/>
        <v>-0.4634387917573477</v>
      </c>
      <c r="P151" s="19">
        <f t="shared" si="48"/>
        <v>-0.76190016379290348</v>
      </c>
      <c r="Q151" s="19">
        <f t="shared" si="48"/>
        <v>-0.41710829866155397</v>
      </c>
      <c r="R151" s="19">
        <f t="shared" si="48"/>
        <v>-0.24405680613037495</v>
      </c>
      <c r="S151" s="19">
        <f t="shared" si="48"/>
        <v>-0.74522827561451521</v>
      </c>
      <c r="T151" s="19">
        <f t="shared" si="48"/>
        <v>-0.15946761605131765</v>
      </c>
      <c r="U151" s="19">
        <f t="shared" si="48"/>
        <v>-0.36845029432676535</v>
      </c>
      <c r="V151" s="19">
        <f t="shared" si="48"/>
        <v>-0.94179006846994628</v>
      </c>
      <c r="W151" s="16">
        <f t="shared" ref="W151:W158" si="51">+SUM(N151:V151)</f>
        <v>-5.1540701565770251</v>
      </c>
    </row>
    <row r="152" spans="3:23" x14ac:dyDescent="0.25">
      <c r="C152" s="20" t="s">
        <v>1</v>
      </c>
      <c r="D152" s="25" t="s">
        <v>53</v>
      </c>
      <c r="E152" s="5">
        <f t="shared" si="49"/>
        <v>0</v>
      </c>
      <c r="F152" s="6">
        <f t="shared" si="49"/>
        <v>0</v>
      </c>
      <c r="G152" s="6">
        <f t="shared" si="49"/>
        <v>0</v>
      </c>
      <c r="H152" s="6">
        <f t="shared" si="49"/>
        <v>6.2700604773422812</v>
      </c>
      <c r="I152" s="6">
        <f t="shared" si="49"/>
        <v>3.5118863877392501</v>
      </c>
      <c r="J152" s="6">
        <f t="shared" si="49"/>
        <v>3.7019086897541933</v>
      </c>
      <c r="K152" s="6">
        <f t="shared" si="49"/>
        <v>5.8837266876407766</v>
      </c>
      <c r="L152" s="6">
        <f t="shared" si="49"/>
        <v>3.6315497056732347</v>
      </c>
      <c r="M152" s="7">
        <f t="shared" si="49"/>
        <v>6.0582099315300537</v>
      </c>
      <c r="N152" s="19">
        <f t="shared" si="50"/>
        <v>0</v>
      </c>
      <c r="O152" s="19">
        <f t="shared" si="48"/>
        <v>0</v>
      </c>
      <c r="P152" s="19">
        <f t="shared" si="48"/>
        <v>0</v>
      </c>
      <c r="Q152" s="19">
        <f t="shared" si="48"/>
        <v>-0.72993952265771878</v>
      </c>
      <c r="R152" s="19">
        <f t="shared" si="48"/>
        <v>-0.4881136122607499</v>
      </c>
      <c r="S152" s="19">
        <f t="shared" si="48"/>
        <v>-0.29809131024580671</v>
      </c>
      <c r="T152" s="19">
        <f t="shared" si="48"/>
        <v>-1.1162733123592234</v>
      </c>
      <c r="U152" s="19">
        <f t="shared" si="48"/>
        <v>-0.36845029432676535</v>
      </c>
      <c r="V152" s="19">
        <f t="shared" si="48"/>
        <v>-0.94179006846994628</v>
      </c>
      <c r="W152" s="16">
        <f t="shared" si="51"/>
        <v>-3.9426581203202105</v>
      </c>
    </row>
    <row r="153" spans="3:23" x14ac:dyDescent="0.25">
      <c r="C153" s="20" t="s">
        <v>10</v>
      </c>
      <c r="D153" s="25" t="str">
        <f>+D150</f>
        <v>Agr</v>
      </c>
      <c r="E153" s="5">
        <f t="shared" si="49"/>
        <v>7.8157914280061611</v>
      </c>
      <c r="F153" s="6">
        <f t="shared" si="49"/>
        <v>4.2276020137377541</v>
      </c>
      <c r="G153" s="6">
        <f t="shared" si="49"/>
        <v>3.6</v>
      </c>
      <c r="H153" s="6">
        <f t="shared" si="49"/>
        <v>6.2700604773422812</v>
      </c>
      <c r="I153" s="6">
        <f t="shared" si="49"/>
        <v>8.7797159693481248</v>
      </c>
      <c r="J153" s="6">
        <f t="shared" si="49"/>
        <v>8.1</v>
      </c>
      <c r="K153" s="6">
        <f t="shared" si="49"/>
        <v>8.4053238394868242</v>
      </c>
      <c r="L153" s="6">
        <f t="shared" si="49"/>
        <v>8.1</v>
      </c>
      <c r="M153" s="7">
        <f t="shared" si="49"/>
        <v>7.7891270548243545</v>
      </c>
      <c r="N153" s="19">
        <f t="shared" si="50"/>
        <v>-1.1842085719938389</v>
      </c>
      <c r="O153" s="19">
        <f t="shared" si="48"/>
        <v>-0.77239798626224587</v>
      </c>
      <c r="P153" s="19">
        <f t="shared" si="48"/>
        <v>-0.39999999999999991</v>
      </c>
      <c r="Q153" s="19">
        <f t="shared" si="48"/>
        <v>-0.72993952265771878</v>
      </c>
      <c r="R153" s="19">
        <f t="shared" si="48"/>
        <v>-1.2202840306518752</v>
      </c>
      <c r="S153" s="19">
        <f t="shared" si="48"/>
        <v>-0.90000000000000036</v>
      </c>
      <c r="T153" s="19">
        <f t="shared" si="48"/>
        <v>-1.5946761605131758</v>
      </c>
      <c r="U153" s="19">
        <f t="shared" si="48"/>
        <v>-0.90000000000000036</v>
      </c>
      <c r="V153" s="19">
        <f t="shared" si="48"/>
        <v>-1.2108729451756455</v>
      </c>
      <c r="W153" s="16">
        <f t="shared" si="51"/>
        <v>-8.9123792172545002</v>
      </c>
    </row>
    <row r="154" spans="3:23" x14ac:dyDescent="0.25">
      <c r="C154" s="20" t="s">
        <v>10</v>
      </c>
      <c r="D154" s="25" t="str">
        <f t="shared" ref="D154:D158" si="52">+D151</f>
        <v>Ind</v>
      </c>
      <c r="E154" s="5">
        <f t="shared" si="49"/>
        <v>3.4736850791138498</v>
      </c>
      <c r="F154" s="6">
        <f t="shared" si="49"/>
        <v>1.6910408054951016</v>
      </c>
      <c r="G154" s="6">
        <f t="shared" si="49"/>
        <v>2.7460332787356982</v>
      </c>
      <c r="H154" s="6">
        <f t="shared" si="49"/>
        <v>5.3743375520076686</v>
      </c>
      <c r="I154" s="6">
        <f t="shared" si="49"/>
        <v>6.1458011785436879</v>
      </c>
      <c r="J154" s="6">
        <f t="shared" si="49"/>
        <v>3.7019086897541933</v>
      </c>
      <c r="K154" s="6">
        <f t="shared" si="49"/>
        <v>7.564791455538141</v>
      </c>
      <c r="L154" s="6">
        <f t="shared" si="49"/>
        <v>1.8157748528366173</v>
      </c>
      <c r="M154" s="7">
        <f t="shared" si="49"/>
        <v>6.9236684931772041</v>
      </c>
      <c r="N154" s="19">
        <f t="shared" si="50"/>
        <v>-0.52631492088615017</v>
      </c>
      <c r="O154" s="19">
        <f t="shared" si="48"/>
        <v>-0.30895919450489839</v>
      </c>
      <c r="P154" s="19">
        <f t="shared" si="48"/>
        <v>-0.25396672126430175</v>
      </c>
      <c r="Q154" s="19">
        <f t="shared" si="48"/>
        <v>-0.62566244799233139</v>
      </c>
      <c r="R154" s="19">
        <f t="shared" si="48"/>
        <v>-0.8541988214563121</v>
      </c>
      <c r="S154" s="19">
        <f t="shared" si="48"/>
        <v>-0.29809131024580671</v>
      </c>
      <c r="T154" s="19">
        <f t="shared" si="48"/>
        <v>-1.435208544461859</v>
      </c>
      <c r="U154" s="19">
        <f t="shared" si="48"/>
        <v>-0.18422514716338267</v>
      </c>
      <c r="V154" s="19">
        <f t="shared" si="48"/>
        <v>-1.0763315068227959</v>
      </c>
      <c r="W154" s="16">
        <f t="shared" si="51"/>
        <v>-5.5629586147978376</v>
      </c>
    </row>
    <row r="155" spans="3:23" x14ac:dyDescent="0.25">
      <c r="C155" s="20" t="s">
        <v>10</v>
      </c>
      <c r="D155" s="25" t="str">
        <f t="shared" si="52"/>
        <v>Serv</v>
      </c>
      <c r="E155" s="5">
        <f t="shared" si="49"/>
        <v>5.2105276186707741</v>
      </c>
      <c r="F155" s="6">
        <f t="shared" si="49"/>
        <v>4.2276020137377541</v>
      </c>
      <c r="G155" s="6">
        <f t="shared" si="49"/>
        <v>3.64</v>
      </c>
      <c r="H155" s="6">
        <f t="shared" si="49"/>
        <v>0.89572292533461151</v>
      </c>
      <c r="I155" s="6">
        <f t="shared" si="49"/>
        <v>7.9017443724133116</v>
      </c>
      <c r="J155" s="6">
        <f t="shared" si="49"/>
        <v>1.82</v>
      </c>
      <c r="K155" s="6">
        <f t="shared" si="49"/>
        <v>0.84053238394868235</v>
      </c>
      <c r="L155" s="6">
        <f t="shared" si="49"/>
        <v>5.4473245585098518</v>
      </c>
      <c r="M155" s="7">
        <f t="shared" si="49"/>
        <v>0.86545856164715051</v>
      </c>
      <c r="N155" s="19">
        <f t="shared" si="50"/>
        <v>-0.78947238132922593</v>
      </c>
      <c r="O155" s="19">
        <f t="shared" si="48"/>
        <v>-0.77239798626224587</v>
      </c>
      <c r="P155" s="19">
        <f t="shared" si="48"/>
        <v>-0.35999999999999988</v>
      </c>
      <c r="Q155" s="19">
        <f t="shared" si="48"/>
        <v>-0.10427707466538849</v>
      </c>
      <c r="R155" s="19">
        <f t="shared" si="48"/>
        <v>-1.0982556275866884</v>
      </c>
      <c r="S155" s="19">
        <f t="shared" si="48"/>
        <v>-0.17999999999999994</v>
      </c>
      <c r="T155" s="19">
        <f t="shared" si="48"/>
        <v>-0.15946761605131765</v>
      </c>
      <c r="U155" s="19">
        <f t="shared" si="48"/>
        <v>-0.55267544149014824</v>
      </c>
      <c r="V155" s="19">
        <f t="shared" si="48"/>
        <v>-0.13454143835284949</v>
      </c>
      <c r="W155" s="16">
        <f t="shared" si="51"/>
        <v>-4.1510875657378641</v>
      </c>
    </row>
    <row r="156" spans="3:23" x14ac:dyDescent="0.25">
      <c r="C156" s="20" t="s">
        <v>11</v>
      </c>
      <c r="D156" s="25" t="str">
        <f t="shared" si="52"/>
        <v>Agr</v>
      </c>
      <c r="E156" s="5">
        <f t="shared" si="49"/>
        <v>2.605263809335387</v>
      </c>
      <c r="F156" s="6">
        <f t="shared" si="49"/>
        <v>8.4552040274755083</v>
      </c>
      <c r="G156" s="6">
        <f t="shared" si="49"/>
        <v>7.355649429593841</v>
      </c>
      <c r="H156" s="6">
        <f t="shared" si="49"/>
        <v>8.0615063280115038</v>
      </c>
      <c r="I156" s="6">
        <f t="shared" si="49"/>
        <v>8.7797159693481248</v>
      </c>
      <c r="J156" s="6">
        <f t="shared" si="49"/>
        <v>0.12288532938127085</v>
      </c>
      <c r="K156" s="6">
        <f t="shared" si="49"/>
        <v>5.8837266876407766</v>
      </c>
      <c r="L156" s="6">
        <f t="shared" si="49"/>
        <v>8.2090306589824671</v>
      </c>
      <c r="M156" s="7">
        <f t="shared" si="49"/>
        <v>6.9236684931772041</v>
      </c>
      <c r="N156" s="19">
        <f t="shared" si="50"/>
        <v>-0.39473619066461296</v>
      </c>
      <c r="O156" s="19">
        <f t="shared" si="48"/>
        <v>-1.5447959725244917</v>
      </c>
      <c r="P156" s="19">
        <f t="shared" si="48"/>
        <v>-0.64435057040615895</v>
      </c>
      <c r="Q156" s="19">
        <f t="shared" si="48"/>
        <v>-0.9384936719884962</v>
      </c>
      <c r="R156" s="19">
        <f t="shared" si="48"/>
        <v>-1.2202840306518752</v>
      </c>
      <c r="S156" s="19">
        <f t="shared" si="48"/>
        <v>0.12288532938127085</v>
      </c>
      <c r="T156" s="19">
        <f t="shared" si="48"/>
        <v>-1.1162733123592234</v>
      </c>
      <c r="U156" s="19">
        <f t="shared" si="48"/>
        <v>-0.79096934101753291</v>
      </c>
      <c r="V156" s="19">
        <f t="shared" si="48"/>
        <v>-1.0763315068227959</v>
      </c>
      <c r="W156" s="16">
        <f t="shared" si="51"/>
        <v>-7.6033492670539164</v>
      </c>
    </row>
    <row r="157" spans="3:23" x14ac:dyDescent="0.25">
      <c r="C157" s="20" t="s">
        <v>11</v>
      </c>
      <c r="D157" s="25" t="str">
        <f t="shared" si="52"/>
        <v>Ind</v>
      </c>
      <c r="E157" s="5">
        <f t="shared" si="49"/>
        <v>0.86842126977846246</v>
      </c>
      <c r="F157" s="6">
        <f t="shared" si="49"/>
        <v>6.7641632219804064</v>
      </c>
      <c r="G157" s="6">
        <f t="shared" si="49"/>
        <v>0</v>
      </c>
      <c r="H157" s="6">
        <f t="shared" si="49"/>
        <v>8.0615063280115038</v>
      </c>
      <c r="I157" s="6">
        <f t="shared" si="49"/>
        <v>0</v>
      </c>
      <c r="J157" s="6">
        <f t="shared" si="49"/>
        <v>0</v>
      </c>
      <c r="K157" s="6">
        <f t="shared" si="49"/>
        <v>6.7242590715894588</v>
      </c>
      <c r="L157" s="6">
        <f t="shared" si="49"/>
        <v>9.0788742641830869</v>
      </c>
      <c r="M157" s="7">
        <f t="shared" si="49"/>
        <v>0.86545856164715051</v>
      </c>
      <c r="N157" s="19">
        <f t="shared" si="50"/>
        <v>-0.13157873022153754</v>
      </c>
      <c r="O157" s="19">
        <f t="shared" si="48"/>
        <v>-1.2358367780195936</v>
      </c>
      <c r="P157" s="19">
        <f t="shared" si="48"/>
        <v>0</v>
      </c>
      <c r="Q157" s="19">
        <f t="shared" si="48"/>
        <v>-0.9384936719884962</v>
      </c>
      <c r="R157" s="19">
        <f t="shared" si="48"/>
        <v>0</v>
      </c>
      <c r="S157" s="19">
        <f t="shared" si="48"/>
        <v>0</v>
      </c>
      <c r="T157" s="19">
        <f t="shared" si="48"/>
        <v>-1.2757409284105412</v>
      </c>
      <c r="U157" s="19">
        <f t="shared" si="48"/>
        <v>-0.92112573581691315</v>
      </c>
      <c r="V157" s="19">
        <f t="shared" si="48"/>
        <v>-0.13454143835284949</v>
      </c>
      <c r="W157" s="16">
        <f t="shared" si="51"/>
        <v>-4.6373172828099314</v>
      </c>
    </row>
    <row r="158" spans="3:23" x14ac:dyDescent="0.25">
      <c r="C158" s="20" t="s">
        <v>11</v>
      </c>
      <c r="D158" s="25" t="str">
        <f t="shared" si="52"/>
        <v>Serv</v>
      </c>
      <c r="E158" s="9">
        <f t="shared" si="49"/>
        <v>8.6842126977846252</v>
      </c>
      <c r="F158" s="10">
        <f t="shared" si="49"/>
        <v>1.6910408054951016</v>
      </c>
      <c r="G158" s="10">
        <f t="shared" si="49"/>
        <v>3.6827554099618625</v>
      </c>
      <c r="H158" s="10">
        <f t="shared" si="49"/>
        <v>8.9572292533461155</v>
      </c>
      <c r="I158" s="10">
        <f t="shared" si="49"/>
        <v>0</v>
      </c>
      <c r="J158" s="10">
        <f t="shared" si="49"/>
        <v>3.0954344877096585E-2</v>
      </c>
      <c r="K158" s="10">
        <f t="shared" si="49"/>
        <v>2.5215971518460472</v>
      </c>
      <c r="L158" s="10">
        <f t="shared" si="49"/>
        <v>0</v>
      </c>
      <c r="M158" s="11">
        <f t="shared" si="49"/>
        <v>6.0582099315300537</v>
      </c>
      <c r="N158" s="19">
        <f t="shared" si="50"/>
        <v>-1.3157873022153748</v>
      </c>
      <c r="O158" s="19">
        <f t="shared" si="48"/>
        <v>-0.30895919450489839</v>
      </c>
      <c r="P158" s="19">
        <f t="shared" si="48"/>
        <v>-0.31724459003813754</v>
      </c>
      <c r="Q158" s="19">
        <f t="shared" si="48"/>
        <v>-1.0427707466538845</v>
      </c>
      <c r="R158" s="19">
        <f t="shared" si="48"/>
        <v>0</v>
      </c>
      <c r="S158" s="19">
        <f t="shared" si="48"/>
        <v>3.0954344877096585E-2</v>
      </c>
      <c r="T158" s="19">
        <f t="shared" si="48"/>
        <v>-0.47840284815395284</v>
      </c>
      <c r="U158" s="19">
        <f t="shared" si="48"/>
        <v>0</v>
      </c>
      <c r="V158" s="19">
        <f t="shared" si="48"/>
        <v>-0.94179006846994628</v>
      </c>
      <c r="W158" s="16">
        <f t="shared" si="51"/>
        <v>-4.3740004051590979</v>
      </c>
    </row>
    <row r="159" spans="3:23" x14ac:dyDescent="0.25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366.80254083363747</v>
      </c>
      <c r="O159" s="18"/>
    </row>
    <row r="161" spans="1:23" x14ac:dyDescent="0.25">
      <c r="A161" s="66"/>
    </row>
    <row r="162" spans="1:23" ht="15.75" thickBot="1" x14ac:dyDescent="0.3">
      <c r="A162" s="68" t="s">
        <v>41</v>
      </c>
      <c r="E162" s="20" t="s">
        <v>1</v>
      </c>
      <c r="F162" s="20" t="s">
        <v>1</v>
      </c>
      <c r="G162" s="20" t="s">
        <v>1</v>
      </c>
      <c r="H162" s="20" t="s">
        <v>10</v>
      </c>
      <c r="I162" s="20" t="s">
        <v>10</v>
      </c>
      <c r="J162" s="20" t="s">
        <v>10</v>
      </c>
      <c r="K162" s="20" t="s">
        <v>11</v>
      </c>
      <c r="L162" s="20" t="s">
        <v>11</v>
      </c>
      <c r="M162" s="20" t="s">
        <v>11</v>
      </c>
    </row>
    <row r="163" spans="1:23" ht="15.75" thickBot="1" x14ac:dyDescent="0.3">
      <c r="D163" s="23" t="s">
        <v>42</v>
      </c>
      <c r="E163" s="27" t="s">
        <v>51</v>
      </c>
      <c r="F163" s="26" t="s">
        <v>52</v>
      </c>
      <c r="G163" s="26" t="s">
        <v>53</v>
      </c>
      <c r="H163" s="26" t="s">
        <v>51</v>
      </c>
      <c r="I163" s="26" t="s">
        <v>52</v>
      </c>
      <c r="J163" s="26" t="s">
        <v>53</v>
      </c>
      <c r="K163" s="26" t="s">
        <v>51</v>
      </c>
      <c r="L163" s="26" t="s">
        <v>52</v>
      </c>
      <c r="M163" s="26" t="s">
        <v>53</v>
      </c>
    </row>
    <row r="164" spans="1:23" x14ac:dyDescent="0.25">
      <c r="D164" s="28" t="str" cm="1">
        <f t="array" ref="D164:D166">+_xlfn.UNIQUE($D$150:$D$158)</f>
        <v>Agr</v>
      </c>
      <c r="E164" s="1">
        <f>+SUMIF($D$5:$D$13,$D164,E$5:E$13)</f>
        <v>22</v>
      </c>
      <c r="F164" s="2">
        <f t="shared" ref="F164:M166" si="53">+SUMIF($D$5:$D$13,$D164,F$5:F$13)</f>
        <v>20</v>
      </c>
      <c r="G164" s="2">
        <f t="shared" si="53"/>
        <v>22</v>
      </c>
      <c r="H164" s="2">
        <f t="shared" si="53"/>
        <v>17</v>
      </c>
      <c r="I164" s="2">
        <f t="shared" si="53"/>
        <v>20</v>
      </c>
      <c r="J164" s="2">
        <f t="shared" si="53"/>
        <v>17</v>
      </c>
      <c r="K164" s="2">
        <f t="shared" si="53"/>
        <v>20</v>
      </c>
      <c r="L164" s="2">
        <f t="shared" si="53"/>
        <v>25</v>
      </c>
      <c r="M164" s="3">
        <f t="shared" si="53"/>
        <v>19</v>
      </c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x14ac:dyDescent="0.25">
      <c r="D165" s="25" t="str">
        <v>Ind</v>
      </c>
      <c r="E165" s="5">
        <f t="shared" ref="E165:E166" si="54">+SUMIF($D$5:$D$13,$D165,E$5:E$13)</f>
        <v>13</v>
      </c>
      <c r="F165" s="6">
        <f t="shared" si="53"/>
        <v>13</v>
      </c>
      <c r="G165" s="6">
        <f t="shared" si="53"/>
        <v>12</v>
      </c>
      <c r="H165" s="6">
        <f t="shared" si="53"/>
        <v>19</v>
      </c>
      <c r="I165" s="6">
        <f t="shared" si="53"/>
        <v>9</v>
      </c>
      <c r="J165" s="6">
        <f t="shared" si="53"/>
        <v>14</v>
      </c>
      <c r="K165" s="6">
        <f t="shared" si="53"/>
        <v>18</v>
      </c>
      <c r="L165" s="6">
        <f t="shared" si="53"/>
        <v>16</v>
      </c>
      <c r="M165" s="7">
        <f t="shared" si="53"/>
        <v>16</v>
      </c>
      <c r="O165" s="18"/>
      <c r="P165" s="18"/>
      <c r="Q165" s="18"/>
      <c r="R165" s="18"/>
      <c r="S165" s="18"/>
      <c r="T165" s="18"/>
      <c r="U165" s="18"/>
      <c r="V165" s="18"/>
      <c r="W165" s="18"/>
    </row>
    <row r="166" spans="1:23" x14ac:dyDescent="0.25">
      <c r="D166" s="25" t="str">
        <v>Serv</v>
      </c>
      <c r="E166" s="9">
        <f t="shared" si="54"/>
        <v>16</v>
      </c>
      <c r="F166" s="10">
        <f t="shared" si="53"/>
        <v>7</v>
      </c>
      <c r="G166" s="10">
        <f t="shared" si="53"/>
        <v>8</v>
      </c>
      <c r="H166" s="10">
        <f t="shared" si="53"/>
        <v>18</v>
      </c>
      <c r="I166" s="10">
        <f t="shared" si="53"/>
        <v>13</v>
      </c>
      <c r="J166" s="10">
        <f t="shared" si="53"/>
        <v>6</v>
      </c>
      <c r="K166" s="10">
        <f t="shared" si="53"/>
        <v>11</v>
      </c>
      <c r="L166" s="10">
        <f t="shared" si="53"/>
        <v>10</v>
      </c>
      <c r="M166" s="11">
        <f t="shared" si="53"/>
        <v>15</v>
      </c>
      <c r="O166" s="18"/>
      <c r="P166" s="18"/>
      <c r="Q166" s="18"/>
      <c r="R166" s="18"/>
      <c r="S166" s="18"/>
      <c r="T166" s="18"/>
      <c r="U166" s="18"/>
      <c r="V166" s="18"/>
      <c r="W166" s="18"/>
    </row>
    <row r="167" spans="1:23" x14ac:dyDescent="0.25">
      <c r="D167" s="25" t="s">
        <v>8</v>
      </c>
      <c r="E167" s="70">
        <f>+E15</f>
        <v>71</v>
      </c>
      <c r="F167" s="71">
        <f t="shared" ref="F167:M167" si="55">+F15</f>
        <v>55</v>
      </c>
      <c r="G167" s="71">
        <f t="shared" si="55"/>
        <v>47</v>
      </c>
      <c r="H167" s="71">
        <f t="shared" si="55"/>
        <v>82</v>
      </c>
      <c r="I167" s="71">
        <f t="shared" si="55"/>
        <v>50</v>
      </c>
      <c r="J167" s="71">
        <f t="shared" si="55"/>
        <v>55</v>
      </c>
      <c r="K167" s="71">
        <f t="shared" si="55"/>
        <v>79</v>
      </c>
      <c r="L167" s="71">
        <f t="shared" si="55"/>
        <v>65</v>
      </c>
      <c r="M167" s="72">
        <f t="shared" si="55"/>
        <v>60</v>
      </c>
      <c r="N167" s="19"/>
      <c r="O167" s="18"/>
      <c r="P167" s="18"/>
      <c r="Q167" s="18"/>
      <c r="R167" s="18"/>
      <c r="S167" s="18"/>
      <c r="T167" s="18"/>
      <c r="U167" s="18"/>
      <c r="V167" s="18"/>
      <c r="W167" s="18"/>
    </row>
    <row r="168" spans="1:23" x14ac:dyDescent="0.25">
      <c r="O168" s="18"/>
      <c r="P168" s="18"/>
      <c r="Q168" s="18"/>
      <c r="R168" s="18"/>
      <c r="S168" s="18"/>
      <c r="T168" s="18"/>
      <c r="U168" s="18"/>
      <c r="V168" s="18"/>
      <c r="W168" s="18"/>
    </row>
    <row r="169" spans="1:23" ht="15.75" thickBot="1" x14ac:dyDescent="0.3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  <c r="O169" s="18"/>
      <c r="P169" s="18"/>
      <c r="Q169" s="18"/>
      <c r="R169" s="18"/>
      <c r="S169" s="18"/>
      <c r="T169" s="18"/>
      <c r="U169" s="18"/>
      <c r="V169" s="18"/>
      <c r="W169" s="18"/>
    </row>
    <row r="170" spans="1:23" ht="15.75" thickBot="1" x14ac:dyDescent="0.3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  <c r="O170" s="18"/>
      <c r="P170" s="18"/>
      <c r="Q170" s="18"/>
      <c r="R170" s="18"/>
      <c r="S170" s="18"/>
      <c r="T170" s="18"/>
      <c r="U170" s="18"/>
      <c r="V170" s="18"/>
      <c r="W170" s="18"/>
    </row>
    <row r="171" spans="1:23" x14ac:dyDescent="0.25">
      <c r="D171" s="28" t="str" cm="1">
        <f t="array" ref="D171:D173">+_xlfn.UNIQUE($D$150:$D$158)</f>
        <v>Agr</v>
      </c>
      <c r="E171" s="1">
        <f t="shared" ref="E171:M173" si="56">+E164/E$167</f>
        <v>0.30985915492957744</v>
      </c>
      <c r="F171" s="2">
        <f t="shared" si="56"/>
        <v>0.36363636363636365</v>
      </c>
      <c r="G171" s="2">
        <f t="shared" si="56"/>
        <v>0.46808510638297873</v>
      </c>
      <c r="H171" s="2">
        <f t="shared" si="56"/>
        <v>0.2073170731707317</v>
      </c>
      <c r="I171" s="2">
        <f t="shared" si="56"/>
        <v>0.4</v>
      </c>
      <c r="J171" s="2">
        <f t="shared" si="56"/>
        <v>0.30909090909090908</v>
      </c>
      <c r="K171" s="2">
        <f t="shared" si="56"/>
        <v>0.25316455696202533</v>
      </c>
      <c r="L171" s="2">
        <f t="shared" si="56"/>
        <v>0.38461538461538464</v>
      </c>
      <c r="M171" s="3">
        <f t="shared" si="56"/>
        <v>0.31666666666666665</v>
      </c>
      <c r="O171" s="18"/>
      <c r="P171" s="18"/>
      <c r="Q171" s="18"/>
      <c r="R171" s="18"/>
      <c r="S171" s="18"/>
      <c r="T171" s="18"/>
      <c r="U171" s="18"/>
      <c r="V171" s="18"/>
      <c r="W171" s="18"/>
    </row>
    <row r="172" spans="1:23" x14ac:dyDescent="0.25">
      <c r="D172" s="25" t="str">
        <v>Ind</v>
      </c>
      <c r="E172" s="5">
        <f t="shared" si="56"/>
        <v>0.18309859154929578</v>
      </c>
      <c r="F172" s="6">
        <f t="shared" si="56"/>
        <v>0.23636363636363636</v>
      </c>
      <c r="G172" s="6">
        <f t="shared" si="56"/>
        <v>0.25531914893617019</v>
      </c>
      <c r="H172" s="6">
        <f t="shared" si="56"/>
        <v>0.23170731707317074</v>
      </c>
      <c r="I172" s="6">
        <f t="shared" si="56"/>
        <v>0.18</v>
      </c>
      <c r="J172" s="6">
        <f t="shared" si="56"/>
        <v>0.25454545454545452</v>
      </c>
      <c r="K172" s="6">
        <f t="shared" si="56"/>
        <v>0.22784810126582278</v>
      </c>
      <c r="L172" s="6">
        <f t="shared" si="56"/>
        <v>0.24615384615384617</v>
      </c>
      <c r="M172" s="7">
        <f t="shared" si="56"/>
        <v>0.26666666666666666</v>
      </c>
      <c r="O172" s="18"/>
      <c r="P172" s="18"/>
      <c r="Q172" s="18"/>
      <c r="R172" s="18"/>
      <c r="S172" s="18"/>
      <c r="T172" s="18"/>
      <c r="U172" s="18"/>
      <c r="V172" s="18"/>
      <c r="W172" s="18"/>
    </row>
    <row r="173" spans="1:23" x14ac:dyDescent="0.25">
      <c r="D173" s="25" t="str">
        <v>Serv</v>
      </c>
      <c r="E173" s="9">
        <f t="shared" si="56"/>
        <v>0.22535211267605634</v>
      </c>
      <c r="F173" s="10">
        <f t="shared" si="56"/>
        <v>0.12727272727272726</v>
      </c>
      <c r="G173" s="10">
        <f t="shared" si="56"/>
        <v>0.1702127659574468</v>
      </c>
      <c r="H173" s="10">
        <f t="shared" si="56"/>
        <v>0.21951219512195122</v>
      </c>
      <c r="I173" s="10">
        <f t="shared" si="56"/>
        <v>0.26</v>
      </c>
      <c r="J173" s="10">
        <f t="shared" si="56"/>
        <v>0.10909090909090909</v>
      </c>
      <c r="K173" s="10">
        <f t="shared" si="56"/>
        <v>0.13924050632911392</v>
      </c>
      <c r="L173" s="10">
        <f t="shared" si="56"/>
        <v>0.15384615384615385</v>
      </c>
      <c r="M173" s="11">
        <f t="shared" si="56"/>
        <v>0.25</v>
      </c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3" x14ac:dyDescent="0.25">
      <c r="O174" s="18"/>
      <c r="P174" s="18"/>
      <c r="Q174" s="18"/>
      <c r="R174" s="18"/>
      <c r="S174" s="18"/>
      <c r="T174" s="18"/>
      <c r="U174" s="18"/>
      <c r="V174" s="18"/>
      <c r="W174" s="18"/>
    </row>
    <row r="175" spans="1:23" ht="15.75" thickBot="1" x14ac:dyDescent="0.3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  <c r="O175" s="18"/>
      <c r="P175" s="18"/>
      <c r="Q175" s="18"/>
      <c r="R175" s="18"/>
      <c r="S175" s="18"/>
      <c r="T175" s="18"/>
      <c r="U175" s="18"/>
      <c r="V175" s="18"/>
      <c r="W175" s="18"/>
    </row>
    <row r="176" spans="1:23" ht="15.75" thickBot="1" x14ac:dyDescent="0.3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2:23" x14ac:dyDescent="0.25">
      <c r="D177" s="28" t="str" cm="1">
        <f t="array" ref="D177:D179">+_xlfn.UNIQUE($D$150:$D$158)</f>
        <v>Agr</v>
      </c>
      <c r="E177" s="1">
        <f>+SUMIF($D$150:$D$158,$D177,E$150:E$158)</f>
        <v>19.105267935126175</v>
      </c>
      <c r="F177" s="2">
        <f t="shared" ref="F177:M179" si="57">+SUMIF($D$150:$D$158,$D177,F$150:F$158)</f>
        <v>16.910408054951017</v>
      </c>
      <c r="G177" s="2">
        <f t="shared" si="57"/>
        <v>20.137577377395122</v>
      </c>
      <c r="H177" s="2">
        <f t="shared" si="57"/>
        <v>15.227289730688398</v>
      </c>
      <c r="I177" s="2">
        <f t="shared" si="57"/>
        <v>17.55943193869625</v>
      </c>
      <c r="J177" s="2">
        <f t="shared" si="57"/>
        <v>15.733111931455321</v>
      </c>
      <c r="K177" s="2">
        <f t="shared" si="57"/>
        <v>16.810647678973648</v>
      </c>
      <c r="L177" s="2">
        <f t="shared" si="57"/>
        <v>22.697185660457716</v>
      </c>
      <c r="M177" s="3">
        <f t="shared" si="57"/>
        <v>16.443712671295859</v>
      </c>
      <c r="O177" s="18"/>
      <c r="P177" s="18"/>
      <c r="Q177" s="18"/>
      <c r="R177" s="18"/>
      <c r="S177" s="18"/>
      <c r="T177" s="18"/>
      <c r="U177" s="18"/>
      <c r="V177" s="18"/>
      <c r="W177" s="18"/>
    </row>
    <row r="178" spans="2:23" x14ac:dyDescent="0.25">
      <c r="D178" s="25" t="str">
        <v>Ind</v>
      </c>
      <c r="E178" s="5">
        <f t="shared" ref="E178:E179" si="58">+SUMIF($D$150:$D$158,$D178,E$150:E$158)</f>
        <v>11.289476507120012</v>
      </c>
      <c r="F178" s="6">
        <f t="shared" si="57"/>
        <v>10.991765235718161</v>
      </c>
      <c r="G178" s="6">
        <f t="shared" si="57"/>
        <v>10.984133114942795</v>
      </c>
      <c r="H178" s="6">
        <f t="shared" si="57"/>
        <v>17.018735581357618</v>
      </c>
      <c r="I178" s="6">
        <f t="shared" si="57"/>
        <v>7.9017443724133134</v>
      </c>
      <c r="J178" s="6">
        <f t="shared" si="57"/>
        <v>12.956680414139678</v>
      </c>
      <c r="K178" s="6">
        <f t="shared" si="57"/>
        <v>15.129582911076284</v>
      </c>
      <c r="L178" s="6">
        <f t="shared" si="57"/>
        <v>14.526198822692939</v>
      </c>
      <c r="M178" s="7">
        <f t="shared" si="57"/>
        <v>13.847336986354408</v>
      </c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2:23" x14ac:dyDescent="0.25">
      <c r="D179" s="25" t="str">
        <v>Serv</v>
      </c>
      <c r="E179" s="9">
        <f t="shared" si="58"/>
        <v>13.894740316455399</v>
      </c>
      <c r="F179" s="10">
        <f t="shared" si="57"/>
        <v>5.918642819232856</v>
      </c>
      <c r="G179" s="10">
        <f t="shared" si="57"/>
        <v>7.3227554099618626</v>
      </c>
      <c r="H179" s="10">
        <f t="shared" si="57"/>
        <v>16.123012656023008</v>
      </c>
      <c r="I179" s="10">
        <f t="shared" si="57"/>
        <v>11.413630760152561</v>
      </c>
      <c r="J179" s="10">
        <f t="shared" si="57"/>
        <v>5.5528630346312902</v>
      </c>
      <c r="K179" s="10">
        <f t="shared" si="57"/>
        <v>9.2458562234355064</v>
      </c>
      <c r="L179" s="10">
        <f t="shared" si="57"/>
        <v>9.0788742641830869</v>
      </c>
      <c r="M179" s="11">
        <f t="shared" si="57"/>
        <v>12.981878424707258</v>
      </c>
      <c r="O179" s="18"/>
      <c r="P179" s="18"/>
      <c r="Q179" s="18"/>
      <c r="R179" s="18"/>
      <c r="S179" s="18"/>
      <c r="T179" s="18"/>
      <c r="U179" s="18"/>
      <c r="V179" s="18"/>
      <c r="W179" s="18"/>
    </row>
    <row r="180" spans="2:23" x14ac:dyDescent="0.25">
      <c r="O180" s="18"/>
      <c r="P180" s="18"/>
      <c r="Q180" s="18"/>
      <c r="R180" s="18"/>
      <c r="S180" s="18"/>
      <c r="T180" s="18"/>
      <c r="U180" s="18"/>
      <c r="V180" s="18"/>
      <c r="W180" s="18"/>
    </row>
    <row r="181" spans="2:23" x14ac:dyDescent="0.25">
      <c r="E181" s="1">
        <f>+E177/E171</f>
        <v>61.657910154270844</v>
      </c>
      <c r="F181" s="2">
        <f t="shared" ref="F181:M181" si="59">+F177/F171</f>
        <v>46.503622151115295</v>
      </c>
      <c r="G181" s="2">
        <f t="shared" si="59"/>
        <v>43.021188033525938</v>
      </c>
      <c r="H181" s="2">
        <f t="shared" si="59"/>
        <v>73.449279877438158</v>
      </c>
      <c r="I181" s="2">
        <f t="shared" si="59"/>
        <v>43.898579846740624</v>
      </c>
      <c r="J181" s="2">
        <f t="shared" si="59"/>
        <v>50.901244484120156</v>
      </c>
      <c r="K181" s="2">
        <f t="shared" si="59"/>
        <v>66.402058331945909</v>
      </c>
      <c r="L181" s="2">
        <f t="shared" si="59"/>
        <v>59.01268271719006</v>
      </c>
      <c r="M181" s="3">
        <f t="shared" si="59"/>
        <v>51.927513698829031</v>
      </c>
      <c r="N181" s="19">
        <f t="shared" ref="N181:N183" si="60">+SUM(E181:M181)</f>
        <v>496.77407929517602</v>
      </c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2:23" x14ac:dyDescent="0.25">
      <c r="E182" s="5">
        <f t="shared" ref="E182:M183" si="61">+E178/E172</f>
        <v>61.657910154270837</v>
      </c>
      <c r="F182" s="6">
        <f t="shared" si="61"/>
        <v>46.503622151115295</v>
      </c>
      <c r="G182" s="6">
        <f t="shared" si="61"/>
        <v>43.021188033525952</v>
      </c>
      <c r="H182" s="6">
        <f t="shared" si="61"/>
        <v>73.44927987743813</v>
      </c>
      <c r="I182" s="6">
        <f t="shared" si="61"/>
        <v>43.898579846740631</v>
      </c>
      <c r="J182" s="6">
        <f t="shared" si="61"/>
        <v>50.90124448412017</v>
      </c>
      <c r="K182" s="6">
        <f t="shared" si="61"/>
        <v>66.402058331945909</v>
      </c>
      <c r="L182" s="6">
        <f t="shared" si="61"/>
        <v>59.01268271719006</v>
      </c>
      <c r="M182" s="7">
        <f t="shared" si="61"/>
        <v>51.927513698829031</v>
      </c>
      <c r="N182" s="19">
        <f t="shared" si="60"/>
        <v>496.77407929517602</v>
      </c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2:23" x14ac:dyDescent="0.25">
      <c r="E183" s="73">
        <f t="shared" si="61"/>
        <v>61.65791015427083</v>
      </c>
      <c r="F183" s="74">
        <f t="shared" si="61"/>
        <v>46.503622151115302</v>
      </c>
      <c r="G183" s="74">
        <f t="shared" si="61"/>
        <v>43.021188033525945</v>
      </c>
      <c r="H183" s="74">
        <f t="shared" si="61"/>
        <v>73.449279877438144</v>
      </c>
      <c r="I183" s="74">
        <f t="shared" si="61"/>
        <v>43.898579846740617</v>
      </c>
      <c r="J183" s="74">
        <f t="shared" si="61"/>
        <v>50.901244484120163</v>
      </c>
      <c r="K183" s="74">
        <f t="shared" si="61"/>
        <v>66.402058331945909</v>
      </c>
      <c r="L183" s="74">
        <f t="shared" si="61"/>
        <v>59.01268271719006</v>
      </c>
      <c r="M183" s="75">
        <f t="shared" si="61"/>
        <v>51.927513698829031</v>
      </c>
      <c r="N183" s="19">
        <f t="shared" si="60"/>
        <v>496.77407929517602</v>
      </c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2:23" x14ac:dyDescent="0.25">
      <c r="D184" s="25" t="s">
        <v>47</v>
      </c>
      <c r="E184" s="13">
        <f>+MIN(E181:E183)</f>
        <v>61.65791015427083</v>
      </c>
      <c r="F184" s="14">
        <f t="shared" ref="F184:M184" si="62">+MIN(F181:F183)</f>
        <v>46.503622151115295</v>
      </c>
      <c r="G184" s="14">
        <f t="shared" si="62"/>
        <v>43.021188033525938</v>
      </c>
      <c r="H184" s="14">
        <f t="shared" si="62"/>
        <v>73.44927987743813</v>
      </c>
      <c r="I184" s="14">
        <f t="shared" si="62"/>
        <v>43.898579846740617</v>
      </c>
      <c r="J184" s="14">
        <f t="shared" si="62"/>
        <v>50.901244484120156</v>
      </c>
      <c r="K184" s="14">
        <f t="shared" si="62"/>
        <v>66.402058331945909</v>
      </c>
      <c r="L184" s="14">
        <f t="shared" si="62"/>
        <v>59.01268271719006</v>
      </c>
      <c r="M184" s="15">
        <f t="shared" si="62"/>
        <v>51.927513698829031</v>
      </c>
      <c r="N184" s="19">
        <f>+SUM(E184:M184)</f>
        <v>496.77407929517591</v>
      </c>
    </row>
    <row r="185" spans="2:23" x14ac:dyDescent="0.25">
      <c r="E185" s="18"/>
      <c r="F185" s="18"/>
      <c r="G185" s="18"/>
      <c r="H185" s="18"/>
      <c r="I185" s="18"/>
      <c r="J185" s="18"/>
      <c r="K185" s="18"/>
      <c r="L185" s="18"/>
      <c r="M185" s="18"/>
      <c r="N185" s="18">
        <f>+N184-O14</f>
        <v>-67.225920704824091</v>
      </c>
      <c r="O185" s="18" t="s">
        <v>64</v>
      </c>
      <c r="P185" s="18"/>
      <c r="Q185" s="18"/>
      <c r="R185" s="18"/>
      <c r="S185" s="18"/>
      <c r="T185" s="18"/>
      <c r="U185" s="18"/>
      <c r="V185" s="18"/>
      <c r="W185" s="18"/>
    </row>
    <row r="186" spans="2:23" x14ac:dyDescent="0.25">
      <c r="E186" s="18"/>
      <c r="F186" s="18"/>
      <c r="G186" s="18"/>
      <c r="H186" s="18"/>
      <c r="I186" s="18"/>
      <c r="J186" s="18"/>
      <c r="K186" s="18"/>
      <c r="L186" s="18"/>
      <c r="M186" s="18"/>
      <c r="N186" s="18">
        <f>+N185/O57</f>
        <v>3.1905989893129707</v>
      </c>
      <c r="O186" s="18" t="s">
        <v>65</v>
      </c>
      <c r="P186" s="18"/>
      <c r="Q186" s="18"/>
      <c r="R186" s="18"/>
      <c r="S186" s="18"/>
      <c r="T186" s="18"/>
      <c r="U186" s="18"/>
      <c r="V186" s="18"/>
      <c r="W186" s="18"/>
    </row>
    <row r="187" spans="2:23" x14ac:dyDescent="0.25">
      <c r="B187" s="16"/>
      <c r="C187" s="115" t="s">
        <v>61</v>
      </c>
      <c r="D187" s="77" t="s">
        <v>66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  <c r="J187" s="114"/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2:23" x14ac:dyDescent="0.25">
      <c r="B188" s="99">
        <f>+MAX(E188/C188,0)</f>
        <v>8.1137444423862309E-3</v>
      </c>
      <c r="C188" s="5" cm="1">
        <f t="array" ref="C188:C196">+H47:H55</f>
        <v>20.685384615384606</v>
      </c>
      <c r="D188" s="136">
        <f>+MAX(G188-SUM(E150:M150),0)</f>
        <v>20.517548690922908</v>
      </c>
      <c r="E188" s="117">
        <f>+C188-D188</f>
        <v>0.16783592446169848</v>
      </c>
      <c r="F188" s="78">
        <f>+SUM(E150:M150)+C188</f>
        <v>61.825746078732529</v>
      </c>
      <c r="G188" s="79" cm="1">
        <f t="array" ref="G188:G196">+TRANSPOSE(E184:M184)</f>
        <v>61.65791015427083</v>
      </c>
      <c r="H188" s="117">
        <f>+F188-G188</f>
        <v>0.16783592446169848</v>
      </c>
      <c r="I188" s="120" t="b">
        <f>+H188&lt;0.01</f>
        <v>0</v>
      </c>
      <c r="J188" s="16"/>
      <c r="K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2:23" x14ac:dyDescent="0.25">
      <c r="B189" s="99">
        <f t="shared" ref="B189:B196" si="63">+MAX(E189/C189,0)</f>
        <v>2.0640108386301458E-15</v>
      </c>
      <c r="C189" s="5">
        <v>3.6576923076923227</v>
      </c>
      <c r="D189" s="79">
        <f t="shared" ref="D189:D196" si="64">+MAX(G189-SUM(E151:M151),0)</f>
        <v>3.6576923076923151</v>
      </c>
      <c r="E189" s="117">
        <f t="shared" ref="E189:E196" si="65">+C189-D189</f>
        <v>7.5495165674510645E-15</v>
      </c>
      <c r="F189" s="78">
        <f>+SUM(E151:M151)+C189</f>
        <v>46.503622151115302</v>
      </c>
      <c r="G189" s="79">
        <v>46.503622151115295</v>
      </c>
      <c r="H189" s="117">
        <f t="shared" ref="H189:H196" si="66">+F189-G189</f>
        <v>0</v>
      </c>
      <c r="I189" s="120" t="b">
        <f t="shared" ref="I189:I196" si="67">+H189&lt;0.01</f>
        <v>1</v>
      </c>
      <c r="J189" s="16"/>
      <c r="K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2:23" x14ac:dyDescent="0.25">
      <c r="B190" s="99">
        <f t="shared" si="63"/>
        <v>0</v>
      </c>
      <c r="C190" s="5">
        <v>13.963846153846156</v>
      </c>
      <c r="D190" s="79">
        <f t="shared" si="64"/>
        <v>13.963846153846148</v>
      </c>
      <c r="E190" s="117">
        <f t="shared" si="65"/>
        <v>0</v>
      </c>
      <c r="F190" s="78">
        <f t="shared" ref="F190:F196" si="68">+SUM(E152:M152)+C190</f>
        <v>43.021188033525945</v>
      </c>
      <c r="G190" s="79">
        <v>43.021188033525938</v>
      </c>
      <c r="H190" s="117">
        <f t="shared" si="66"/>
        <v>0</v>
      </c>
      <c r="I190" s="120" t="b">
        <f t="shared" si="67"/>
        <v>1</v>
      </c>
      <c r="J190" s="16"/>
      <c r="K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2:23" x14ac:dyDescent="0.25">
      <c r="B191" s="99">
        <f t="shared" si="63"/>
        <v>0</v>
      </c>
      <c r="C191" s="5">
        <v>10</v>
      </c>
      <c r="D191" s="79">
        <f t="shared" si="64"/>
        <v>10.361659094692627</v>
      </c>
      <c r="E191" s="117">
        <f t="shared" si="65"/>
        <v>-0.36165909469262658</v>
      </c>
      <c r="F191" s="78">
        <f t="shared" si="68"/>
        <v>73.087620782745503</v>
      </c>
      <c r="G191" s="79">
        <v>73.44927987743813</v>
      </c>
      <c r="H191" s="117">
        <f t="shared" si="66"/>
        <v>-0.36165909469262658</v>
      </c>
      <c r="I191" s="120" t="b">
        <f t="shared" si="67"/>
        <v>1</v>
      </c>
      <c r="J191" s="16"/>
      <c r="K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2:23" x14ac:dyDescent="0.25">
      <c r="B192" s="99">
        <f t="shared" si="63"/>
        <v>1.592595787048501E-15</v>
      </c>
      <c r="C192" s="5">
        <v>4.4615384615384599</v>
      </c>
      <c r="D192" s="79">
        <f t="shared" si="64"/>
        <v>4.4615384615384528</v>
      </c>
      <c r="E192" s="117">
        <f t="shared" si="65"/>
        <v>7.1054273576010019E-15</v>
      </c>
      <c r="F192" s="78">
        <f t="shared" si="68"/>
        <v>43.898579846740624</v>
      </c>
      <c r="G192" s="79">
        <v>43.898579846740617</v>
      </c>
      <c r="H192" s="117">
        <f t="shared" si="66"/>
        <v>0</v>
      </c>
      <c r="I192" s="120" t="b">
        <f t="shared" si="67"/>
        <v>1</v>
      </c>
      <c r="J192" s="16"/>
      <c r="K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2:23" x14ac:dyDescent="0.25">
      <c r="B193" s="99">
        <f t="shared" si="63"/>
        <v>0</v>
      </c>
      <c r="C193" s="5">
        <v>20</v>
      </c>
      <c r="D193" s="79">
        <f t="shared" si="64"/>
        <v>20.052332049858013</v>
      </c>
      <c r="E193" s="117">
        <f t="shared" si="65"/>
        <v>-5.2332049858012653E-2</v>
      </c>
      <c r="F193" s="78">
        <f t="shared" si="68"/>
        <v>50.848912434262147</v>
      </c>
      <c r="G193" s="79">
        <v>50.901244484120156</v>
      </c>
      <c r="H193" s="117">
        <f t="shared" si="66"/>
        <v>-5.23320498580091E-2</v>
      </c>
      <c r="I193" s="120" t="b">
        <f t="shared" si="67"/>
        <v>1</v>
      </c>
      <c r="J193" s="16"/>
      <c r="K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 spans="2:23" x14ac:dyDescent="0.25">
      <c r="B194" s="99">
        <f t="shared" si="63"/>
        <v>1.9003704751505136E-2</v>
      </c>
      <c r="C194" s="5">
        <v>10.199230769230766</v>
      </c>
      <c r="D194" s="79">
        <f t="shared" si="64"/>
        <v>10.005407598999838</v>
      </c>
      <c r="E194" s="117">
        <f t="shared" si="65"/>
        <v>0.1938231702309281</v>
      </c>
      <c r="F194" s="78">
        <f t="shared" si="68"/>
        <v>66.595881502176837</v>
      </c>
      <c r="G194" s="79">
        <v>66.402058331945909</v>
      </c>
      <c r="H194" s="117">
        <f t="shared" si="66"/>
        <v>0.1938231702309281</v>
      </c>
      <c r="I194" s="120" t="b">
        <f t="shared" si="67"/>
        <v>0</v>
      </c>
      <c r="J194" s="16"/>
      <c r="K194" s="18"/>
    </row>
    <row r="195" spans="2:23" x14ac:dyDescent="0.25">
      <c r="B195" s="99">
        <f t="shared" si="63"/>
        <v>0</v>
      </c>
      <c r="C195" s="5">
        <v>26.649999999999991</v>
      </c>
      <c r="D195" s="79">
        <f t="shared" si="64"/>
        <v>26.649999999999991</v>
      </c>
      <c r="E195" s="117">
        <f t="shared" si="65"/>
        <v>0</v>
      </c>
      <c r="F195" s="78">
        <f t="shared" si="68"/>
        <v>59.01268271719006</v>
      </c>
      <c r="G195" s="79">
        <v>59.01268271719006</v>
      </c>
      <c r="H195" s="117">
        <f t="shared" si="66"/>
        <v>0</v>
      </c>
      <c r="I195" s="120" t="b">
        <f t="shared" si="67"/>
        <v>1</v>
      </c>
      <c r="J195" s="16"/>
      <c r="K195" s="18"/>
    </row>
    <row r="196" spans="2:23" x14ac:dyDescent="0.25">
      <c r="B196" s="99">
        <f t="shared" si="63"/>
        <v>2.5711135606736849E-3</v>
      </c>
      <c r="C196" s="9">
        <v>20.353846153846149</v>
      </c>
      <c r="D196" s="79">
        <f t="shared" si="64"/>
        <v>20.301514103988129</v>
      </c>
      <c r="E196" s="118">
        <f t="shared" si="65"/>
        <v>5.2332049858019758E-2</v>
      </c>
      <c r="F196" s="80">
        <f t="shared" si="68"/>
        <v>51.979845748687055</v>
      </c>
      <c r="G196" s="81">
        <v>51.927513698829031</v>
      </c>
      <c r="H196" s="118">
        <f t="shared" si="66"/>
        <v>5.2332049858023311E-2</v>
      </c>
      <c r="I196" s="120" t="b">
        <f t="shared" si="67"/>
        <v>0</v>
      </c>
      <c r="J196" s="16"/>
      <c r="K196" s="18"/>
    </row>
    <row r="198" spans="2:23" ht="15.75" thickBot="1" x14ac:dyDescent="0.3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23" ht="15.75" thickBot="1" x14ac:dyDescent="0.3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23" x14ac:dyDescent="0.25">
      <c r="C200" s="20" t="s">
        <v>1</v>
      </c>
      <c r="D200" s="28" t="s">
        <v>51</v>
      </c>
      <c r="E200" s="1">
        <f>+E150/E$184</f>
        <v>0.14084507042253525</v>
      </c>
      <c r="F200" s="2">
        <f t="shared" ref="F200:M200" si="69">+F150/F$184</f>
        <v>9.0909090909090912E-2</v>
      </c>
      <c r="G200" s="2">
        <f t="shared" si="69"/>
        <v>0.21342804249491915</v>
      </c>
      <c r="H200" s="2">
        <f t="shared" si="69"/>
        <v>1.2195121951219514E-2</v>
      </c>
      <c r="I200" s="2">
        <f t="shared" si="69"/>
        <v>0</v>
      </c>
      <c r="J200" s="2">
        <f t="shared" si="69"/>
        <v>0.14754504881343408</v>
      </c>
      <c r="K200" s="2">
        <f t="shared" si="69"/>
        <v>3.7974683544303799E-2</v>
      </c>
      <c r="L200" s="2">
        <f t="shared" si="69"/>
        <v>0.10825054390578341</v>
      </c>
      <c r="M200" s="3">
        <f t="shared" si="69"/>
        <v>3.3333333333333333E-2</v>
      </c>
    </row>
    <row r="201" spans="2:23" x14ac:dyDescent="0.25">
      <c r="C201" s="20" t="s">
        <v>1</v>
      </c>
      <c r="D201" s="25" t="s">
        <v>52</v>
      </c>
      <c r="E201" s="5">
        <f t="shared" ref="E201:M208" si="70">+E151/E$184</f>
        <v>0.11267605633802817</v>
      </c>
      <c r="F201" s="6">
        <f t="shared" si="70"/>
        <v>5.4545454545454543E-2</v>
      </c>
      <c r="G201" s="6">
        <f t="shared" si="70"/>
        <v>0.19148936170212771</v>
      </c>
      <c r="H201" s="6">
        <f t="shared" si="70"/>
        <v>4.8780487804878057E-2</v>
      </c>
      <c r="I201" s="6">
        <f t="shared" si="70"/>
        <v>4.0000000000000008E-2</v>
      </c>
      <c r="J201" s="6">
        <f t="shared" si="70"/>
        <v>0.18181818181818185</v>
      </c>
      <c r="K201" s="6">
        <f t="shared" si="70"/>
        <v>1.2658227848101266E-2</v>
      </c>
      <c r="L201" s="6">
        <f t="shared" si="70"/>
        <v>6.1538461538461542E-2</v>
      </c>
      <c r="M201" s="7">
        <f t="shared" si="70"/>
        <v>0.11666666666666667</v>
      </c>
    </row>
    <row r="202" spans="2:23" x14ac:dyDescent="0.25">
      <c r="C202" s="20" t="s">
        <v>1</v>
      </c>
      <c r="D202" s="25" t="s">
        <v>53</v>
      </c>
      <c r="E202" s="5">
        <f t="shared" si="70"/>
        <v>0</v>
      </c>
      <c r="F202" s="6">
        <f t="shared" si="70"/>
        <v>0</v>
      </c>
      <c r="G202" s="6">
        <f t="shared" si="70"/>
        <v>0</v>
      </c>
      <c r="H202" s="6">
        <f t="shared" si="70"/>
        <v>8.5365853658536606E-2</v>
      </c>
      <c r="I202" s="6">
        <f t="shared" si="70"/>
        <v>8.0000000000000016E-2</v>
      </c>
      <c r="J202" s="6">
        <f t="shared" si="70"/>
        <v>7.2727272727272724E-2</v>
      </c>
      <c r="K202" s="6">
        <f t="shared" si="70"/>
        <v>8.8607594936708861E-2</v>
      </c>
      <c r="L202" s="6">
        <f t="shared" si="70"/>
        <v>6.1538461538461542E-2</v>
      </c>
      <c r="M202" s="7">
        <f t="shared" si="70"/>
        <v>0.11666666666666667</v>
      </c>
    </row>
    <row r="203" spans="2:23" x14ac:dyDescent="0.25">
      <c r="C203" s="20" t="s">
        <v>10</v>
      </c>
      <c r="D203" s="25" t="str">
        <f>+D200</f>
        <v>Agr</v>
      </c>
      <c r="E203" s="5">
        <f t="shared" si="70"/>
        <v>0.12676056338028169</v>
      </c>
      <c r="F203" s="6">
        <f t="shared" si="70"/>
        <v>9.0909090909090912E-2</v>
      </c>
      <c r="G203" s="6">
        <f t="shared" si="70"/>
        <v>8.3679697482890517E-2</v>
      </c>
      <c r="H203" s="6">
        <f t="shared" si="70"/>
        <v>8.5365853658536606E-2</v>
      </c>
      <c r="I203" s="6">
        <f t="shared" si="70"/>
        <v>0.20000000000000004</v>
      </c>
      <c r="J203" s="6">
        <f t="shared" si="70"/>
        <v>0.15913166921738006</v>
      </c>
      <c r="K203" s="6">
        <f t="shared" si="70"/>
        <v>0.12658227848101267</v>
      </c>
      <c r="L203" s="6">
        <f t="shared" si="70"/>
        <v>0.13725863029847507</v>
      </c>
      <c r="M203" s="7">
        <f t="shared" si="70"/>
        <v>0.15</v>
      </c>
    </row>
    <row r="204" spans="2:23" x14ac:dyDescent="0.25">
      <c r="C204" s="20" t="s">
        <v>10</v>
      </c>
      <c r="D204" s="25" t="str">
        <f t="shared" ref="D204:D208" si="71">+D201</f>
        <v>Ind</v>
      </c>
      <c r="E204" s="5">
        <f t="shared" si="70"/>
        <v>5.6338028169014086E-2</v>
      </c>
      <c r="F204" s="6">
        <f t="shared" si="70"/>
        <v>3.6363636363636362E-2</v>
      </c>
      <c r="G204" s="6">
        <f t="shared" si="70"/>
        <v>6.3829787234042548E-2</v>
      </c>
      <c r="H204" s="6">
        <f t="shared" si="70"/>
        <v>7.3170731707317083E-2</v>
      </c>
      <c r="I204" s="6">
        <f t="shared" si="70"/>
        <v>0.14000000000000004</v>
      </c>
      <c r="J204" s="6">
        <f t="shared" si="70"/>
        <v>7.2727272727272724E-2</v>
      </c>
      <c r="K204" s="6">
        <f t="shared" si="70"/>
        <v>0.11392405063291139</v>
      </c>
      <c r="L204" s="6">
        <f t="shared" si="70"/>
        <v>3.0769230769230771E-2</v>
      </c>
      <c r="M204" s="7">
        <f t="shared" si="70"/>
        <v>0.13333333333333333</v>
      </c>
    </row>
    <row r="205" spans="2:23" x14ac:dyDescent="0.25">
      <c r="C205" s="20" t="s">
        <v>10</v>
      </c>
      <c r="D205" s="25" t="str">
        <f t="shared" si="71"/>
        <v>Serv</v>
      </c>
      <c r="E205" s="5">
        <f t="shared" si="70"/>
        <v>8.4507042253521125E-2</v>
      </c>
      <c r="F205" s="6">
        <f t="shared" si="70"/>
        <v>9.0909090909090912E-2</v>
      </c>
      <c r="G205" s="6">
        <f t="shared" si="70"/>
        <v>8.4609471899367086E-2</v>
      </c>
      <c r="H205" s="6">
        <f t="shared" si="70"/>
        <v>1.2195121951219514E-2</v>
      </c>
      <c r="I205" s="6">
        <f t="shared" si="70"/>
        <v>0.18000000000000002</v>
      </c>
      <c r="J205" s="6">
        <f t="shared" si="70"/>
        <v>3.5755510861189103E-2</v>
      </c>
      <c r="K205" s="6">
        <f t="shared" si="70"/>
        <v>1.2658227848101266E-2</v>
      </c>
      <c r="L205" s="6">
        <f t="shared" si="70"/>
        <v>9.2307692307692313E-2</v>
      </c>
      <c r="M205" s="7">
        <f t="shared" si="70"/>
        <v>1.6666666666666666E-2</v>
      </c>
    </row>
    <row r="206" spans="2:23" x14ac:dyDescent="0.25">
      <c r="C206" s="20" t="s">
        <v>11</v>
      </c>
      <c r="D206" s="25" t="str">
        <f t="shared" si="71"/>
        <v>Agr</v>
      </c>
      <c r="E206" s="5">
        <f t="shared" si="70"/>
        <v>4.2253521126760563E-2</v>
      </c>
      <c r="F206" s="6">
        <f t="shared" si="70"/>
        <v>0.18181818181818182</v>
      </c>
      <c r="G206" s="6">
        <f t="shared" si="70"/>
        <v>0.17097736640516911</v>
      </c>
      <c r="H206" s="6">
        <f t="shared" si="70"/>
        <v>0.10975609756097564</v>
      </c>
      <c r="I206" s="6">
        <f t="shared" si="70"/>
        <v>0.20000000000000004</v>
      </c>
      <c r="J206" s="6">
        <f t="shared" si="70"/>
        <v>2.4141910600949616E-3</v>
      </c>
      <c r="K206" s="6">
        <f t="shared" si="70"/>
        <v>8.8607594936708861E-2</v>
      </c>
      <c r="L206" s="6">
        <f t="shared" si="70"/>
        <v>0.13910621041112614</v>
      </c>
      <c r="M206" s="7">
        <f t="shared" si="70"/>
        <v>0.13333333333333333</v>
      </c>
    </row>
    <row r="207" spans="2:23" x14ac:dyDescent="0.25">
      <c r="C207" s="20" t="s">
        <v>11</v>
      </c>
      <c r="D207" s="25" t="str">
        <f t="shared" si="71"/>
        <v>Ind</v>
      </c>
      <c r="E207" s="5">
        <f t="shared" si="70"/>
        <v>1.4084507042253521E-2</v>
      </c>
      <c r="F207" s="6">
        <f t="shared" si="70"/>
        <v>0.14545454545454545</v>
      </c>
      <c r="G207" s="6">
        <f t="shared" si="70"/>
        <v>0</v>
      </c>
      <c r="H207" s="6">
        <f t="shared" si="70"/>
        <v>0.10975609756097564</v>
      </c>
      <c r="I207" s="6">
        <f t="shared" si="70"/>
        <v>0</v>
      </c>
      <c r="J207" s="6">
        <f t="shared" si="70"/>
        <v>0</v>
      </c>
      <c r="K207" s="6">
        <f t="shared" si="70"/>
        <v>0.10126582278481013</v>
      </c>
      <c r="L207" s="6">
        <f t="shared" si="70"/>
        <v>0.15384615384615385</v>
      </c>
      <c r="M207" s="7">
        <f t="shared" si="70"/>
        <v>1.6666666666666666E-2</v>
      </c>
    </row>
    <row r="208" spans="2:23" x14ac:dyDescent="0.25">
      <c r="C208" s="20" t="s">
        <v>11</v>
      </c>
      <c r="D208" s="25" t="str">
        <f t="shared" si="71"/>
        <v>Serv</v>
      </c>
      <c r="E208" s="9">
        <f t="shared" si="70"/>
        <v>0.14084507042253525</v>
      </c>
      <c r="F208" s="10">
        <f t="shared" si="70"/>
        <v>3.6363636363636362E-2</v>
      </c>
      <c r="G208" s="10">
        <f t="shared" si="70"/>
        <v>8.5603294058079746E-2</v>
      </c>
      <c r="H208" s="10">
        <f t="shared" si="70"/>
        <v>0.12195121951219515</v>
      </c>
      <c r="I208" s="10">
        <f t="shared" si="70"/>
        <v>0</v>
      </c>
      <c r="J208" s="10">
        <f t="shared" si="70"/>
        <v>6.0812550244726375E-4</v>
      </c>
      <c r="K208" s="10">
        <f t="shared" si="70"/>
        <v>3.7974683544303799E-2</v>
      </c>
      <c r="L208" s="10">
        <f t="shared" si="70"/>
        <v>0</v>
      </c>
      <c r="M208" s="11">
        <f t="shared" si="70"/>
        <v>0.11666666666666667</v>
      </c>
    </row>
    <row r="211" spans="3:13" ht="15.75" thickBot="1" x14ac:dyDescent="0.3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.75" thickBot="1" x14ac:dyDescent="0.3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25">
      <c r="C213" s="20" t="s">
        <v>1</v>
      </c>
      <c r="D213" s="28" t="s">
        <v>51</v>
      </c>
      <c r="E213" s="1" cm="1">
        <f t="array" ref="E213:M221">+MINVERSE(_xlfn.MUNIT(COUNTA($D$213:$D$221))-E200:M208)</f>
        <v>1.3405175930866133</v>
      </c>
      <c r="F213" s="2">
        <v>0.29406948477245198</v>
      </c>
      <c r="G213" s="2">
        <v>0.46230506600649973</v>
      </c>
      <c r="H213" s="2">
        <v>0.20123492479756971</v>
      </c>
      <c r="I213" s="2">
        <v>0.22591718381385081</v>
      </c>
      <c r="J213" s="2">
        <v>0.34639376958012319</v>
      </c>
      <c r="K213" s="2">
        <v>0.21471864962278744</v>
      </c>
      <c r="L213" s="2">
        <v>0.34045099640078957</v>
      </c>
      <c r="M213" s="3">
        <v>0.26412646789203842</v>
      </c>
    </row>
    <row r="214" spans="3:13" x14ac:dyDescent="0.25">
      <c r="C214" s="20" t="s">
        <v>1</v>
      </c>
      <c r="D214" s="25" t="s">
        <v>52</v>
      </c>
      <c r="E214" s="5">
        <v>0.33306780232162042</v>
      </c>
      <c r="F214" s="6">
        <v>1.2589125393355816</v>
      </c>
      <c r="G214" s="6">
        <v>0.44908911734822415</v>
      </c>
      <c r="H214" s="6">
        <v>0.24915427705394641</v>
      </c>
      <c r="I214" s="6">
        <v>0.28510244431017484</v>
      </c>
      <c r="J214" s="6">
        <v>0.38556752882141326</v>
      </c>
      <c r="K214" s="6">
        <v>0.1983573027341273</v>
      </c>
      <c r="L214" s="6">
        <v>0.29228385044721733</v>
      </c>
      <c r="M214" s="7">
        <v>0.36622764246298956</v>
      </c>
    </row>
    <row r="215" spans="3:13" x14ac:dyDescent="0.25">
      <c r="C215" s="20" t="s">
        <v>1</v>
      </c>
      <c r="D215" s="25" t="s">
        <v>53</v>
      </c>
      <c r="E215" s="5">
        <v>0.16092033030979597</v>
      </c>
      <c r="F215" s="6">
        <v>0.16093703712777263</v>
      </c>
      <c r="G215" s="6">
        <v>1.1865697668975643</v>
      </c>
      <c r="H215" s="6">
        <v>0.24263013666336902</v>
      </c>
      <c r="I215" s="6">
        <v>0.27156770070138603</v>
      </c>
      <c r="J215" s="6">
        <v>0.20576920346747357</v>
      </c>
      <c r="K215" s="6">
        <v>0.23310337904728418</v>
      </c>
      <c r="L215" s="6">
        <v>0.22859014029933405</v>
      </c>
      <c r="M215" s="7">
        <v>0.3096186320853479</v>
      </c>
    </row>
    <row r="216" spans="3:13" x14ac:dyDescent="0.25">
      <c r="C216" s="20" t="s">
        <v>10</v>
      </c>
      <c r="D216" s="25" t="str">
        <f>+D213</f>
        <v>Agr</v>
      </c>
      <c r="E216" s="5">
        <v>0.46799094505830219</v>
      </c>
      <c r="F216" s="6">
        <v>0.42811488757982313</v>
      </c>
      <c r="G216" s="6">
        <v>0.49719550536726298</v>
      </c>
      <c r="H216" s="6">
        <v>1.4068820188028448</v>
      </c>
      <c r="I216" s="6">
        <v>0.59079632642933966</v>
      </c>
      <c r="J216" s="6">
        <v>0.46799625673899015</v>
      </c>
      <c r="K216" s="6">
        <v>0.42784437411535381</v>
      </c>
      <c r="L216" s="6">
        <v>0.49825804808960489</v>
      </c>
      <c r="M216" s="7">
        <v>0.55076363621052737</v>
      </c>
    </row>
    <row r="217" spans="3:13" x14ac:dyDescent="0.25">
      <c r="C217" s="20" t="s">
        <v>10</v>
      </c>
      <c r="D217" s="25" t="str">
        <f t="shared" ref="D217:D221" si="72">+D214</f>
        <v>Ind</v>
      </c>
      <c r="E217" s="5">
        <v>0.27832536304185795</v>
      </c>
      <c r="F217" s="6">
        <v>0.24825439649429562</v>
      </c>
      <c r="G217" s="6">
        <v>0.33043299407656657</v>
      </c>
      <c r="H217" s="6">
        <v>0.28500191146417769</v>
      </c>
      <c r="I217" s="6">
        <v>1.3996682906419737</v>
      </c>
      <c r="J217" s="6">
        <v>0.26795711613634227</v>
      </c>
      <c r="K217" s="6">
        <v>0.31058625684411489</v>
      </c>
      <c r="L217" s="6">
        <v>0.25511326752125252</v>
      </c>
      <c r="M217" s="7">
        <v>0.40335068729818213</v>
      </c>
    </row>
    <row r="218" spans="3:13" x14ac:dyDescent="0.25">
      <c r="C218" s="20" t="s">
        <v>10</v>
      </c>
      <c r="D218" s="25" t="str">
        <f t="shared" si="72"/>
        <v>Serv</v>
      </c>
      <c r="E218" s="5">
        <v>0.24917864237793505</v>
      </c>
      <c r="F218" s="6">
        <v>0.25241145089698269</v>
      </c>
      <c r="G218" s="6">
        <v>0.28836674088080955</v>
      </c>
      <c r="H218" s="6">
        <v>0.17099148758668536</v>
      </c>
      <c r="I218" s="6">
        <v>0.36872263798534255</v>
      </c>
      <c r="J218" s="6">
        <v>1.2011416784805531</v>
      </c>
      <c r="K218" s="6">
        <v>0.16765935858606895</v>
      </c>
      <c r="L218" s="6">
        <v>0.27094933902344021</v>
      </c>
      <c r="M218" s="7">
        <v>0.21860141519916731</v>
      </c>
    </row>
    <row r="219" spans="3:13" x14ac:dyDescent="0.25">
      <c r="C219" s="20" t="s">
        <v>11</v>
      </c>
      <c r="D219" s="25" t="str">
        <f t="shared" si="72"/>
        <v>Agr</v>
      </c>
      <c r="E219" s="5">
        <v>0.35296041329571959</v>
      </c>
      <c r="F219" s="6">
        <v>0.48173744202385954</v>
      </c>
      <c r="G219" s="6">
        <v>0.54422322131804735</v>
      </c>
      <c r="H219" s="6">
        <v>0.42111987038988319</v>
      </c>
      <c r="I219" s="6">
        <v>0.55427898646611284</v>
      </c>
      <c r="J219" s="6">
        <v>0.30097771320791039</v>
      </c>
      <c r="K219" s="6">
        <v>1.3773630525952909</v>
      </c>
      <c r="L219" s="6">
        <v>0.46750787310253011</v>
      </c>
      <c r="M219" s="7">
        <v>0.52640275853387553</v>
      </c>
    </row>
    <row r="220" spans="3:13" x14ac:dyDescent="0.25">
      <c r="C220" s="20" t="s">
        <v>11</v>
      </c>
      <c r="D220" s="25" t="str">
        <f t="shared" si="72"/>
        <v>Ind</v>
      </c>
      <c r="E220" s="5">
        <v>0.18887561154580418</v>
      </c>
      <c r="F220" s="6">
        <v>0.33831487887416045</v>
      </c>
      <c r="G220" s="6">
        <v>0.22041534634621532</v>
      </c>
      <c r="H220" s="6">
        <v>0.28454912406262123</v>
      </c>
      <c r="I220" s="6">
        <v>0.19927791120841265</v>
      </c>
      <c r="J220" s="6">
        <v>0.17210726743250679</v>
      </c>
      <c r="K220" s="6">
        <v>0.2616202391309787</v>
      </c>
      <c r="L220" s="6">
        <v>1.361806209556661</v>
      </c>
      <c r="M220" s="7">
        <v>0.22775289803588922</v>
      </c>
    </row>
    <row r="221" spans="3:13" x14ac:dyDescent="0.25">
      <c r="C221" s="20" t="s">
        <v>11</v>
      </c>
      <c r="D221" s="25" t="str">
        <f t="shared" si="72"/>
        <v>Serv</v>
      </c>
      <c r="E221" s="9">
        <v>0.32300300372899787</v>
      </c>
      <c r="F221" s="10">
        <v>0.19429819583137931</v>
      </c>
      <c r="G221" s="10">
        <v>0.29942699955212654</v>
      </c>
      <c r="H221" s="10">
        <v>0.27830931805962011</v>
      </c>
      <c r="I221" s="10">
        <v>0.1797225331156965</v>
      </c>
      <c r="J221" s="10">
        <v>0.16942155447261262</v>
      </c>
      <c r="K221" s="10">
        <v>0.18338773632539687</v>
      </c>
      <c r="L221" s="10">
        <v>0.17754207005626754</v>
      </c>
      <c r="M221" s="11">
        <v>1.3180889059950329</v>
      </c>
    </row>
    <row r="223" spans="3:13" x14ac:dyDescent="0.25">
      <c r="E223" s="16"/>
      <c r="F223" s="16"/>
      <c r="G223" s="18"/>
      <c r="I223" s="16"/>
      <c r="L223" s="16"/>
    </row>
    <row r="224" spans="3:13" x14ac:dyDescent="0.25">
      <c r="E224" s="16"/>
      <c r="F224" s="16"/>
      <c r="G224" s="18"/>
      <c r="I224" s="16"/>
      <c r="L224" s="16"/>
    </row>
    <row r="225" spans="5:12" x14ac:dyDescent="0.25">
      <c r="E225" s="16"/>
      <c r="F225" s="16"/>
      <c r="G225" s="18"/>
      <c r="I225" s="16"/>
      <c r="L225" s="16"/>
    </row>
    <row r="226" spans="5:12" x14ac:dyDescent="0.25">
      <c r="E226" s="16"/>
      <c r="F226" s="16"/>
      <c r="G226" s="18"/>
      <c r="I226" s="16"/>
      <c r="L226" s="16"/>
    </row>
    <row r="227" spans="5:12" x14ac:dyDescent="0.25">
      <c r="E227" s="16"/>
      <c r="F227" s="16"/>
      <c r="G227" s="18"/>
      <c r="I227" s="16"/>
      <c r="L227" s="16"/>
    </row>
    <row r="228" spans="5:12" x14ac:dyDescent="0.25">
      <c r="E228" s="16"/>
      <c r="F228" s="16"/>
      <c r="G228" s="18"/>
      <c r="I228" s="16"/>
      <c r="L228" s="16"/>
    </row>
    <row r="229" spans="5:12" x14ac:dyDescent="0.25">
      <c r="E229" s="16"/>
      <c r="F229" s="16"/>
      <c r="G229" s="18"/>
      <c r="I229" s="16"/>
      <c r="L229" s="16"/>
    </row>
    <row r="230" spans="5:12" x14ac:dyDescent="0.25">
      <c r="E230" s="16"/>
      <c r="F230" s="16"/>
      <c r="G230" s="18"/>
      <c r="I230" s="16"/>
      <c r="L230" s="16"/>
    </row>
    <row r="231" spans="5:12" x14ac:dyDescent="0.25">
      <c r="E231" s="16"/>
      <c r="F231" s="16"/>
      <c r="G231" s="18"/>
      <c r="I231" s="16"/>
      <c r="L231" s="16"/>
    </row>
    <row r="234" spans="5:12" x14ac:dyDescent="0.25">
      <c r="E234" s="16"/>
    </row>
    <row r="235" spans="5:12" x14ac:dyDescent="0.25">
      <c r="E235" s="16"/>
      <c r="F235" s="18"/>
    </row>
    <row r="236" spans="5:12" x14ac:dyDescent="0.25">
      <c r="E236" s="16"/>
      <c r="F236" s="18"/>
    </row>
    <row r="237" spans="5:12" x14ac:dyDescent="0.25">
      <c r="E237" s="16"/>
      <c r="F237" s="18"/>
    </row>
    <row r="238" spans="5:12" x14ac:dyDescent="0.25">
      <c r="E238" s="16"/>
      <c r="F238" s="18"/>
    </row>
    <row r="239" spans="5:12" x14ac:dyDescent="0.25">
      <c r="E239" s="16"/>
      <c r="F239" s="18"/>
    </row>
    <row r="240" spans="5:12" x14ac:dyDescent="0.25">
      <c r="E240" s="16"/>
      <c r="F240" s="18"/>
    </row>
    <row r="241" spans="5:6" x14ac:dyDescent="0.25">
      <c r="E241" s="16"/>
      <c r="F241" s="18"/>
    </row>
    <row r="242" spans="5:6" x14ac:dyDescent="0.25">
      <c r="E242" s="16"/>
      <c r="F242" s="18"/>
    </row>
    <row r="243" spans="5:6" x14ac:dyDescent="0.25">
      <c r="F243" s="18"/>
    </row>
  </sheetData>
  <conditionalFormatting sqref="E88:M88">
    <cfRule type="expression" dxfId="29" priority="2">
      <formula>E88&lt;E89</formula>
    </cfRule>
  </conditionalFormatting>
  <conditionalFormatting sqref="E89:M89">
    <cfRule type="expression" dxfId="28" priority="1">
      <formula>E89&lt;E88</formula>
    </cfRule>
  </conditionalFormatting>
  <conditionalFormatting sqref="E106:M115">
    <cfRule type="expression" dxfId="27" priority="10">
      <formula>E106&lt;0</formula>
    </cfRule>
  </conditionalFormatting>
  <conditionalFormatting sqref="E131:M133">
    <cfRule type="expression" dxfId="26" priority="8">
      <formula>E131&lt;0</formula>
    </cfRule>
  </conditionalFormatting>
  <conditionalFormatting sqref="E137:M145">
    <cfRule type="expression" dxfId="25" priority="9">
      <formula>E137&lt;0</formula>
    </cfRule>
  </conditionalFormatting>
  <conditionalFormatting sqref="N78:V8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50:V15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64:W172">
    <cfRule type="containsText" dxfId="24" priority="3" operator="containsText" text="FALSO">
      <formula>NOT(ISERROR(SEARCH("FALSO",O164)))</formula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0:W142 V136:W13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DDA8E-26BD-46CA-9C66-5A0A4D224F14}">
  <dimension ref="A3:AJ243"/>
  <sheetViews>
    <sheetView showGridLines="0" topLeftCell="A169" zoomScaleNormal="100" workbookViewId="0">
      <selection activeCell="I188" sqref="I188:I196"/>
    </sheetView>
  </sheetViews>
  <sheetFormatPr defaultRowHeight="15" x14ac:dyDescent="0.25"/>
  <cols>
    <col min="1" max="1" width="12.7109375" style="65" customWidth="1"/>
    <col min="2" max="14" width="12.7109375" customWidth="1"/>
    <col min="15" max="15" width="16.7109375" bestFit="1" customWidth="1"/>
    <col min="16" max="23" width="12.7109375" customWidth="1"/>
    <col min="29" max="29" width="16.28515625" bestFit="1" customWidth="1"/>
  </cols>
  <sheetData>
    <row r="3" spans="3:18" ht="15.75" thickBot="1" x14ac:dyDescent="0.3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.75" thickBot="1" x14ac:dyDescent="0.3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25">
      <c r="C5" s="20" t="s">
        <v>1</v>
      </c>
      <c r="D5" s="28" t="s">
        <v>51</v>
      </c>
      <c r="E5" s="1">
        <v>10</v>
      </c>
      <c r="F5" s="2">
        <v>5</v>
      </c>
      <c r="G5" s="2">
        <v>10</v>
      </c>
      <c r="H5" s="2">
        <v>1</v>
      </c>
      <c r="I5" s="2">
        <v>0</v>
      </c>
      <c r="J5" s="2">
        <v>8</v>
      </c>
      <c r="K5" s="2">
        <v>3</v>
      </c>
      <c r="L5" s="2">
        <v>7</v>
      </c>
      <c r="M5" s="3">
        <v>2</v>
      </c>
      <c r="N5" s="24">
        <v>25</v>
      </c>
      <c r="O5" s="29">
        <f>+SUM(E5:N5)</f>
        <v>71</v>
      </c>
      <c r="P5" s="62" cm="1">
        <f t="array" ref="P5:P13">+MMULT(E21:M29,O5:O13)</f>
        <v>46</v>
      </c>
      <c r="Q5" s="61">
        <f>+P5+N5</f>
        <v>71</v>
      </c>
      <c r="R5" s="61" t="b">
        <f>+Q5=O5</f>
        <v>1</v>
      </c>
    </row>
    <row r="6" spans="3:18" x14ac:dyDescent="0.25">
      <c r="C6" s="20" t="s">
        <v>1</v>
      </c>
      <c r="D6" s="25" t="s">
        <v>52</v>
      </c>
      <c r="E6" s="5">
        <v>8</v>
      </c>
      <c r="F6" s="6">
        <v>3</v>
      </c>
      <c r="G6" s="6">
        <v>9</v>
      </c>
      <c r="H6" s="6">
        <v>4</v>
      </c>
      <c r="I6" s="6">
        <v>2</v>
      </c>
      <c r="J6" s="6">
        <v>10</v>
      </c>
      <c r="K6" s="6">
        <v>1</v>
      </c>
      <c r="L6" s="6">
        <v>4</v>
      </c>
      <c r="M6" s="7">
        <v>7</v>
      </c>
      <c r="N6" s="8">
        <v>7</v>
      </c>
      <c r="O6" s="30">
        <f t="shared" ref="O6:O13" si="0">+SUM(E6:N6)</f>
        <v>55</v>
      </c>
      <c r="P6" s="62">
        <v>48</v>
      </c>
      <c r="Q6" s="61">
        <f t="shared" ref="Q6:Q13" si="1">+P6+N6</f>
        <v>55</v>
      </c>
      <c r="R6" s="61" t="b">
        <f t="shared" ref="R6:R13" si="2">+Q6=O6</f>
        <v>1</v>
      </c>
    </row>
    <row r="7" spans="3:18" x14ac:dyDescent="0.25">
      <c r="C7" s="20" t="s">
        <v>1</v>
      </c>
      <c r="D7" s="25" t="s">
        <v>53</v>
      </c>
      <c r="E7" s="5">
        <v>0</v>
      </c>
      <c r="F7" s="6">
        <v>0</v>
      </c>
      <c r="G7" s="6">
        <v>0</v>
      </c>
      <c r="H7" s="6">
        <v>7</v>
      </c>
      <c r="I7" s="6">
        <v>4</v>
      </c>
      <c r="J7" s="6">
        <v>4</v>
      </c>
      <c r="K7" s="6">
        <v>7</v>
      </c>
      <c r="L7" s="6">
        <v>4</v>
      </c>
      <c r="M7" s="7">
        <v>7</v>
      </c>
      <c r="N7" s="8">
        <v>14</v>
      </c>
      <c r="O7" s="30">
        <f t="shared" si="0"/>
        <v>47</v>
      </c>
      <c r="P7" s="62">
        <v>33</v>
      </c>
      <c r="Q7" s="61">
        <f t="shared" si="1"/>
        <v>47</v>
      </c>
      <c r="R7" s="61" t="b">
        <f t="shared" si="2"/>
        <v>1</v>
      </c>
    </row>
    <row r="8" spans="3:18" x14ac:dyDescent="0.25">
      <c r="C8" s="20" t="s">
        <v>10</v>
      </c>
      <c r="D8" s="25" t="str">
        <f>+D5</f>
        <v>Agr</v>
      </c>
      <c r="E8" s="5">
        <v>9</v>
      </c>
      <c r="F8" s="6">
        <v>5</v>
      </c>
      <c r="G8" s="6">
        <v>4</v>
      </c>
      <c r="H8" s="6">
        <v>7</v>
      </c>
      <c r="I8" s="6">
        <v>10</v>
      </c>
      <c r="J8" s="6">
        <v>9</v>
      </c>
      <c r="K8" s="6">
        <v>10</v>
      </c>
      <c r="L8" s="6">
        <v>9</v>
      </c>
      <c r="M8" s="7">
        <v>9</v>
      </c>
      <c r="N8" s="8">
        <v>10</v>
      </c>
      <c r="O8" s="30">
        <f t="shared" si="0"/>
        <v>82</v>
      </c>
      <c r="P8" s="62">
        <v>72</v>
      </c>
      <c r="Q8" s="61">
        <f t="shared" si="1"/>
        <v>82</v>
      </c>
      <c r="R8" s="61" t="b">
        <f t="shared" si="2"/>
        <v>1</v>
      </c>
    </row>
    <row r="9" spans="3:18" x14ac:dyDescent="0.25">
      <c r="C9" s="20" t="s">
        <v>10</v>
      </c>
      <c r="D9" s="25" t="str">
        <f t="shared" ref="D9:D13" si="3">+D6</f>
        <v>Ind</v>
      </c>
      <c r="E9" s="5">
        <v>4</v>
      </c>
      <c r="F9" s="6">
        <v>2</v>
      </c>
      <c r="G9" s="6">
        <v>3</v>
      </c>
      <c r="H9" s="6">
        <v>6</v>
      </c>
      <c r="I9" s="6">
        <v>7</v>
      </c>
      <c r="J9" s="6">
        <v>4</v>
      </c>
      <c r="K9" s="6">
        <v>9</v>
      </c>
      <c r="L9" s="6">
        <v>2</v>
      </c>
      <c r="M9" s="7">
        <v>8</v>
      </c>
      <c r="N9" s="8">
        <v>5</v>
      </c>
      <c r="O9" s="30">
        <f t="shared" si="0"/>
        <v>50</v>
      </c>
      <c r="P9" s="62">
        <v>45</v>
      </c>
      <c r="Q9" s="61">
        <f t="shared" si="1"/>
        <v>50</v>
      </c>
      <c r="R9" s="61" t="b">
        <f t="shared" si="2"/>
        <v>1</v>
      </c>
    </row>
    <row r="10" spans="3:18" x14ac:dyDescent="0.25">
      <c r="C10" s="20" t="s">
        <v>10</v>
      </c>
      <c r="D10" s="25" t="str">
        <f t="shared" si="3"/>
        <v>Serv</v>
      </c>
      <c r="E10" s="5">
        <v>6</v>
      </c>
      <c r="F10" s="6">
        <v>5</v>
      </c>
      <c r="G10" s="6">
        <v>4</v>
      </c>
      <c r="H10" s="6">
        <v>1</v>
      </c>
      <c r="I10" s="6">
        <v>9</v>
      </c>
      <c r="J10" s="6">
        <v>2</v>
      </c>
      <c r="K10" s="6">
        <v>1</v>
      </c>
      <c r="L10" s="6">
        <v>6</v>
      </c>
      <c r="M10" s="7">
        <v>1</v>
      </c>
      <c r="N10" s="8">
        <v>20</v>
      </c>
      <c r="O10" s="30">
        <f t="shared" si="0"/>
        <v>55</v>
      </c>
      <c r="P10" s="62">
        <v>35</v>
      </c>
      <c r="Q10" s="61">
        <f t="shared" si="1"/>
        <v>55</v>
      </c>
      <c r="R10" s="61" t="b">
        <f t="shared" si="2"/>
        <v>1</v>
      </c>
    </row>
    <row r="11" spans="3:18" x14ac:dyDescent="0.25">
      <c r="C11" s="20" t="s">
        <v>11</v>
      </c>
      <c r="D11" s="25" t="str">
        <f t="shared" si="3"/>
        <v>Agr</v>
      </c>
      <c r="E11" s="5">
        <v>3</v>
      </c>
      <c r="F11" s="6">
        <v>10</v>
      </c>
      <c r="G11" s="6">
        <v>8</v>
      </c>
      <c r="H11" s="6">
        <v>9</v>
      </c>
      <c r="I11" s="6">
        <v>10</v>
      </c>
      <c r="J11" s="6">
        <v>0</v>
      </c>
      <c r="K11" s="6">
        <v>7</v>
      </c>
      <c r="L11" s="6">
        <v>9</v>
      </c>
      <c r="M11" s="7">
        <v>8</v>
      </c>
      <c r="N11" s="8">
        <v>15</v>
      </c>
      <c r="O11" s="30">
        <f t="shared" si="0"/>
        <v>79</v>
      </c>
      <c r="P11" s="62">
        <v>64</v>
      </c>
      <c r="Q11" s="61">
        <f t="shared" si="1"/>
        <v>79</v>
      </c>
      <c r="R11" s="61" t="b">
        <f t="shared" si="2"/>
        <v>1</v>
      </c>
    </row>
    <row r="12" spans="3:18" x14ac:dyDescent="0.25">
      <c r="C12" s="20" t="s">
        <v>11</v>
      </c>
      <c r="D12" s="25" t="str">
        <f t="shared" si="3"/>
        <v>Ind</v>
      </c>
      <c r="E12" s="5">
        <v>1</v>
      </c>
      <c r="F12" s="6">
        <v>8</v>
      </c>
      <c r="G12" s="6">
        <v>0</v>
      </c>
      <c r="H12" s="6">
        <v>9</v>
      </c>
      <c r="I12" s="6">
        <v>0</v>
      </c>
      <c r="J12" s="6">
        <v>0</v>
      </c>
      <c r="K12" s="6">
        <v>8</v>
      </c>
      <c r="L12" s="6">
        <v>10</v>
      </c>
      <c r="M12" s="7">
        <v>1</v>
      </c>
      <c r="N12" s="8">
        <v>28</v>
      </c>
      <c r="O12" s="30">
        <f t="shared" si="0"/>
        <v>65</v>
      </c>
      <c r="P12" s="62">
        <v>37</v>
      </c>
      <c r="Q12" s="61">
        <f t="shared" si="1"/>
        <v>65</v>
      </c>
      <c r="R12" s="61" t="b">
        <f t="shared" si="2"/>
        <v>1</v>
      </c>
    </row>
    <row r="13" spans="3:18" x14ac:dyDescent="0.25">
      <c r="C13" s="20" t="s">
        <v>11</v>
      </c>
      <c r="D13" s="25" t="str">
        <f t="shared" si="3"/>
        <v>Serv</v>
      </c>
      <c r="E13" s="9">
        <v>10</v>
      </c>
      <c r="F13" s="10">
        <v>2</v>
      </c>
      <c r="G13" s="10">
        <v>4</v>
      </c>
      <c r="H13" s="10">
        <v>10</v>
      </c>
      <c r="I13" s="10">
        <v>0</v>
      </c>
      <c r="J13" s="10">
        <v>0</v>
      </c>
      <c r="K13" s="10">
        <v>3</v>
      </c>
      <c r="L13" s="10">
        <v>0</v>
      </c>
      <c r="M13" s="11">
        <v>7</v>
      </c>
      <c r="N13" s="12">
        <v>24</v>
      </c>
      <c r="O13" s="31">
        <f t="shared" si="0"/>
        <v>60</v>
      </c>
      <c r="P13" s="62">
        <v>36</v>
      </c>
      <c r="Q13" s="61">
        <f t="shared" si="1"/>
        <v>60</v>
      </c>
      <c r="R13" s="61" t="b">
        <f t="shared" si="2"/>
        <v>1</v>
      </c>
    </row>
    <row r="14" spans="3:18" x14ac:dyDescent="0.25">
      <c r="D14" s="22" t="s">
        <v>9</v>
      </c>
      <c r="E14" s="13">
        <v>20</v>
      </c>
      <c r="F14" s="14">
        <v>15</v>
      </c>
      <c r="G14" s="14">
        <v>5</v>
      </c>
      <c r="H14" s="14">
        <v>28</v>
      </c>
      <c r="I14" s="14">
        <v>8</v>
      </c>
      <c r="J14" s="14">
        <v>18</v>
      </c>
      <c r="K14" s="14">
        <v>30</v>
      </c>
      <c r="L14" s="14">
        <v>14</v>
      </c>
      <c r="M14" s="15">
        <v>10</v>
      </c>
      <c r="N14" s="19">
        <f>+SUM(E5:M13)</f>
        <v>416</v>
      </c>
      <c r="O14" s="19">
        <f>SUM(O5:O13)</f>
        <v>564</v>
      </c>
      <c r="R14" s="18"/>
    </row>
    <row r="15" spans="3:18" x14ac:dyDescent="0.25">
      <c r="D15" s="20" t="s">
        <v>8</v>
      </c>
      <c r="E15" s="13">
        <f t="shared" ref="E15:L15" si="4">SUM(E5:E14)</f>
        <v>71</v>
      </c>
      <c r="F15" s="14">
        <f t="shared" si="4"/>
        <v>55</v>
      </c>
      <c r="G15" s="14">
        <f t="shared" si="4"/>
        <v>47</v>
      </c>
      <c r="H15" s="14">
        <f t="shared" si="4"/>
        <v>82</v>
      </c>
      <c r="I15" s="14">
        <f t="shared" si="4"/>
        <v>50</v>
      </c>
      <c r="J15" s="14">
        <f t="shared" si="4"/>
        <v>55</v>
      </c>
      <c r="K15" s="14">
        <f t="shared" si="4"/>
        <v>79</v>
      </c>
      <c r="L15" s="14">
        <f t="shared" si="4"/>
        <v>65</v>
      </c>
      <c r="M15" s="15">
        <f>SUM(M5:M14)</f>
        <v>60</v>
      </c>
      <c r="R15" s="18"/>
    </row>
    <row r="16" spans="3:18" x14ac:dyDescent="0.25">
      <c r="E16" s="16" cm="1">
        <f t="array" ref="E16:M16">+TRANSPOSE(O5:O13)</f>
        <v>71</v>
      </c>
      <c r="F16" s="16">
        <v>55</v>
      </c>
      <c r="G16" s="16">
        <v>47</v>
      </c>
      <c r="H16" s="16">
        <v>82</v>
      </c>
      <c r="I16" s="16">
        <v>50</v>
      </c>
      <c r="J16" s="16">
        <v>55</v>
      </c>
      <c r="K16" s="16">
        <v>79</v>
      </c>
      <c r="L16" s="16">
        <v>65</v>
      </c>
      <c r="M16" s="16">
        <v>60</v>
      </c>
      <c r="R16" s="18"/>
    </row>
    <row r="17" spans="3:18" x14ac:dyDescent="0.25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25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.75" thickBot="1" x14ac:dyDescent="0.3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.75" thickBot="1" x14ac:dyDescent="0.3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25">
      <c r="C21" s="20" t="s">
        <v>1</v>
      </c>
      <c r="D21" s="28" t="s">
        <v>51</v>
      </c>
      <c r="E21" s="1">
        <f>+E5/E$15</f>
        <v>0.14084507042253522</v>
      </c>
      <c r="F21" s="2">
        <f t="shared" ref="F21:M21" si="6">+F5/F$15</f>
        <v>9.0909090909090912E-2</v>
      </c>
      <c r="G21" s="2">
        <f t="shared" si="6"/>
        <v>0.21276595744680851</v>
      </c>
      <c r="H21" s="2">
        <f t="shared" si="6"/>
        <v>1.2195121951219513E-2</v>
      </c>
      <c r="I21" s="2">
        <f t="shared" si="6"/>
        <v>0</v>
      </c>
      <c r="J21" s="2">
        <f t="shared" si="6"/>
        <v>0.14545454545454545</v>
      </c>
      <c r="K21" s="2">
        <f t="shared" si="6"/>
        <v>3.7974683544303799E-2</v>
      </c>
      <c r="L21" s="2">
        <f t="shared" si="6"/>
        <v>0.1076923076923077</v>
      </c>
      <c r="M21" s="3">
        <f t="shared" si="6"/>
        <v>3.3333333333333333E-2</v>
      </c>
    </row>
    <row r="22" spans="3:18" x14ac:dyDescent="0.25">
      <c r="C22" s="20" t="s">
        <v>1</v>
      </c>
      <c r="D22" s="25" t="s">
        <v>52</v>
      </c>
      <c r="E22" s="5">
        <f t="shared" ref="E22:M30" si="7">+E6/E$15</f>
        <v>0.11267605633802817</v>
      </c>
      <c r="F22" s="6">
        <f t="shared" si="7"/>
        <v>5.4545454545454543E-2</v>
      </c>
      <c r="G22" s="6">
        <f t="shared" si="7"/>
        <v>0.19148936170212766</v>
      </c>
      <c r="H22" s="6">
        <f t="shared" si="7"/>
        <v>4.878048780487805E-2</v>
      </c>
      <c r="I22" s="6">
        <f t="shared" si="7"/>
        <v>0.04</v>
      </c>
      <c r="J22" s="6">
        <f t="shared" si="7"/>
        <v>0.18181818181818182</v>
      </c>
      <c r="K22" s="6">
        <f t="shared" si="7"/>
        <v>1.2658227848101266E-2</v>
      </c>
      <c r="L22" s="6">
        <f t="shared" si="7"/>
        <v>6.1538461538461542E-2</v>
      </c>
      <c r="M22" s="7">
        <f t="shared" si="7"/>
        <v>0.11666666666666667</v>
      </c>
    </row>
    <row r="23" spans="3:18" x14ac:dyDescent="0.25">
      <c r="C23" s="20" t="s">
        <v>1</v>
      </c>
      <c r="D23" s="25" t="s">
        <v>53</v>
      </c>
      <c r="E23" s="5">
        <f t="shared" si="7"/>
        <v>0</v>
      </c>
      <c r="F23" s="6">
        <f t="shared" si="7"/>
        <v>0</v>
      </c>
      <c r="G23" s="6">
        <f t="shared" si="7"/>
        <v>0</v>
      </c>
      <c r="H23" s="6">
        <f t="shared" si="7"/>
        <v>8.5365853658536592E-2</v>
      </c>
      <c r="I23" s="6">
        <f t="shared" si="7"/>
        <v>0.08</v>
      </c>
      <c r="J23" s="6">
        <f t="shared" si="7"/>
        <v>7.2727272727272724E-2</v>
      </c>
      <c r="K23" s="6">
        <f t="shared" si="7"/>
        <v>8.8607594936708861E-2</v>
      </c>
      <c r="L23" s="6">
        <f t="shared" si="7"/>
        <v>6.1538461538461542E-2</v>
      </c>
      <c r="M23" s="7">
        <f t="shared" si="7"/>
        <v>0.11666666666666667</v>
      </c>
    </row>
    <row r="24" spans="3:18" x14ac:dyDescent="0.25">
      <c r="C24" s="20" t="s">
        <v>10</v>
      </c>
      <c r="D24" s="25" t="str">
        <f>+D21</f>
        <v>Agr</v>
      </c>
      <c r="E24" s="5">
        <f t="shared" si="7"/>
        <v>0.12676056338028169</v>
      </c>
      <c r="F24" s="6">
        <f t="shared" si="7"/>
        <v>9.0909090909090912E-2</v>
      </c>
      <c r="G24" s="6">
        <f t="shared" si="7"/>
        <v>8.5106382978723402E-2</v>
      </c>
      <c r="H24" s="6">
        <f t="shared" si="7"/>
        <v>8.5365853658536592E-2</v>
      </c>
      <c r="I24" s="6">
        <f t="shared" si="7"/>
        <v>0.2</v>
      </c>
      <c r="J24" s="6">
        <f t="shared" si="7"/>
        <v>0.16363636363636364</v>
      </c>
      <c r="K24" s="6">
        <f t="shared" si="7"/>
        <v>0.12658227848101267</v>
      </c>
      <c r="L24" s="6">
        <f t="shared" si="7"/>
        <v>0.13846153846153847</v>
      </c>
      <c r="M24" s="7">
        <f t="shared" si="7"/>
        <v>0.15</v>
      </c>
    </row>
    <row r="25" spans="3:18" x14ac:dyDescent="0.25">
      <c r="C25" s="20" t="s">
        <v>10</v>
      </c>
      <c r="D25" s="25" t="str">
        <f t="shared" ref="D25:D29" si="8">+D22</f>
        <v>Ind</v>
      </c>
      <c r="E25" s="5">
        <f t="shared" si="7"/>
        <v>5.6338028169014086E-2</v>
      </c>
      <c r="F25" s="6">
        <f t="shared" si="7"/>
        <v>3.6363636363636362E-2</v>
      </c>
      <c r="G25" s="6">
        <f t="shared" si="7"/>
        <v>6.3829787234042548E-2</v>
      </c>
      <c r="H25" s="6">
        <f t="shared" si="7"/>
        <v>7.3170731707317069E-2</v>
      </c>
      <c r="I25" s="6">
        <f t="shared" si="7"/>
        <v>0.14000000000000001</v>
      </c>
      <c r="J25" s="6">
        <f t="shared" si="7"/>
        <v>7.2727272727272724E-2</v>
      </c>
      <c r="K25" s="6">
        <f t="shared" si="7"/>
        <v>0.11392405063291139</v>
      </c>
      <c r="L25" s="6">
        <f t="shared" si="7"/>
        <v>3.0769230769230771E-2</v>
      </c>
      <c r="M25" s="7">
        <f t="shared" si="7"/>
        <v>0.13333333333333333</v>
      </c>
    </row>
    <row r="26" spans="3:18" x14ac:dyDescent="0.25">
      <c r="C26" s="20" t="s">
        <v>10</v>
      </c>
      <c r="D26" s="25" t="str">
        <f t="shared" si="8"/>
        <v>Serv</v>
      </c>
      <c r="E26" s="5">
        <f t="shared" si="7"/>
        <v>8.4507042253521125E-2</v>
      </c>
      <c r="F26" s="6">
        <f t="shared" si="7"/>
        <v>9.0909090909090912E-2</v>
      </c>
      <c r="G26" s="6">
        <f t="shared" si="7"/>
        <v>8.5106382978723402E-2</v>
      </c>
      <c r="H26" s="6">
        <f t="shared" si="7"/>
        <v>1.2195121951219513E-2</v>
      </c>
      <c r="I26" s="6">
        <f t="shared" si="7"/>
        <v>0.18</v>
      </c>
      <c r="J26" s="6">
        <f t="shared" si="7"/>
        <v>3.6363636363636362E-2</v>
      </c>
      <c r="K26" s="6">
        <f t="shared" si="7"/>
        <v>1.2658227848101266E-2</v>
      </c>
      <c r="L26" s="6">
        <f t="shared" si="7"/>
        <v>9.2307692307692313E-2</v>
      </c>
      <c r="M26" s="7">
        <f t="shared" si="7"/>
        <v>1.6666666666666666E-2</v>
      </c>
    </row>
    <row r="27" spans="3:18" x14ac:dyDescent="0.25">
      <c r="C27" s="20" t="s">
        <v>11</v>
      </c>
      <c r="D27" s="25" t="str">
        <f t="shared" si="8"/>
        <v>Agr</v>
      </c>
      <c r="E27" s="5">
        <f t="shared" si="7"/>
        <v>4.2253521126760563E-2</v>
      </c>
      <c r="F27" s="6">
        <f t="shared" si="7"/>
        <v>0.18181818181818182</v>
      </c>
      <c r="G27" s="6">
        <f t="shared" si="7"/>
        <v>0.1702127659574468</v>
      </c>
      <c r="H27" s="6">
        <f t="shared" si="7"/>
        <v>0.10975609756097561</v>
      </c>
      <c r="I27" s="6">
        <f t="shared" si="7"/>
        <v>0.2</v>
      </c>
      <c r="J27" s="6">
        <f t="shared" si="7"/>
        <v>0</v>
      </c>
      <c r="K27" s="6">
        <f t="shared" si="7"/>
        <v>8.8607594936708861E-2</v>
      </c>
      <c r="L27" s="6">
        <f t="shared" si="7"/>
        <v>0.13846153846153847</v>
      </c>
      <c r="M27" s="7">
        <f t="shared" si="7"/>
        <v>0.13333333333333333</v>
      </c>
    </row>
    <row r="28" spans="3:18" x14ac:dyDescent="0.25">
      <c r="C28" s="20" t="s">
        <v>11</v>
      </c>
      <c r="D28" s="25" t="str">
        <f t="shared" si="8"/>
        <v>Ind</v>
      </c>
      <c r="E28" s="5">
        <f t="shared" si="7"/>
        <v>1.4084507042253521E-2</v>
      </c>
      <c r="F28" s="6">
        <f t="shared" si="7"/>
        <v>0.14545454545454545</v>
      </c>
      <c r="G28" s="6">
        <f t="shared" si="7"/>
        <v>0</v>
      </c>
      <c r="H28" s="6">
        <f t="shared" si="7"/>
        <v>0.10975609756097561</v>
      </c>
      <c r="I28" s="6">
        <f t="shared" si="7"/>
        <v>0</v>
      </c>
      <c r="J28" s="6">
        <f t="shared" si="7"/>
        <v>0</v>
      </c>
      <c r="K28" s="6">
        <f t="shared" si="7"/>
        <v>0.10126582278481013</v>
      </c>
      <c r="L28" s="6">
        <f t="shared" si="7"/>
        <v>0.15384615384615385</v>
      </c>
      <c r="M28" s="7">
        <f t="shared" si="7"/>
        <v>1.6666666666666666E-2</v>
      </c>
    </row>
    <row r="29" spans="3:18" x14ac:dyDescent="0.25">
      <c r="C29" s="20" t="s">
        <v>11</v>
      </c>
      <c r="D29" s="25" t="str">
        <f t="shared" si="8"/>
        <v>Serv</v>
      </c>
      <c r="E29" s="9">
        <f t="shared" si="7"/>
        <v>0.14084507042253522</v>
      </c>
      <c r="F29" s="10">
        <f t="shared" si="7"/>
        <v>3.6363636363636362E-2</v>
      </c>
      <c r="G29" s="10">
        <f t="shared" si="7"/>
        <v>8.5106382978723402E-2</v>
      </c>
      <c r="H29" s="10">
        <f t="shared" si="7"/>
        <v>0.12195121951219512</v>
      </c>
      <c r="I29" s="10">
        <f t="shared" si="7"/>
        <v>0</v>
      </c>
      <c r="J29" s="10">
        <f t="shared" si="7"/>
        <v>0</v>
      </c>
      <c r="K29" s="10">
        <f t="shared" si="7"/>
        <v>3.7974683544303799E-2</v>
      </c>
      <c r="L29" s="10">
        <f t="shared" si="7"/>
        <v>0</v>
      </c>
      <c r="M29" s="11">
        <f t="shared" si="7"/>
        <v>0.11666666666666667</v>
      </c>
    </row>
    <row r="30" spans="3:18" x14ac:dyDescent="0.25">
      <c r="D30" s="22" t="s">
        <v>9</v>
      </c>
      <c r="E30" s="13">
        <f t="shared" si="7"/>
        <v>0.28169014084507044</v>
      </c>
      <c r="F30" s="14">
        <f t="shared" si="7"/>
        <v>0.27272727272727271</v>
      </c>
      <c r="G30" s="14">
        <f t="shared" si="7"/>
        <v>0.10638297872340426</v>
      </c>
      <c r="H30" s="14">
        <f t="shared" si="7"/>
        <v>0.34146341463414637</v>
      </c>
      <c r="I30" s="14">
        <f t="shared" si="7"/>
        <v>0.16</v>
      </c>
      <c r="J30" s="14">
        <f t="shared" si="7"/>
        <v>0.32727272727272727</v>
      </c>
      <c r="K30" s="14">
        <f t="shared" si="7"/>
        <v>0.379746835443038</v>
      </c>
      <c r="L30" s="14">
        <f t="shared" si="7"/>
        <v>0.2153846153846154</v>
      </c>
      <c r="M30" s="15">
        <f t="shared" si="7"/>
        <v>0.16666666666666666</v>
      </c>
    </row>
    <row r="31" spans="3:18" x14ac:dyDescent="0.25">
      <c r="D31" s="20" t="s">
        <v>8</v>
      </c>
      <c r="E31" s="13">
        <f t="shared" ref="E31:M31" si="9">SUM(E21:E30)</f>
        <v>1</v>
      </c>
      <c r="F31" s="14">
        <f t="shared" si="9"/>
        <v>1</v>
      </c>
      <c r="G31" s="14">
        <f t="shared" si="9"/>
        <v>1</v>
      </c>
      <c r="H31" s="14">
        <f t="shared" si="9"/>
        <v>1</v>
      </c>
      <c r="I31" s="14">
        <f t="shared" si="9"/>
        <v>1</v>
      </c>
      <c r="J31" s="14">
        <f t="shared" si="9"/>
        <v>1</v>
      </c>
      <c r="K31" s="14">
        <f t="shared" si="9"/>
        <v>1</v>
      </c>
      <c r="L31" s="14">
        <f t="shared" si="9"/>
        <v>1</v>
      </c>
      <c r="M31" s="15">
        <f t="shared" si="9"/>
        <v>1</v>
      </c>
    </row>
    <row r="34" spans="2:18" ht="15.75" thickBot="1" x14ac:dyDescent="0.3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2:18" ht="15.75" thickBot="1" x14ac:dyDescent="0.3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2:18" x14ac:dyDescent="0.25">
      <c r="C36" s="20" t="s">
        <v>1</v>
      </c>
      <c r="D36" s="28" t="s">
        <v>51</v>
      </c>
      <c r="E36" s="1" cm="1">
        <f t="array" ref="E36:M44">+MINVERSE(_xlfn.MUNIT(COUNTA($D$36:$D$44))-E21:M29)</f>
        <v>1.3396897673098553</v>
      </c>
      <c r="F36" s="2">
        <v>0.29313766151442472</v>
      </c>
      <c r="G36" s="2">
        <v>0.46062080591971027</v>
      </c>
      <c r="H36" s="2">
        <v>0.20047114765858043</v>
      </c>
      <c r="I36" s="2">
        <v>0.22471967444765886</v>
      </c>
      <c r="J36" s="2">
        <v>0.34329239630226011</v>
      </c>
      <c r="K36" s="2">
        <v>0.21398444112354956</v>
      </c>
      <c r="L36" s="2">
        <v>0.33876647757551959</v>
      </c>
      <c r="M36" s="3">
        <v>0.26323813083081754</v>
      </c>
      <c r="N36" s="16" cm="1">
        <f t="array" ref="N36:N44">+MMULT(_xlfn.ANCHORARRAY(E36),N5:N13)</f>
        <v>71</v>
      </c>
    </row>
    <row r="37" spans="2:18" x14ac:dyDescent="0.25">
      <c r="C37" s="20" t="s">
        <v>1</v>
      </c>
      <c r="D37" s="25" t="s">
        <v>52</v>
      </c>
      <c r="E37" s="5">
        <v>0.33305376452405477</v>
      </c>
      <c r="F37" s="6">
        <v>1.2588962622476694</v>
      </c>
      <c r="G37" s="6">
        <v>0.44906571639362902</v>
      </c>
      <c r="H37" s="6">
        <v>0.24914151781031268</v>
      </c>
      <c r="I37" s="6">
        <v>0.2850825641197372</v>
      </c>
      <c r="J37" s="6">
        <v>0.38551433058519635</v>
      </c>
      <c r="K37" s="6">
        <v>0.19834507137089469</v>
      </c>
      <c r="L37" s="6">
        <v>0.29225190328391093</v>
      </c>
      <c r="M37" s="7">
        <v>0.36621325203064486</v>
      </c>
      <c r="N37" s="16">
        <v>55.000000000000007</v>
      </c>
    </row>
    <row r="38" spans="2:18" x14ac:dyDescent="0.25">
      <c r="C38" s="20" t="s">
        <v>1</v>
      </c>
      <c r="D38" s="25" t="s">
        <v>53</v>
      </c>
      <c r="E38" s="5">
        <v>0.16096426404995831</v>
      </c>
      <c r="F38" s="6">
        <v>0.16098912768389811</v>
      </c>
      <c r="G38" s="6">
        <v>1.1866305477256527</v>
      </c>
      <c r="H38" s="6">
        <v>0.24266960433010817</v>
      </c>
      <c r="I38" s="6">
        <v>0.27162888961053594</v>
      </c>
      <c r="J38" s="6">
        <v>0.20593716184064856</v>
      </c>
      <c r="K38" s="6">
        <v>0.23314113071157197</v>
      </c>
      <c r="L38" s="6">
        <v>0.22869828937505449</v>
      </c>
      <c r="M38" s="7">
        <v>0.3096620435609494</v>
      </c>
      <c r="N38" s="16">
        <v>47.000000000000014</v>
      </c>
    </row>
    <row r="39" spans="2:18" x14ac:dyDescent="0.25">
      <c r="C39" s="20" t="s">
        <v>10</v>
      </c>
      <c r="D39" s="25" t="str">
        <f>+D36</f>
        <v>Agr</v>
      </c>
      <c r="E39" s="5">
        <v>0.46948940027866004</v>
      </c>
      <c r="F39" s="6">
        <v>0.42979983594636084</v>
      </c>
      <c r="G39" s="6">
        <v>0.50026321949972674</v>
      </c>
      <c r="H39" s="6">
        <v>1.4082652483739835</v>
      </c>
      <c r="I39" s="6">
        <v>0.59296552145230841</v>
      </c>
      <c r="J39" s="6">
        <v>0.47360784454465799</v>
      </c>
      <c r="K39" s="6">
        <v>0.42917417879158681</v>
      </c>
      <c r="L39" s="6">
        <v>0.50129474506177585</v>
      </c>
      <c r="M39" s="7">
        <v>0.55237410595478087</v>
      </c>
      <c r="N39" s="16">
        <v>82</v>
      </c>
    </row>
    <row r="40" spans="2:18" x14ac:dyDescent="0.25">
      <c r="C40" s="20" t="s">
        <v>10</v>
      </c>
      <c r="D40" s="25" t="str">
        <f t="shared" ref="D40:D44" si="10">+D37</f>
        <v>Ind</v>
      </c>
      <c r="E40" s="5">
        <v>0.27827723239842433</v>
      </c>
      <c r="F40" s="6">
        <v>0.24820393574606325</v>
      </c>
      <c r="G40" s="6">
        <v>0.33029476378346578</v>
      </c>
      <c r="H40" s="6">
        <v>0.28495600131722088</v>
      </c>
      <c r="I40" s="6">
        <v>1.3995953346694374</v>
      </c>
      <c r="J40" s="6">
        <v>0.26778154004367211</v>
      </c>
      <c r="K40" s="6">
        <v>0.31054185905945586</v>
      </c>
      <c r="L40" s="6">
        <v>0.25504174687087422</v>
      </c>
      <c r="M40" s="7">
        <v>0.40329377754913653</v>
      </c>
      <c r="N40" s="16">
        <v>50</v>
      </c>
    </row>
    <row r="41" spans="2:18" x14ac:dyDescent="0.25">
      <c r="C41" s="20" t="s">
        <v>10</v>
      </c>
      <c r="D41" s="25" t="str">
        <f t="shared" si="10"/>
        <v>Serv</v>
      </c>
      <c r="E41" s="5">
        <v>0.24935170583985158</v>
      </c>
      <c r="F41" s="6">
        <v>0.25257975039975866</v>
      </c>
      <c r="G41" s="6">
        <v>0.28900630839132929</v>
      </c>
      <c r="H41" s="6">
        <v>0.17116188311097175</v>
      </c>
      <c r="I41" s="6">
        <v>0.36899674724360437</v>
      </c>
      <c r="J41" s="6">
        <v>1.201756232476507</v>
      </c>
      <c r="K41" s="6">
        <v>0.16782504737118717</v>
      </c>
      <c r="L41" s="6">
        <v>0.27111308072234536</v>
      </c>
      <c r="M41" s="7">
        <v>0.21882464983647648</v>
      </c>
      <c r="N41" s="16">
        <v>55</v>
      </c>
    </row>
    <row r="42" spans="2:18" x14ac:dyDescent="0.25">
      <c r="C42" s="20" t="s">
        <v>11</v>
      </c>
      <c r="D42" s="25" t="str">
        <f t="shared" si="10"/>
        <v>Agr</v>
      </c>
      <c r="E42" s="5">
        <v>0.35214837075990457</v>
      </c>
      <c r="F42" s="6">
        <v>0.48083150088067539</v>
      </c>
      <c r="G42" s="6">
        <v>0.54248305189281365</v>
      </c>
      <c r="H42" s="6">
        <v>0.42036737225086895</v>
      </c>
      <c r="I42" s="6">
        <v>0.55309703312036218</v>
      </c>
      <c r="J42" s="6">
        <v>0.29794582387163238</v>
      </c>
      <c r="K42" s="6">
        <v>1.376639107748959</v>
      </c>
      <c r="L42" s="6">
        <v>0.46591316610695016</v>
      </c>
      <c r="M42" s="7">
        <v>0.52551986939858886</v>
      </c>
      <c r="N42" s="16">
        <v>79.000000000000014</v>
      </c>
    </row>
    <row r="43" spans="2:18" x14ac:dyDescent="0.25">
      <c r="C43" s="20" t="s">
        <v>11</v>
      </c>
      <c r="D43" s="25" t="str">
        <f t="shared" si="10"/>
        <v>Ind</v>
      </c>
      <c r="E43" s="5">
        <v>0.18895230008671562</v>
      </c>
      <c r="F43" s="6">
        <v>0.33840247482967128</v>
      </c>
      <c r="G43" s="6">
        <v>0.22055756496026482</v>
      </c>
      <c r="H43" s="6">
        <v>0.28461936418358202</v>
      </c>
      <c r="I43" s="6">
        <v>0.19938770529705943</v>
      </c>
      <c r="J43" s="6">
        <v>0.17239619825796176</v>
      </c>
      <c r="K43" s="6">
        <v>0.26168766921156789</v>
      </c>
      <c r="L43" s="6">
        <v>1.3619713120084544</v>
      </c>
      <c r="M43" s="7">
        <v>0.22783338986208793</v>
      </c>
      <c r="N43" s="16">
        <v>65</v>
      </c>
    </row>
    <row r="44" spans="2:18" x14ac:dyDescent="0.25">
      <c r="C44" s="20" t="s">
        <v>11</v>
      </c>
      <c r="D44" s="25" t="str">
        <f t="shared" si="10"/>
        <v>Serv</v>
      </c>
      <c r="E44" s="9">
        <v>0.32278455821683549</v>
      </c>
      <c r="F44" s="10">
        <v>0.19408333704833722</v>
      </c>
      <c r="G44" s="10">
        <v>0.29864603550568125</v>
      </c>
      <c r="H44" s="10">
        <v>0.27809522164442302</v>
      </c>
      <c r="I44" s="10">
        <v>0.17937871997805888</v>
      </c>
      <c r="J44" s="10">
        <v>0.16864275194250614</v>
      </c>
      <c r="K44" s="10">
        <v>0.1831797159010346</v>
      </c>
      <c r="L44" s="10">
        <v>0.17731814158643994</v>
      </c>
      <c r="M44" s="11">
        <v>1.3178105679183645</v>
      </c>
      <c r="N44" s="16">
        <v>60.000000000000021</v>
      </c>
    </row>
    <row r="45" spans="2:18" ht="15.75" thickBot="1" x14ac:dyDescent="0.3"/>
    <row r="46" spans="2:18" ht="15.75" thickBot="1" x14ac:dyDescent="0.3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2:18" x14ac:dyDescent="0.25">
      <c r="B47" s="18"/>
      <c r="C47" s="22" t="s">
        <v>1</v>
      </c>
      <c r="D47" s="28" t="s">
        <v>51</v>
      </c>
      <c r="E47" s="140">
        <f>+IO_sub_model!E47+IO_sub_model!B188+'IO_sub_model - t+1'!B188</f>
        <v>0.180698359827002</v>
      </c>
      <c r="F47" s="35">
        <f>1-E47</f>
        <v>0.819301640172998</v>
      </c>
      <c r="G47" s="1" cm="1">
        <f t="array" ref="G47:G55">+N5:N13</f>
        <v>25</v>
      </c>
      <c r="H47" s="3">
        <f>+G47*F47</f>
        <v>20.482541004324951</v>
      </c>
      <c r="I47" s="18"/>
      <c r="J47" s="22" t="s">
        <v>1</v>
      </c>
      <c r="K47" s="28" t="s">
        <v>51</v>
      </c>
      <c r="L47" s="140">
        <f>+IO_sub_model!L47</f>
        <v>0</v>
      </c>
      <c r="M47" s="35">
        <f>1-L47</f>
        <v>1</v>
      </c>
      <c r="N47" s="1" cm="1">
        <f t="array" ref="N47:N55">+O5:O13</f>
        <v>71</v>
      </c>
      <c r="O47" s="3">
        <f>+N47*M47</f>
        <v>71</v>
      </c>
      <c r="P47" s="18"/>
      <c r="Q47" s="18"/>
      <c r="R47" s="18"/>
    </row>
    <row r="48" spans="2:18" x14ac:dyDescent="0.25">
      <c r="B48" s="18"/>
      <c r="C48" s="20" t="s">
        <v>1</v>
      </c>
      <c r="D48" s="25" t="s">
        <v>52</v>
      </c>
      <c r="E48" s="141">
        <f>+IO_sub_model!E48+IO_sub_model!B189+'IO_sub_model - t+1'!B189</f>
        <v>0.47747252747252744</v>
      </c>
      <c r="F48" s="36">
        <f t="shared" ref="F48:F55" si="11">1-E48</f>
        <v>0.52252747252747256</v>
      </c>
      <c r="G48" s="5">
        <v>7</v>
      </c>
      <c r="H48" s="7">
        <f t="shared" ref="H48:H55" si="12">+G48*F48</f>
        <v>3.657692307692308</v>
      </c>
      <c r="I48" s="18"/>
      <c r="J48" s="20" t="s">
        <v>1</v>
      </c>
      <c r="K48" s="25" t="s">
        <v>52</v>
      </c>
      <c r="L48" s="141">
        <f>+IO_sub_model!L48</f>
        <v>0</v>
      </c>
      <c r="M48" s="36">
        <f t="shared" ref="M48:M55" si="13">1-L48</f>
        <v>1</v>
      </c>
      <c r="N48" s="5">
        <v>55</v>
      </c>
      <c r="O48" s="7">
        <f t="shared" ref="O48:O55" si="14">+N48*M48</f>
        <v>55</v>
      </c>
      <c r="P48" s="18"/>
    </row>
    <row r="49" spans="1:16" x14ac:dyDescent="0.25">
      <c r="B49" s="18"/>
      <c r="C49" s="20" t="s">
        <v>1</v>
      </c>
      <c r="D49" s="25" t="s">
        <v>53</v>
      </c>
      <c r="E49" s="141">
        <f>+IO_sub_model!E49+IO_sub_model!B190+'IO_sub_model - t+1'!B190</f>
        <v>2.5824175824174589E-3</v>
      </c>
      <c r="F49" s="36">
        <f t="shared" si="11"/>
        <v>0.99741758241758249</v>
      </c>
      <c r="G49" s="5">
        <v>14</v>
      </c>
      <c r="H49" s="7">
        <f t="shared" si="12"/>
        <v>13.963846153846156</v>
      </c>
      <c r="I49" s="18"/>
      <c r="J49" s="20" t="s">
        <v>1</v>
      </c>
      <c r="K49" s="25" t="s">
        <v>53</v>
      </c>
      <c r="L49" s="141">
        <f>+IO_sub_model!L49</f>
        <v>0.06</v>
      </c>
      <c r="M49" s="36">
        <f t="shared" si="13"/>
        <v>0.94</v>
      </c>
      <c r="N49" s="5">
        <v>47</v>
      </c>
      <c r="O49" s="7">
        <f t="shared" si="14"/>
        <v>44.18</v>
      </c>
      <c r="P49" s="18"/>
    </row>
    <row r="50" spans="1:16" x14ac:dyDescent="0.25">
      <c r="B50" s="18"/>
      <c r="C50" s="20" t="s">
        <v>10</v>
      </c>
      <c r="D50" s="25" t="str">
        <f>+D47</f>
        <v>Agr</v>
      </c>
      <c r="E50" s="141">
        <f>+IO_sub_model!E50+IO_sub_model!B191+'IO_sub_model - t+1'!B191</f>
        <v>0</v>
      </c>
      <c r="F50" s="36">
        <f t="shared" si="11"/>
        <v>1</v>
      </c>
      <c r="G50" s="5">
        <v>10</v>
      </c>
      <c r="H50" s="7">
        <f t="shared" si="12"/>
        <v>10</v>
      </c>
      <c r="I50" s="18"/>
      <c r="J50" s="20" t="s">
        <v>10</v>
      </c>
      <c r="K50" s="25" t="str">
        <f>+K47</f>
        <v>Agr</v>
      </c>
      <c r="L50" s="141">
        <f>+IO_sub_model!L50</f>
        <v>0.1</v>
      </c>
      <c r="M50" s="36">
        <f t="shared" si="13"/>
        <v>0.9</v>
      </c>
      <c r="N50" s="5">
        <v>82</v>
      </c>
      <c r="O50" s="7">
        <f t="shared" si="14"/>
        <v>73.8</v>
      </c>
      <c r="P50" s="18"/>
    </row>
    <row r="51" spans="1:16" x14ac:dyDescent="0.25">
      <c r="B51" s="18"/>
      <c r="C51" s="20" t="s">
        <v>10</v>
      </c>
      <c r="D51" s="25" t="str">
        <f t="shared" ref="D51:D55" si="15">+D48</f>
        <v>Ind</v>
      </c>
      <c r="E51" s="141">
        <f>+IO_sub_model!E51+IO_sub_model!B192+'IO_sub_model - t+1'!B192</f>
        <v>0.10769230769230961</v>
      </c>
      <c r="F51" s="36">
        <f t="shared" si="11"/>
        <v>0.89230769230769036</v>
      </c>
      <c r="G51" s="5">
        <v>5</v>
      </c>
      <c r="H51" s="7">
        <f t="shared" si="12"/>
        <v>4.4615384615384519</v>
      </c>
      <c r="I51" s="18"/>
      <c r="J51" s="20" t="s">
        <v>10</v>
      </c>
      <c r="K51" s="25" t="str">
        <f t="shared" ref="K51:K55" si="16">+K48</f>
        <v>Ind</v>
      </c>
      <c r="L51" s="141">
        <f>+IO_sub_model!L51</f>
        <v>0.05</v>
      </c>
      <c r="M51" s="36">
        <f t="shared" si="13"/>
        <v>0.95</v>
      </c>
      <c r="N51" s="5">
        <v>50</v>
      </c>
      <c r="O51" s="7">
        <f t="shared" si="14"/>
        <v>47.5</v>
      </c>
      <c r="P51" s="18"/>
    </row>
    <row r="52" spans="1:16" x14ac:dyDescent="0.25">
      <c r="B52" s="18"/>
      <c r="C52" s="20" t="s">
        <v>10</v>
      </c>
      <c r="D52" s="25" t="str">
        <f t="shared" si="15"/>
        <v>Serv</v>
      </c>
      <c r="E52" s="141">
        <f>+IO_sub_model!E52+IO_sub_model!B193+'IO_sub_model - t+1'!B193</f>
        <v>0</v>
      </c>
      <c r="F52" s="36">
        <f t="shared" si="11"/>
        <v>1</v>
      </c>
      <c r="G52" s="5">
        <v>20</v>
      </c>
      <c r="H52" s="7">
        <f t="shared" si="12"/>
        <v>20</v>
      </c>
      <c r="I52" s="18"/>
      <c r="J52" s="20" t="s">
        <v>10</v>
      </c>
      <c r="K52" s="25" t="str">
        <f t="shared" si="16"/>
        <v>Serv</v>
      </c>
      <c r="L52" s="141">
        <f>+IO_sub_model!L52</f>
        <v>0.09</v>
      </c>
      <c r="M52" s="36">
        <f t="shared" si="13"/>
        <v>0.91</v>
      </c>
      <c r="N52" s="5">
        <v>55</v>
      </c>
      <c r="O52" s="7">
        <f t="shared" si="14"/>
        <v>50.050000000000004</v>
      </c>
      <c r="P52" s="18"/>
    </row>
    <row r="53" spans="1:16" x14ac:dyDescent="0.25">
      <c r="B53" s="18"/>
      <c r="C53" s="20" t="s">
        <v>11</v>
      </c>
      <c r="D53" s="25" t="str">
        <f t="shared" si="15"/>
        <v>Agr</v>
      </c>
      <c r="E53" s="141">
        <f>+IO_sub_model!E53+IO_sub_model!B194+'IO_sub_model - t+1'!B194</f>
        <v>0.33905498680278739</v>
      </c>
      <c r="F53" s="36">
        <f t="shared" si="11"/>
        <v>0.66094501319721255</v>
      </c>
      <c r="G53" s="5">
        <v>15</v>
      </c>
      <c r="H53" s="7">
        <f t="shared" si="12"/>
        <v>9.9141751979581887</v>
      </c>
      <c r="I53" s="18"/>
      <c r="J53" s="20" t="s">
        <v>11</v>
      </c>
      <c r="K53" s="25" t="str">
        <f t="shared" si="16"/>
        <v>Agr</v>
      </c>
      <c r="L53" s="141">
        <f>+IO_sub_model!L53</f>
        <v>0</v>
      </c>
      <c r="M53" s="36">
        <f t="shared" si="13"/>
        <v>1</v>
      </c>
      <c r="N53" s="5">
        <v>79</v>
      </c>
      <c r="O53" s="7">
        <f t="shared" si="14"/>
        <v>79</v>
      </c>
      <c r="P53" s="18"/>
    </row>
    <row r="54" spans="1:16" x14ac:dyDescent="0.25">
      <c r="B54" s="18"/>
      <c r="C54" s="20" t="s">
        <v>11</v>
      </c>
      <c r="D54" s="25" t="str">
        <f t="shared" si="15"/>
        <v>Ind</v>
      </c>
      <c r="E54" s="141">
        <f>+IO_sub_model!E54+IO_sub_model!B195+'IO_sub_model - t+1'!B195</f>
        <v>4.8214285714286022E-2</v>
      </c>
      <c r="F54" s="36">
        <f t="shared" si="11"/>
        <v>0.95178571428571401</v>
      </c>
      <c r="G54" s="5">
        <v>28</v>
      </c>
      <c r="H54" s="7">
        <f t="shared" si="12"/>
        <v>26.649999999999991</v>
      </c>
      <c r="I54" s="18"/>
      <c r="J54" s="20" t="s">
        <v>11</v>
      </c>
      <c r="K54" s="25" t="str">
        <f t="shared" si="16"/>
        <v>Ind</v>
      </c>
      <c r="L54" s="141">
        <f>+IO_sub_model!L54</f>
        <v>0.04</v>
      </c>
      <c r="M54" s="36">
        <f t="shared" si="13"/>
        <v>0.96</v>
      </c>
      <c r="N54" s="5">
        <v>65</v>
      </c>
      <c r="O54" s="7">
        <f t="shared" si="14"/>
        <v>62.4</v>
      </c>
      <c r="P54" s="18"/>
    </row>
    <row r="55" spans="1:16" x14ac:dyDescent="0.25">
      <c r="B55" s="18"/>
      <c r="C55" s="20" t="s">
        <v>11</v>
      </c>
      <c r="D55" s="25" t="str">
        <f t="shared" si="15"/>
        <v>Serv</v>
      </c>
      <c r="E55" s="142">
        <f>+IO_sub_model!E55+IO_sub_model!B196+'IO_sub_model - t+1'!B196</f>
        <v>0.15449419048375082</v>
      </c>
      <c r="F55" s="37">
        <f t="shared" si="11"/>
        <v>0.84550580951624921</v>
      </c>
      <c r="G55" s="9">
        <v>24</v>
      </c>
      <c r="H55" s="11">
        <f t="shared" si="12"/>
        <v>20.29213942838998</v>
      </c>
      <c r="I55" s="18"/>
      <c r="J55" s="20" t="s">
        <v>11</v>
      </c>
      <c r="K55" s="25" t="str">
        <f t="shared" si="16"/>
        <v>Serv</v>
      </c>
      <c r="L55" s="142">
        <f>+IO_sub_model!L55</f>
        <v>0</v>
      </c>
      <c r="M55" s="37">
        <f t="shared" si="13"/>
        <v>1</v>
      </c>
      <c r="N55" s="9">
        <v>60</v>
      </c>
      <c r="O55" s="11">
        <f t="shared" si="14"/>
        <v>60</v>
      </c>
      <c r="P55" s="18"/>
    </row>
    <row r="56" spans="1:16" x14ac:dyDescent="0.25">
      <c r="G56" s="13">
        <f t="shared" ref="G56:H56" si="17">SUM(G47:G55)</f>
        <v>148</v>
      </c>
      <c r="H56" s="15">
        <f t="shared" si="17"/>
        <v>129.42193255375003</v>
      </c>
      <c r="N56" s="13">
        <f t="shared" ref="N56:O56" si="18">SUM(N47:N55)</f>
        <v>564</v>
      </c>
      <c r="O56" s="15">
        <f t="shared" si="18"/>
        <v>542.93000000000006</v>
      </c>
    </row>
    <row r="57" spans="1:16" x14ac:dyDescent="0.25">
      <c r="H57" s="18">
        <f>+H56-G56</f>
        <v>-18.578067446249975</v>
      </c>
      <c r="O57" s="18">
        <f>+O56-N56</f>
        <v>-21.069999999999936</v>
      </c>
    </row>
    <row r="58" spans="1:16" x14ac:dyDescent="0.25">
      <c r="A58" s="66"/>
    </row>
    <row r="59" spans="1:16" x14ac:dyDescent="0.25">
      <c r="A59" s="68" t="s">
        <v>30</v>
      </c>
      <c r="E59" s="20" t="s">
        <v>20</v>
      </c>
      <c r="F59" s="20" t="str" cm="1">
        <f t="array" ref="F59:F68">+O46:O55</f>
        <v>x_max</v>
      </c>
      <c r="G59" s="20" t="s">
        <v>3</v>
      </c>
    </row>
    <row r="60" spans="1:16" x14ac:dyDescent="0.25">
      <c r="A60" s="67"/>
      <c r="C60" s="20" t="s">
        <v>1</v>
      </c>
      <c r="D60" s="28" t="s">
        <v>51</v>
      </c>
      <c r="E60" s="4" cm="1">
        <f t="array" ref="E60:E68">+MMULT(_xlfn.ANCHORARRAY(E36),H47:H55)</f>
        <v>61.308921623993328</v>
      </c>
      <c r="F60" s="4">
        <v>71</v>
      </c>
      <c r="G60" s="40">
        <f>+MIN(F60/E60,1)</f>
        <v>1</v>
      </c>
      <c r="H60" s="18"/>
      <c r="I60" s="18"/>
    </row>
    <row r="61" spans="1:16" x14ac:dyDescent="0.25">
      <c r="C61" s="20" t="s">
        <v>1</v>
      </c>
      <c r="D61" s="25" t="s">
        <v>52</v>
      </c>
      <c r="E61" s="8">
        <v>46.356927134612</v>
      </c>
      <c r="F61" s="8">
        <v>55</v>
      </c>
      <c r="G61" s="41">
        <f t="shared" ref="G61:G68" si="19">+MIN(F61/E61,1)</f>
        <v>1</v>
      </c>
      <c r="H61" s="18"/>
      <c r="I61" s="18"/>
    </row>
    <row r="62" spans="1:16" x14ac:dyDescent="0.25">
      <c r="C62" s="20" t="s">
        <v>1</v>
      </c>
      <c r="D62" s="25" t="s">
        <v>53</v>
      </c>
      <c r="E62" s="8">
        <v>42.902971052046155</v>
      </c>
      <c r="F62" s="8">
        <v>44.18</v>
      </c>
      <c r="G62" s="41">
        <f t="shared" si="19"/>
        <v>1</v>
      </c>
      <c r="H62" s="18"/>
      <c r="I62" s="18"/>
    </row>
    <row r="63" spans="1:16" x14ac:dyDescent="0.25">
      <c r="C63" s="20" t="s">
        <v>10</v>
      </c>
      <c r="D63" s="25" t="str">
        <f>+D60</f>
        <v>Agr</v>
      </c>
      <c r="E63" s="8">
        <v>73.197623264115251</v>
      </c>
      <c r="F63" s="8">
        <v>73.8</v>
      </c>
      <c r="G63" s="41">
        <f t="shared" si="19"/>
        <v>1</v>
      </c>
      <c r="H63" s="18"/>
      <c r="I63" s="18"/>
    </row>
    <row r="64" spans="1:16" x14ac:dyDescent="0.25">
      <c r="C64" s="20" t="s">
        <v>10</v>
      </c>
      <c r="D64" s="25" t="str">
        <f t="shared" ref="D64:D68" si="20">+D61</f>
        <v>Ind</v>
      </c>
      <c r="E64" s="8">
        <v>43.728725462597573</v>
      </c>
      <c r="F64" s="8">
        <v>47.5</v>
      </c>
      <c r="G64" s="41">
        <f t="shared" si="19"/>
        <v>1</v>
      </c>
      <c r="H64" s="18"/>
      <c r="I64" s="18"/>
    </row>
    <row r="65" spans="1:22" x14ac:dyDescent="0.25">
      <c r="C65" s="20" t="s">
        <v>10</v>
      </c>
      <c r="D65" s="25" t="str">
        <f t="shared" si="20"/>
        <v>Serv</v>
      </c>
      <c r="E65" s="8">
        <v>50.789322666340965</v>
      </c>
      <c r="F65" s="8">
        <v>50.050000000000004</v>
      </c>
      <c r="G65" s="41">
        <f t="shared" si="19"/>
        <v>0.98544334463371519</v>
      </c>
      <c r="H65" s="18"/>
      <c r="I65" s="18"/>
    </row>
    <row r="66" spans="1:22" x14ac:dyDescent="0.25">
      <c r="C66" s="20" t="s">
        <v>11</v>
      </c>
      <c r="D66" s="25" t="str">
        <f t="shared" si="20"/>
        <v>Agr</v>
      </c>
      <c r="E66" s="8">
        <v>65.905780527193883</v>
      </c>
      <c r="F66" s="8">
        <v>79</v>
      </c>
      <c r="G66" s="41">
        <f t="shared" si="19"/>
        <v>1</v>
      </c>
      <c r="H66" s="18"/>
      <c r="I66" s="18"/>
    </row>
    <row r="67" spans="1:22" x14ac:dyDescent="0.25">
      <c r="C67" s="20" t="s">
        <v>11</v>
      </c>
      <c r="D67" s="25" t="str">
        <f t="shared" si="20"/>
        <v>Ind</v>
      </c>
      <c r="E67" s="8">
        <v>58.885700569842371</v>
      </c>
      <c r="F67" s="8">
        <v>62.4</v>
      </c>
      <c r="G67" s="41">
        <f t="shared" si="19"/>
        <v>1</v>
      </c>
      <c r="H67" s="18"/>
      <c r="I67" s="18"/>
    </row>
    <row r="68" spans="1:22" x14ac:dyDescent="0.25">
      <c r="C68" s="20" t="s">
        <v>11</v>
      </c>
      <c r="D68" s="25" t="str">
        <f t="shared" si="20"/>
        <v>Serv</v>
      </c>
      <c r="E68" s="12">
        <v>51.728504739966539</v>
      </c>
      <c r="F68" s="12">
        <v>60</v>
      </c>
      <c r="G68" s="42">
        <f t="shared" si="19"/>
        <v>1</v>
      </c>
      <c r="H68" s="18"/>
      <c r="I68" s="18"/>
    </row>
    <row r="69" spans="1:22" x14ac:dyDescent="0.25">
      <c r="A69" s="66"/>
    </row>
    <row r="70" spans="1:22" x14ac:dyDescent="0.25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22" x14ac:dyDescent="0.25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22" x14ac:dyDescent="0.25">
      <c r="C72" t="s">
        <v>25</v>
      </c>
      <c r="D72" s="20" t="s">
        <v>4</v>
      </c>
      <c r="E72" s="43" cm="1">
        <f t="array" ref="E72">+MIN(_xlfn._xlws.FILTER($G$60:$G$68,E21:E29&gt;0))</f>
        <v>0.98544334463371519</v>
      </c>
      <c r="F72" s="44" cm="1">
        <f t="array" ref="F72">+MIN(_xlfn._xlws.FILTER($G$60:$G$68,F21:F29&gt;0))</f>
        <v>0.98544334463371519</v>
      </c>
      <c r="G72" s="44" cm="1">
        <f t="array" ref="G72">+MIN(_xlfn._xlws.FILTER($G$60:$G$68,G21:G29&gt;0))</f>
        <v>0.98544334463371519</v>
      </c>
      <c r="H72" s="44" cm="1">
        <f t="array" ref="H72">+MIN(_xlfn._xlws.FILTER($G$60:$G$68,H21:H29&gt;0))</f>
        <v>0.98544334463371519</v>
      </c>
      <c r="I72" s="44" cm="1">
        <f t="array" ref="I72">+MIN(_xlfn._xlws.FILTER($G$60:$G$68,I21:I29&gt;0))</f>
        <v>0.98544334463371519</v>
      </c>
      <c r="J72" s="44" cm="1">
        <f t="array" ref="J72">+MIN(_xlfn._xlws.FILTER($G$60:$G$68,J21:J29&gt;0))</f>
        <v>0.98544334463371519</v>
      </c>
      <c r="K72" s="44" cm="1">
        <f t="array" ref="K72">+MIN(_xlfn._xlws.FILTER($G$60:$G$68,K21:K29&gt;0))</f>
        <v>0.98544334463371519</v>
      </c>
      <c r="L72" s="44" cm="1">
        <f t="array" ref="L72">+MIN(_xlfn._xlws.FILTER($G$60:$G$68,L21:L29&gt;0))</f>
        <v>0.98544334463371519</v>
      </c>
      <c r="M72" s="45" cm="1">
        <f t="array" ref="M72">+MIN(_xlfn._xlws.FILTER($G$60:$G$68,M21:M29&gt;0))</f>
        <v>0.98544334463371519</v>
      </c>
    </row>
    <row r="73" spans="1:22" ht="15.75" thickBot="1" x14ac:dyDescent="0.3">
      <c r="C73" t="s">
        <v>26</v>
      </c>
      <c r="D73" s="49" t="s">
        <v>18</v>
      </c>
      <c r="E73" s="50" cm="1">
        <f t="array" ref="E73:M73">+TRANSPOSE(M47:M55)</f>
        <v>1</v>
      </c>
      <c r="F73" s="51">
        <v>1</v>
      </c>
      <c r="G73" s="51">
        <v>0.94</v>
      </c>
      <c r="H73" s="51">
        <v>0.9</v>
      </c>
      <c r="I73" s="51">
        <v>0.95</v>
      </c>
      <c r="J73" s="51">
        <v>0.91</v>
      </c>
      <c r="K73" s="51">
        <v>1</v>
      </c>
      <c r="L73" s="51">
        <v>0.96</v>
      </c>
      <c r="M73" s="52">
        <v>1</v>
      </c>
    </row>
    <row r="74" spans="1:22" x14ac:dyDescent="0.25">
      <c r="D74" s="22" t="s">
        <v>22</v>
      </c>
      <c r="E74" s="46">
        <f>+MIN(E72:E73)</f>
        <v>0.98544334463371519</v>
      </c>
      <c r="F74" s="47">
        <f t="shared" ref="F74:M74" si="21">+MIN(F72:F73)</f>
        <v>0.98544334463371519</v>
      </c>
      <c r="G74" s="47">
        <f t="shared" si="21"/>
        <v>0.94</v>
      </c>
      <c r="H74" s="47">
        <f t="shared" si="21"/>
        <v>0.9</v>
      </c>
      <c r="I74" s="47">
        <f t="shared" si="21"/>
        <v>0.95</v>
      </c>
      <c r="J74" s="47">
        <f t="shared" si="21"/>
        <v>0.91</v>
      </c>
      <c r="K74" s="47">
        <f t="shared" si="21"/>
        <v>0.98544334463371519</v>
      </c>
      <c r="L74" s="47">
        <f t="shared" si="21"/>
        <v>0.96</v>
      </c>
      <c r="M74" s="48">
        <f t="shared" si="21"/>
        <v>0.98544334463371519</v>
      </c>
    </row>
    <row r="75" spans="1:22" x14ac:dyDescent="0.25">
      <c r="A75" s="66"/>
    </row>
    <row r="76" spans="1:22" ht="15.75" thickBot="1" x14ac:dyDescent="0.3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22" ht="15.75" thickBot="1" x14ac:dyDescent="0.3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22" x14ac:dyDescent="0.25">
      <c r="B78" s="63" cm="1">
        <f t="array" ref="B78:B86">+TRANSPOSE(E74:M74)</f>
        <v>0.98544334463371519</v>
      </c>
      <c r="C78" s="20" t="s">
        <v>1</v>
      </c>
      <c r="D78" s="28" t="s">
        <v>51</v>
      </c>
      <c r="E78" s="1">
        <f>+E5*$B78</f>
        <v>9.8544334463371523</v>
      </c>
      <c r="F78" s="2">
        <f t="shared" ref="F78:M78" si="22">+F5*$B78</f>
        <v>4.9272167231685762</v>
      </c>
      <c r="G78" s="2">
        <f t="shared" si="22"/>
        <v>9.8544334463371523</v>
      </c>
      <c r="H78" s="2">
        <f t="shared" si="22"/>
        <v>0.98544334463371519</v>
      </c>
      <c r="I78" s="2">
        <f t="shared" si="22"/>
        <v>0</v>
      </c>
      <c r="J78" s="2">
        <f t="shared" si="22"/>
        <v>7.8835467570697215</v>
      </c>
      <c r="K78" s="2">
        <f t="shared" si="22"/>
        <v>2.9563300339011453</v>
      </c>
      <c r="L78" s="2">
        <f t="shared" si="22"/>
        <v>6.8981034124360061</v>
      </c>
      <c r="M78" s="3">
        <f t="shared" si="22"/>
        <v>1.9708866892674304</v>
      </c>
      <c r="N78" s="18"/>
      <c r="O78" s="18"/>
      <c r="P78" s="18"/>
      <c r="Q78" s="18"/>
      <c r="R78" s="18"/>
      <c r="S78" s="18"/>
      <c r="T78" s="18"/>
      <c r="U78" s="18"/>
      <c r="V78" s="18"/>
    </row>
    <row r="79" spans="1:22" x14ac:dyDescent="0.25">
      <c r="B79" s="30">
        <v>0.98544334463371519</v>
      </c>
      <c r="C79" s="20" t="s">
        <v>1</v>
      </c>
      <c r="D79" s="25" t="s">
        <v>52</v>
      </c>
      <c r="E79" s="5">
        <f t="shared" ref="E79:M86" si="23">+E6*$B79</f>
        <v>7.8835467570697215</v>
      </c>
      <c r="F79" s="6">
        <f t="shared" si="23"/>
        <v>2.9563300339011453</v>
      </c>
      <c r="G79" s="6">
        <f t="shared" si="23"/>
        <v>8.8689901017034369</v>
      </c>
      <c r="H79" s="6">
        <f t="shared" si="23"/>
        <v>3.9417733785348608</v>
      </c>
      <c r="I79" s="6">
        <f t="shared" si="23"/>
        <v>1.9708866892674304</v>
      </c>
      <c r="J79" s="6">
        <f t="shared" si="23"/>
        <v>9.8544334463371523</v>
      </c>
      <c r="K79" s="6">
        <f t="shared" si="23"/>
        <v>0.98544334463371519</v>
      </c>
      <c r="L79" s="6">
        <f t="shared" si="23"/>
        <v>3.9417733785348608</v>
      </c>
      <c r="M79" s="7">
        <f t="shared" si="23"/>
        <v>6.8981034124360061</v>
      </c>
      <c r="N79" s="18"/>
      <c r="O79" s="18"/>
      <c r="P79" s="18"/>
      <c r="Q79" s="18"/>
      <c r="R79" s="18"/>
      <c r="S79" s="18"/>
      <c r="T79" s="18"/>
      <c r="U79" s="18"/>
      <c r="V79" s="18"/>
    </row>
    <row r="80" spans="1:22" x14ac:dyDescent="0.25">
      <c r="B80" s="30">
        <v>0.94</v>
      </c>
      <c r="C80" s="20" t="s">
        <v>1</v>
      </c>
      <c r="D80" s="25" t="s">
        <v>53</v>
      </c>
      <c r="E80" s="5">
        <f t="shared" si="23"/>
        <v>0</v>
      </c>
      <c r="F80" s="6">
        <f t="shared" si="23"/>
        <v>0</v>
      </c>
      <c r="G80" s="6">
        <f t="shared" si="23"/>
        <v>0</v>
      </c>
      <c r="H80" s="6">
        <f t="shared" si="23"/>
        <v>6.58</v>
      </c>
      <c r="I80" s="6">
        <f t="shared" si="23"/>
        <v>3.76</v>
      </c>
      <c r="J80" s="6">
        <f t="shared" si="23"/>
        <v>3.76</v>
      </c>
      <c r="K80" s="6">
        <f t="shared" si="23"/>
        <v>6.58</v>
      </c>
      <c r="L80" s="6">
        <f t="shared" si="23"/>
        <v>3.76</v>
      </c>
      <c r="M80" s="7">
        <f t="shared" si="23"/>
        <v>6.58</v>
      </c>
      <c r="N80" s="18"/>
      <c r="O80" s="18"/>
      <c r="P80" s="18"/>
      <c r="Q80" s="18"/>
      <c r="R80" s="18"/>
      <c r="S80" s="18"/>
      <c r="T80" s="18"/>
      <c r="U80" s="18"/>
      <c r="V80" s="18"/>
    </row>
    <row r="81" spans="1:22" x14ac:dyDescent="0.25">
      <c r="B81" s="30">
        <v>0.9</v>
      </c>
      <c r="C81" s="20" t="s">
        <v>10</v>
      </c>
      <c r="D81" s="25" t="str">
        <f>+D78</f>
        <v>Agr</v>
      </c>
      <c r="E81" s="5">
        <f t="shared" si="23"/>
        <v>8.1</v>
      </c>
      <c r="F81" s="6">
        <f t="shared" si="23"/>
        <v>4.5</v>
      </c>
      <c r="G81" s="6">
        <f t="shared" si="23"/>
        <v>3.6</v>
      </c>
      <c r="H81" s="6">
        <f t="shared" si="23"/>
        <v>6.3</v>
      </c>
      <c r="I81" s="6">
        <f t="shared" si="23"/>
        <v>9</v>
      </c>
      <c r="J81" s="6">
        <f t="shared" si="23"/>
        <v>8.1</v>
      </c>
      <c r="K81" s="6">
        <f t="shared" si="23"/>
        <v>9</v>
      </c>
      <c r="L81" s="6">
        <f t="shared" si="23"/>
        <v>8.1</v>
      </c>
      <c r="M81" s="7">
        <f t="shared" si="23"/>
        <v>8.1</v>
      </c>
      <c r="N81" s="18"/>
      <c r="O81" s="18"/>
      <c r="P81" s="18"/>
      <c r="Q81" s="18"/>
      <c r="R81" s="18"/>
      <c r="S81" s="18"/>
      <c r="T81" s="18"/>
      <c r="U81" s="18"/>
      <c r="V81" s="18"/>
    </row>
    <row r="82" spans="1:22" x14ac:dyDescent="0.25">
      <c r="B82" s="30">
        <v>0.95</v>
      </c>
      <c r="C82" s="20" t="s">
        <v>10</v>
      </c>
      <c r="D82" s="25" t="str">
        <f t="shared" ref="D82:D86" si="24">+D79</f>
        <v>Ind</v>
      </c>
      <c r="E82" s="5">
        <f t="shared" si="23"/>
        <v>3.8</v>
      </c>
      <c r="F82" s="6">
        <f t="shared" si="23"/>
        <v>1.9</v>
      </c>
      <c r="G82" s="6">
        <f t="shared" si="23"/>
        <v>2.8499999999999996</v>
      </c>
      <c r="H82" s="6">
        <f t="shared" si="23"/>
        <v>5.6999999999999993</v>
      </c>
      <c r="I82" s="6">
        <f t="shared" si="23"/>
        <v>6.6499999999999995</v>
      </c>
      <c r="J82" s="6">
        <f t="shared" si="23"/>
        <v>3.8</v>
      </c>
      <c r="K82" s="6">
        <f t="shared" si="23"/>
        <v>8.5499999999999989</v>
      </c>
      <c r="L82" s="6">
        <f t="shared" si="23"/>
        <v>1.9</v>
      </c>
      <c r="M82" s="7">
        <f t="shared" si="23"/>
        <v>7.6</v>
      </c>
      <c r="N82" s="18"/>
      <c r="O82" s="18"/>
      <c r="P82" s="18"/>
      <c r="Q82" s="18"/>
      <c r="R82" s="18"/>
      <c r="S82" s="18"/>
      <c r="T82" s="18"/>
      <c r="U82" s="18"/>
      <c r="V82" s="18"/>
    </row>
    <row r="83" spans="1:22" x14ac:dyDescent="0.25">
      <c r="B83" s="30">
        <v>0.91</v>
      </c>
      <c r="C83" s="20" t="s">
        <v>10</v>
      </c>
      <c r="D83" s="25" t="str">
        <f t="shared" si="24"/>
        <v>Serv</v>
      </c>
      <c r="E83" s="5">
        <f t="shared" si="23"/>
        <v>5.46</v>
      </c>
      <c r="F83" s="6">
        <f t="shared" si="23"/>
        <v>4.55</v>
      </c>
      <c r="G83" s="6">
        <f t="shared" si="23"/>
        <v>3.64</v>
      </c>
      <c r="H83" s="6">
        <f t="shared" si="23"/>
        <v>0.91</v>
      </c>
      <c r="I83" s="6">
        <f t="shared" si="23"/>
        <v>8.19</v>
      </c>
      <c r="J83" s="6">
        <f t="shared" si="23"/>
        <v>1.82</v>
      </c>
      <c r="K83" s="6">
        <f t="shared" si="23"/>
        <v>0.91</v>
      </c>
      <c r="L83" s="6">
        <f t="shared" si="23"/>
        <v>5.46</v>
      </c>
      <c r="M83" s="7">
        <f t="shared" si="23"/>
        <v>0.91</v>
      </c>
      <c r="N83" s="18"/>
      <c r="O83" s="18"/>
      <c r="P83" s="18"/>
      <c r="Q83" s="18"/>
      <c r="R83" s="18"/>
      <c r="S83" s="18"/>
      <c r="T83" s="18"/>
      <c r="U83" s="18"/>
      <c r="V83" s="18"/>
    </row>
    <row r="84" spans="1:22" x14ac:dyDescent="0.25">
      <c r="B84" s="30">
        <v>0.98544334463371519</v>
      </c>
      <c r="C84" s="20" t="s">
        <v>11</v>
      </c>
      <c r="D84" s="25" t="str">
        <f t="shared" si="24"/>
        <v>Agr</v>
      </c>
      <c r="E84" s="5">
        <f t="shared" si="23"/>
        <v>2.9563300339011453</v>
      </c>
      <c r="F84" s="6">
        <f t="shared" si="23"/>
        <v>9.8544334463371523</v>
      </c>
      <c r="G84" s="6">
        <f t="shared" si="23"/>
        <v>7.8835467570697215</v>
      </c>
      <c r="H84" s="6">
        <f t="shared" si="23"/>
        <v>8.8689901017034369</v>
      </c>
      <c r="I84" s="6">
        <f t="shared" si="23"/>
        <v>9.8544334463371523</v>
      </c>
      <c r="J84" s="6">
        <f t="shared" si="23"/>
        <v>0</v>
      </c>
      <c r="K84" s="6">
        <f t="shared" si="23"/>
        <v>6.8981034124360061</v>
      </c>
      <c r="L84" s="6">
        <f t="shared" si="23"/>
        <v>8.8689901017034369</v>
      </c>
      <c r="M84" s="7">
        <f t="shared" si="23"/>
        <v>7.8835467570697215</v>
      </c>
      <c r="N84" s="18"/>
      <c r="O84" s="18"/>
      <c r="P84" s="18"/>
      <c r="Q84" s="18"/>
      <c r="R84" s="18"/>
      <c r="S84" s="18"/>
      <c r="T84" s="18"/>
      <c r="U84" s="18"/>
      <c r="V84" s="18"/>
    </row>
    <row r="85" spans="1:22" x14ac:dyDescent="0.25">
      <c r="B85" s="30">
        <v>0.96</v>
      </c>
      <c r="C85" s="20" t="s">
        <v>11</v>
      </c>
      <c r="D85" s="25" t="str">
        <f t="shared" si="24"/>
        <v>Ind</v>
      </c>
      <c r="E85" s="5">
        <f t="shared" si="23"/>
        <v>0.96</v>
      </c>
      <c r="F85" s="6">
        <f t="shared" si="23"/>
        <v>7.68</v>
      </c>
      <c r="G85" s="6">
        <f t="shared" si="23"/>
        <v>0</v>
      </c>
      <c r="H85" s="6">
        <f t="shared" si="23"/>
        <v>8.64</v>
      </c>
      <c r="I85" s="6">
        <f t="shared" si="23"/>
        <v>0</v>
      </c>
      <c r="J85" s="6">
        <f t="shared" si="23"/>
        <v>0</v>
      </c>
      <c r="K85" s="6">
        <f t="shared" si="23"/>
        <v>7.68</v>
      </c>
      <c r="L85" s="6">
        <f t="shared" si="23"/>
        <v>9.6</v>
      </c>
      <c r="M85" s="7">
        <f t="shared" si="23"/>
        <v>0.96</v>
      </c>
      <c r="N85" s="18"/>
      <c r="O85" s="18"/>
      <c r="P85" s="18"/>
      <c r="Q85" s="18"/>
      <c r="R85" s="18"/>
      <c r="S85" s="18"/>
      <c r="T85" s="18"/>
      <c r="U85" s="18"/>
      <c r="V85" s="18"/>
    </row>
    <row r="86" spans="1:22" x14ac:dyDescent="0.25">
      <c r="B86" s="31">
        <v>0.98544334463371519</v>
      </c>
      <c r="C86" s="20" t="s">
        <v>11</v>
      </c>
      <c r="D86" s="25" t="str">
        <f t="shared" si="24"/>
        <v>Serv</v>
      </c>
      <c r="E86" s="9">
        <f t="shared" si="23"/>
        <v>9.8544334463371523</v>
      </c>
      <c r="F86" s="10">
        <f t="shared" si="23"/>
        <v>1.9708866892674304</v>
      </c>
      <c r="G86" s="10">
        <f t="shared" si="23"/>
        <v>3.9417733785348608</v>
      </c>
      <c r="H86" s="10">
        <f t="shared" si="23"/>
        <v>9.8544334463371523</v>
      </c>
      <c r="I86" s="10">
        <f t="shared" si="23"/>
        <v>0</v>
      </c>
      <c r="J86" s="10">
        <f t="shared" si="23"/>
        <v>0</v>
      </c>
      <c r="K86" s="10">
        <f t="shared" si="23"/>
        <v>2.9563300339011453</v>
      </c>
      <c r="L86" s="10">
        <f t="shared" si="23"/>
        <v>0</v>
      </c>
      <c r="M86" s="11">
        <f t="shared" si="23"/>
        <v>6.8981034124360061</v>
      </c>
      <c r="N86" s="18"/>
      <c r="O86" s="18"/>
      <c r="P86" s="18"/>
      <c r="Q86" s="18"/>
      <c r="R86" s="18"/>
      <c r="S86" s="18"/>
      <c r="T86" s="18"/>
      <c r="U86" s="18"/>
      <c r="V86" s="18"/>
    </row>
    <row r="87" spans="1:22" x14ac:dyDescent="0.25">
      <c r="N87" s="19">
        <f>+SUM(E78:M86)</f>
        <v>397.11600885894086</v>
      </c>
    </row>
    <row r="88" spans="1:22" x14ac:dyDescent="0.25">
      <c r="D88" s="20" t="str" cm="1">
        <f t="array" ref="D88:M89">+TRANSPOSE(E59:F68)</f>
        <v>x_md</v>
      </c>
      <c r="E88" s="43">
        <v>61.308921623993328</v>
      </c>
      <c r="F88" s="44">
        <v>46.356927134612</v>
      </c>
      <c r="G88" s="44">
        <v>42.902971052046155</v>
      </c>
      <c r="H88" s="44">
        <v>73.197623264115251</v>
      </c>
      <c r="I88" s="44">
        <v>43.728725462597573</v>
      </c>
      <c r="J88" s="44">
        <v>50.789322666340965</v>
      </c>
      <c r="K88" s="44">
        <v>65.905780527193883</v>
      </c>
      <c r="L88" s="44">
        <v>58.885700569842371</v>
      </c>
      <c r="M88" s="45">
        <v>51.728504739966539</v>
      </c>
    </row>
    <row r="89" spans="1:22" ht="15.75" thickBot="1" x14ac:dyDescent="0.3">
      <c r="D89" s="49" t="str">
        <v>x_max</v>
      </c>
      <c r="E89" s="50">
        <v>71</v>
      </c>
      <c r="F89" s="51">
        <v>55</v>
      </c>
      <c r="G89" s="51">
        <v>44.18</v>
      </c>
      <c r="H89" s="51">
        <v>73.8</v>
      </c>
      <c r="I89" s="51">
        <v>47.5</v>
      </c>
      <c r="J89" s="51">
        <v>50.050000000000004</v>
      </c>
      <c r="K89" s="51">
        <v>79</v>
      </c>
      <c r="L89" s="51">
        <v>62.4</v>
      </c>
      <c r="M89" s="52">
        <v>60</v>
      </c>
    </row>
    <row r="90" spans="1:22" x14ac:dyDescent="0.25">
      <c r="D90" s="22" t="s">
        <v>60</v>
      </c>
      <c r="E90" s="46">
        <f>+MIN(E88:E89)</f>
        <v>61.308921623993328</v>
      </c>
      <c r="F90" s="47">
        <f t="shared" ref="F90:M90" si="25">+MIN(F88:F89)</f>
        <v>46.356927134612</v>
      </c>
      <c r="G90" s="47">
        <f t="shared" si="25"/>
        <v>42.902971052046155</v>
      </c>
      <c r="H90" s="47">
        <f t="shared" si="25"/>
        <v>73.197623264115251</v>
      </c>
      <c r="I90" s="47">
        <f t="shared" si="25"/>
        <v>43.728725462597573</v>
      </c>
      <c r="J90" s="47">
        <f t="shared" si="25"/>
        <v>50.050000000000004</v>
      </c>
      <c r="K90" s="47">
        <f t="shared" si="25"/>
        <v>65.905780527193883</v>
      </c>
      <c r="L90" s="47">
        <f t="shared" si="25"/>
        <v>58.885700569842371</v>
      </c>
      <c r="M90" s="48">
        <f t="shared" si="25"/>
        <v>51.728504739966539</v>
      </c>
      <c r="N90" s="19">
        <f>+SUM(E90:M90)</f>
        <v>494.06515437436713</v>
      </c>
    </row>
    <row r="91" spans="1:22" x14ac:dyDescent="0.25">
      <c r="A91" s="66"/>
    </row>
    <row r="92" spans="1:22" ht="15.75" thickBot="1" x14ac:dyDescent="0.3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22" ht="75.75" thickBot="1" x14ac:dyDescent="0.3">
      <c r="A93" s="67"/>
      <c r="C93" s="98" t="s">
        <v>54</v>
      </c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22" x14ac:dyDescent="0.25">
      <c r="C94" s="20" t="s">
        <v>1</v>
      </c>
      <c r="D94" s="28" t="s">
        <v>51</v>
      </c>
      <c r="E94" s="1">
        <f>+E21*E$88</f>
        <v>8.6350593836610319</v>
      </c>
      <c r="F94" s="2">
        <f t="shared" ref="F94:M94" si="26">+F21*F$88</f>
        <v>4.2142661031465458</v>
      </c>
      <c r="G94" s="2">
        <f t="shared" si="26"/>
        <v>9.1282917132013104</v>
      </c>
      <c r="H94" s="2">
        <f t="shared" si="26"/>
        <v>0.89265394224530792</v>
      </c>
      <c r="I94" s="2">
        <f t="shared" si="26"/>
        <v>0</v>
      </c>
      <c r="J94" s="2">
        <f t="shared" si="26"/>
        <v>7.3875378423768669</v>
      </c>
      <c r="K94" s="2">
        <f t="shared" si="26"/>
        <v>2.5027511592605274</v>
      </c>
      <c r="L94" s="2">
        <f t="shared" si="26"/>
        <v>6.3415369844445637</v>
      </c>
      <c r="M94" s="3">
        <f t="shared" si="26"/>
        <v>1.724283491332218</v>
      </c>
      <c r="N94" s="19"/>
      <c r="O94" s="19"/>
      <c r="P94" s="19"/>
      <c r="Q94" s="19"/>
      <c r="R94" s="19"/>
      <c r="S94" s="19"/>
      <c r="T94" s="19"/>
      <c r="U94" s="19"/>
      <c r="V94" s="19"/>
    </row>
    <row r="95" spans="1:22" x14ac:dyDescent="0.25">
      <c r="C95" s="20" t="s">
        <v>1</v>
      </c>
      <c r="D95" s="25" t="s">
        <v>52</v>
      </c>
      <c r="E95" s="5">
        <f t="shared" ref="E95:M102" si="27">+E22*E$88</f>
        <v>6.9080475069288259</v>
      </c>
      <c r="F95" s="6">
        <f t="shared" si="27"/>
        <v>2.5285596618879271</v>
      </c>
      <c r="G95" s="6">
        <f t="shared" si="27"/>
        <v>8.2154625418811786</v>
      </c>
      <c r="H95" s="6">
        <f t="shared" si="27"/>
        <v>3.5706157689812317</v>
      </c>
      <c r="I95" s="6">
        <f t="shared" si="27"/>
        <v>1.7491490185039029</v>
      </c>
      <c r="J95" s="6">
        <f t="shared" si="27"/>
        <v>9.234422302971085</v>
      </c>
      <c r="K95" s="6">
        <f t="shared" si="27"/>
        <v>0.83425038642017568</v>
      </c>
      <c r="L95" s="6">
        <f t="shared" si="27"/>
        <v>3.6237354196826077</v>
      </c>
      <c r="M95" s="7">
        <f t="shared" si="27"/>
        <v>6.0349922196627626</v>
      </c>
      <c r="N95" s="19"/>
      <c r="O95" s="19"/>
      <c r="P95" s="19"/>
      <c r="Q95" s="19"/>
      <c r="R95" s="19"/>
      <c r="S95" s="19"/>
      <c r="T95" s="19"/>
      <c r="U95" s="19"/>
      <c r="V95" s="19"/>
    </row>
    <row r="96" spans="1:22" x14ac:dyDescent="0.25">
      <c r="C96" s="20" t="s">
        <v>1</v>
      </c>
      <c r="D96" s="25" t="s">
        <v>53</v>
      </c>
      <c r="E96" s="5">
        <f t="shared" si="27"/>
        <v>0</v>
      </c>
      <c r="F96" s="6">
        <f t="shared" si="27"/>
        <v>0</v>
      </c>
      <c r="G96" s="6">
        <f t="shared" si="27"/>
        <v>0</v>
      </c>
      <c r="H96" s="6">
        <f t="shared" si="27"/>
        <v>6.2485775957171557</v>
      </c>
      <c r="I96" s="6">
        <f t="shared" si="27"/>
        <v>3.4982980370078058</v>
      </c>
      <c r="J96" s="6">
        <f t="shared" si="27"/>
        <v>3.6937689211884335</v>
      </c>
      <c r="K96" s="6">
        <f t="shared" si="27"/>
        <v>5.8397527049412306</v>
      </c>
      <c r="L96" s="6">
        <f t="shared" si="27"/>
        <v>3.6237354196826077</v>
      </c>
      <c r="M96" s="7">
        <f t="shared" si="27"/>
        <v>6.0349922196627626</v>
      </c>
      <c r="N96" s="19"/>
      <c r="O96" s="19"/>
      <c r="P96" s="19"/>
      <c r="Q96" s="19"/>
      <c r="R96" s="19"/>
      <c r="S96" s="19"/>
      <c r="T96" s="19"/>
      <c r="U96" s="19"/>
      <c r="V96" s="19"/>
    </row>
    <row r="97" spans="3:36" x14ac:dyDescent="0.25">
      <c r="C97" s="20" t="s">
        <v>10</v>
      </c>
      <c r="D97" s="25" t="str">
        <f>+D94</f>
        <v>Agr</v>
      </c>
      <c r="E97" s="5">
        <f t="shared" si="27"/>
        <v>7.7715534452949289</v>
      </c>
      <c r="F97" s="6">
        <f t="shared" si="27"/>
        <v>4.2142661031465458</v>
      </c>
      <c r="G97" s="6">
        <f t="shared" si="27"/>
        <v>3.6513166852805239</v>
      </c>
      <c r="H97" s="6">
        <f t="shared" si="27"/>
        <v>6.2485775957171557</v>
      </c>
      <c r="I97" s="6">
        <f t="shared" si="27"/>
        <v>8.745745092519515</v>
      </c>
      <c r="J97" s="6">
        <f t="shared" si="27"/>
        <v>8.310980072673976</v>
      </c>
      <c r="K97" s="6">
        <f t="shared" si="27"/>
        <v>8.3425038642017579</v>
      </c>
      <c r="L97" s="6">
        <f t="shared" si="27"/>
        <v>8.153404694285868</v>
      </c>
      <c r="M97" s="7">
        <f t="shared" si="27"/>
        <v>7.7592757109949808</v>
      </c>
      <c r="N97" s="19"/>
      <c r="O97" s="19"/>
      <c r="P97" s="19"/>
      <c r="Q97" s="19"/>
      <c r="R97" s="19"/>
      <c r="S97" s="19"/>
      <c r="T97" s="19"/>
      <c r="U97" s="19"/>
      <c r="V97" s="19"/>
    </row>
    <row r="98" spans="3:36" x14ac:dyDescent="0.25">
      <c r="C98" s="20" t="s">
        <v>10</v>
      </c>
      <c r="D98" s="25" t="str">
        <f t="shared" ref="D98:D102" si="28">+D95</f>
        <v>Ind</v>
      </c>
      <c r="E98" s="5">
        <f t="shared" si="27"/>
        <v>3.4540237534644129</v>
      </c>
      <c r="F98" s="6">
        <f t="shared" si="27"/>
        <v>1.685706441258618</v>
      </c>
      <c r="G98" s="6">
        <f t="shared" si="27"/>
        <v>2.7384875139603926</v>
      </c>
      <c r="H98" s="6">
        <f t="shared" si="27"/>
        <v>5.3559236534718471</v>
      </c>
      <c r="I98" s="6">
        <f t="shared" si="27"/>
        <v>6.1220215647636609</v>
      </c>
      <c r="J98" s="6">
        <f t="shared" si="27"/>
        <v>3.6937689211884335</v>
      </c>
      <c r="K98" s="6">
        <f t="shared" si="27"/>
        <v>7.5082534777815813</v>
      </c>
      <c r="L98" s="6">
        <f t="shared" si="27"/>
        <v>1.8118677098413039</v>
      </c>
      <c r="M98" s="7">
        <f t="shared" si="27"/>
        <v>6.8971339653288721</v>
      </c>
      <c r="N98" s="19"/>
      <c r="O98" s="19"/>
      <c r="P98" s="19"/>
      <c r="Q98" s="19"/>
      <c r="R98" s="19"/>
      <c r="S98" s="19"/>
      <c r="T98" s="19"/>
      <c r="U98" s="19"/>
      <c r="V98" s="19"/>
    </row>
    <row r="99" spans="3:36" x14ac:dyDescent="0.25">
      <c r="C99" s="20" t="s">
        <v>10</v>
      </c>
      <c r="D99" s="25" t="str">
        <f t="shared" si="28"/>
        <v>Serv</v>
      </c>
      <c r="E99" s="5">
        <f t="shared" si="27"/>
        <v>5.1810356301966189</v>
      </c>
      <c r="F99" s="6">
        <f t="shared" si="27"/>
        <v>4.2142661031465458</v>
      </c>
      <c r="G99" s="6">
        <f t="shared" si="27"/>
        <v>3.6513166852805239</v>
      </c>
      <c r="H99" s="6">
        <f t="shared" si="27"/>
        <v>0.89265394224530792</v>
      </c>
      <c r="I99" s="6">
        <f t="shared" si="27"/>
        <v>7.8711705832675634</v>
      </c>
      <c r="J99" s="6">
        <f t="shared" si="27"/>
        <v>1.8468844605942167</v>
      </c>
      <c r="K99" s="6">
        <f t="shared" si="27"/>
        <v>0.83425038642017568</v>
      </c>
      <c r="L99" s="6">
        <f t="shared" si="27"/>
        <v>5.4356031295239111</v>
      </c>
      <c r="M99" s="7">
        <f t="shared" si="27"/>
        <v>0.86214174566610902</v>
      </c>
      <c r="N99" s="19"/>
      <c r="O99" s="19"/>
      <c r="P99" s="19"/>
      <c r="Q99" s="19"/>
      <c r="R99" s="19"/>
      <c r="S99" s="19"/>
      <c r="T99" s="19"/>
      <c r="U99" s="19"/>
      <c r="V99" s="19"/>
    </row>
    <row r="100" spans="3:36" x14ac:dyDescent="0.25">
      <c r="C100" s="20" t="s">
        <v>11</v>
      </c>
      <c r="D100" s="25" t="str">
        <f t="shared" si="28"/>
        <v>Agr</v>
      </c>
      <c r="E100" s="5">
        <f t="shared" si="27"/>
        <v>2.5905178150983095</v>
      </c>
      <c r="F100" s="6">
        <f t="shared" si="27"/>
        <v>8.4285322062930916</v>
      </c>
      <c r="G100" s="6">
        <f t="shared" si="27"/>
        <v>7.3026333705610478</v>
      </c>
      <c r="H100" s="6">
        <f t="shared" si="27"/>
        <v>8.0338854802077719</v>
      </c>
      <c r="I100" s="6">
        <f t="shared" si="27"/>
        <v>8.745745092519515</v>
      </c>
      <c r="J100" s="6">
        <f t="shared" si="27"/>
        <v>0</v>
      </c>
      <c r="K100" s="6">
        <f t="shared" si="27"/>
        <v>5.8397527049412306</v>
      </c>
      <c r="L100" s="6">
        <f t="shared" si="27"/>
        <v>8.153404694285868</v>
      </c>
      <c r="M100" s="7">
        <f t="shared" si="27"/>
        <v>6.8971339653288721</v>
      </c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3:36" x14ac:dyDescent="0.25">
      <c r="C101" s="20" t="s">
        <v>11</v>
      </c>
      <c r="D101" s="25" t="str">
        <f t="shared" si="28"/>
        <v>Ind</v>
      </c>
      <c r="E101" s="5">
        <f t="shared" si="27"/>
        <v>0.86350593836610323</v>
      </c>
      <c r="F101" s="6">
        <f t="shared" si="27"/>
        <v>6.7428257650344721</v>
      </c>
      <c r="G101" s="6">
        <f t="shared" si="27"/>
        <v>0</v>
      </c>
      <c r="H101" s="6">
        <f t="shared" si="27"/>
        <v>8.0338854802077719</v>
      </c>
      <c r="I101" s="6">
        <f t="shared" si="27"/>
        <v>0</v>
      </c>
      <c r="J101" s="6">
        <f t="shared" si="27"/>
        <v>0</v>
      </c>
      <c r="K101" s="6">
        <f t="shared" si="27"/>
        <v>6.6740030913614055</v>
      </c>
      <c r="L101" s="6">
        <f t="shared" si="27"/>
        <v>9.0593385492065188</v>
      </c>
      <c r="M101" s="7">
        <f t="shared" si="27"/>
        <v>0.86214174566610902</v>
      </c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3:36" x14ac:dyDescent="0.25">
      <c r="C102" s="20" t="s">
        <v>11</v>
      </c>
      <c r="D102" s="25" t="str">
        <f t="shared" si="28"/>
        <v>Serv</v>
      </c>
      <c r="E102" s="9">
        <f t="shared" si="27"/>
        <v>8.6350593836610319</v>
      </c>
      <c r="F102" s="10">
        <f t="shared" si="27"/>
        <v>1.685706441258618</v>
      </c>
      <c r="G102" s="10">
        <f t="shared" si="27"/>
        <v>3.6513166852805239</v>
      </c>
      <c r="H102" s="10">
        <f t="shared" si="27"/>
        <v>8.9265394224530787</v>
      </c>
      <c r="I102" s="10">
        <f t="shared" si="27"/>
        <v>0</v>
      </c>
      <c r="J102" s="10">
        <f t="shared" si="27"/>
        <v>0</v>
      </c>
      <c r="K102" s="10">
        <f t="shared" si="27"/>
        <v>2.5027511592605274</v>
      </c>
      <c r="L102" s="10">
        <f t="shared" si="27"/>
        <v>0</v>
      </c>
      <c r="M102" s="11">
        <f t="shared" si="27"/>
        <v>6.0349922196627626</v>
      </c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3:36" x14ac:dyDescent="0.25">
      <c r="N103" s="19">
        <f>+SUM(E94:M102)</f>
        <v>365.38254448695801</v>
      </c>
    </row>
    <row r="104" spans="3:36" ht="15.75" thickBot="1" x14ac:dyDescent="0.3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36" ht="15.75" thickBot="1" x14ac:dyDescent="0.3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36" x14ac:dyDescent="0.25">
      <c r="C106" s="20" t="s">
        <v>1</v>
      </c>
      <c r="D106" s="28" t="s">
        <v>51</v>
      </c>
      <c r="E106" s="1">
        <f>+MAX(E94-E78,0)</f>
        <v>0</v>
      </c>
      <c r="F106" s="2">
        <f t="shared" ref="F106:M106" si="29">+MAX(F94-F78,0)</f>
        <v>0</v>
      </c>
      <c r="G106" s="2">
        <f t="shared" si="29"/>
        <v>0</v>
      </c>
      <c r="H106" s="2">
        <f t="shared" si="29"/>
        <v>0</v>
      </c>
      <c r="I106" s="2">
        <f t="shared" si="29"/>
        <v>0</v>
      </c>
      <c r="J106" s="2">
        <f t="shared" si="29"/>
        <v>0</v>
      </c>
      <c r="K106" s="2">
        <f t="shared" si="29"/>
        <v>0</v>
      </c>
      <c r="L106" s="2">
        <f t="shared" si="29"/>
        <v>0</v>
      </c>
      <c r="M106" s="3">
        <f t="shared" si="29"/>
        <v>0</v>
      </c>
      <c r="N106" s="53">
        <f>+SUM(E106:M106)</f>
        <v>0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6"/>
      <c r="Y106" s="16"/>
      <c r="Z106" s="16"/>
      <c r="AA106" s="16"/>
      <c r="AB106" s="16"/>
      <c r="AC106" s="16"/>
      <c r="AD106" s="16"/>
      <c r="AE106" s="16"/>
      <c r="AF106" s="16"/>
      <c r="AG106" s="18"/>
      <c r="AH106" s="18"/>
      <c r="AI106" s="18"/>
      <c r="AJ106" s="18"/>
    </row>
    <row r="107" spans="3:36" x14ac:dyDescent="0.25">
      <c r="C107" s="20" t="s">
        <v>1</v>
      </c>
      <c r="D107" s="25" t="s">
        <v>52</v>
      </c>
      <c r="E107" s="5">
        <f t="shared" ref="E107:M114" si="30">+MAX(E95-E79,0)</f>
        <v>0</v>
      </c>
      <c r="F107" s="6">
        <f t="shared" si="30"/>
        <v>0</v>
      </c>
      <c r="G107" s="6">
        <f t="shared" si="30"/>
        <v>0</v>
      </c>
      <c r="H107" s="6">
        <f t="shared" si="30"/>
        <v>0</v>
      </c>
      <c r="I107" s="6">
        <f t="shared" si="30"/>
        <v>0</v>
      </c>
      <c r="J107" s="6">
        <f t="shared" si="30"/>
        <v>0</v>
      </c>
      <c r="K107" s="6">
        <f t="shared" si="30"/>
        <v>0</v>
      </c>
      <c r="L107" s="6">
        <f t="shared" si="30"/>
        <v>0</v>
      </c>
      <c r="M107" s="7">
        <f t="shared" si="30"/>
        <v>0</v>
      </c>
      <c r="N107" s="8">
        <f t="shared" ref="N107:N114" si="31">+SUM(E107:M107)</f>
        <v>0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6"/>
      <c r="Y107" s="16"/>
      <c r="Z107" s="16"/>
      <c r="AA107" s="16"/>
      <c r="AB107" s="16"/>
      <c r="AC107" s="16"/>
      <c r="AD107" s="16"/>
      <c r="AE107" s="16"/>
      <c r="AF107" s="16"/>
      <c r="AG107" s="18"/>
      <c r="AH107" s="18"/>
      <c r="AI107" s="18"/>
      <c r="AJ107" s="18"/>
    </row>
    <row r="108" spans="3:36" x14ac:dyDescent="0.25">
      <c r="C108" s="20" t="s">
        <v>1</v>
      </c>
      <c r="D108" s="25" t="s">
        <v>53</v>
      </c>
      <c r="E108" s="5">
        <f t="shared" si="30"/>
        <v>0</v>
      </c>
      <c r="F108" s="6">
        <f t="shared" si="30"/>
        <v>0</v>
      </c>
      <c r="G108" s="6">
        <f t="shared" si="30"/>
        <v>0</v>
      </c>
      <c r="H108" s="6">
        <f t="shared" si="30"/>
        <v>0</v>
      </c>
      <c r="I108" s="6">
        <f t="shared" si="30"/>
        <v>0</v>
      </c>
      <c r="J108" s="6">
        <f t="shared" si="30"/>
        <v>0</v>
      </c>
      <c r="K108" s="6">
        <f t="shared" si="30"/>
        <v>0</v>
      </c>
      <c r="L108" s="6">
        <f t="shared" si="30"/>
        <v>0</v>
      </c>
      <c r="M108" s="7">
        <f t="shared" si="30"/>
        <v>0</v>
      </c>
      <c r="N108" s="8">
        <f t="shared" si="31"/>
        <v>0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6"/>
      <c r="Y108" s="16"/>
      <c r="Z108" s="16"/>
      <c r="AA108" s="16"/>
      <c r="AB108" s="16"/>
      <c r="AC108" s="16"/>
      <c r="AD108" s="16"/>
      <c r="AE108" s="16"/>
      <c r="AF108" s="16"/>
      <c r="AG108" s="18"/>
      <c r="AH108" s="18"/>
      <c r="AI108" s="18"/>
      <c r="AJ108" s="18"/>
    </row>
    <row r="109" spans="3:36" x14ac:dyDescent="0.25">
      <c r="C109" s="20" t="s">
        <v>10</v>
      </c>
      <c r="D109" s="25" t="str">
        <f>+D106</f>
        <v>Agr</v>
      </c>
      <c r="E109" s="5">
        <f t="shared" si="30"/>
        <v>0</v>
      </c>
      <c r="F109" s="6">
        <f t="shared" si="30"/>
        <v>0</v>
      </c>
      <c r="G109" s="6">
        <f t="shared" si="30"/>
        <v>5.1316685280523799E-2</v>
      </c>
      <c r="H109" s="6">
        <f t="shared" si="30"/>
        <v>0</v>
      </c>
      <c r="I109" s="6">
        <f t="shared" si="30"/>
        <v>0</v>
      </c>
      <c r="J109" s="6">
        <f t="shared" si="30"/>
        <v>0.21098007267397634</v>
      </c>
      <c r="K109" s="6">
        <f t="shared" si="30"/>
        <v>0</v>
      </c>
      <c r="L109" s="6">
        <f t="shared" si="30"/>
        <v>5.3404694285868359E-2</v>
      </c>
      <c r="M109" s="7">
        <f t="shared" si="30"/>
        <v>0</v>
      </c>
      <c r="N109" s="8">
        <f t="shared" si="31"/>
        <v>0.3157014522403685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6"/>
      <c r="Y109" s="16"/>
      <c r="Z109" s="16"/>
      <c r="AA109" s="16"/>
      <c r="AB109" s="16"/>
      <c r="AC109" s="16"/>
      <c r="AD109" s="16"/>
      <c r="AE109" s="16"/>
      <c r="AF109" s="16"/>
      <c r="AG109" s="18"/>
      <c r="AH109" s="18"/>
      <c r="AI109" s="18"/>
      <c r="AJ109" s="18"/>
    </row>
    <row r="110" spans="3:36" x14ac:dyDescent="0.25">
      <c r="C110" s="20" t="s">
        <v>10</v>
      </c>
      <c r="D110" s="25" t="str">
        <f t="shared" ref="D110:D114" si="32">+D107</f>
        <v>Ind</v>
      </c>
      <c r="E110" s="5">
        <f t="shared" si="30"/>
        <v>0</v>
      </c>
      <c r="F110" s="6">
        <f t="shared" si="30"/>
        <v>0</v>
      </c>
      <c r="G110" s="6">
        <f t="shared" si="30"/>
        <v>0</v>
      </c>
      <c r="H110" s="6">
        <f t="shared" si="30"/>
        <v>0</v>
      </c>
      <c r="I110" s="6">
        <f t="shared" si="30"/>
        <v>0</v>
      </c>
      <c r="J110" s="6">
        <f t="shared" si="30"/>
        <v>0</v>
      </c>
      <c r="K110" s="6">
        <f t="shared" si="30"/>
        <v>0</v>
      </c>
      <c r="L110" s="6">
        <f t="shared" si="30"/>
        <v>0</v>
      </c>
      <c r="M110" s="7">
        <f t="shared" si="30"/>
        <v>0</v>
      </c>
      <c r="N110" s="8">
        <f t="shared" si="31"/>
        <v>0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6"/>
      <c r="Y110" s="16"/>
      <c r="Z110" s="16"/>
      <c r="AA110" s="16"/>
      <c r="AB110" s="16"/>
      <c r="AC110" s="16"/>
      <c r="AD110" s="16"/>
      <c r="AE110" s="16"/>
      <c r="AF110" s="16"/>
      <c r="AG110" s="18"/>
      <c r="AH110" s="18"/>
      <c r="AI110" s="18"/>
      <c r="AJ110" s="18"/>
    </row>
    <row r="111" spans="3:36" x14ac:dyDescent="0.25">
      <c r="C111" s="20" t="s">
        <v>10</v>
      </c>
      <c r="D111" s="25" t="str">
        <f t="shared" si="32"/>
        <v>Serv</v>
      </c>
      <c r="E111" s="5">
        <f t="shared" si="30"/>
        <v>0</v>
      </c>
      <c r="F111" s="6">
        <f t="shared" si="30"/>
        <v>0</v>
      </c>
      <c r="G111" s="6">
        <f t="shared" si="30"/>
        <v>1.1316685280523764E-2</v>
      </c>
      <c r="H111" s="6">
        <f t="shared" si="30"/>
        <v>0</v>
      </c>
      <c r="I111" s="6">
        <f t="shared" si="30"/>
        <v>0</v>
      </c>
      <c r="J111" s="6">
        <f t="shared" si="30"/>
        <v>2.6884460594216675E-2</v>
      </c>
      <c r="K111" s="6">
        <f t="shared" si="30"/>
        <v>0</v>
      </c>
      <c r="L111" s="6">
        <f t="shared" si="30"/>
        <v>0</v>
      </c>
      <c r="M111" s="7">
        <f t="shared" si="30"/>
        <v>0</v>
      </c>
      <c r="N111" s="8">
        <f t="shared" si="31"/>
        <v>3.8201145874740439E-2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6"/>
      <c r="Y111" s="16"/>
      <c r="Z111" s="16"/>
      <c r="AA111" s="16"/>
      <c r="AB111" s="16"/>
      <c r="AC111" s="16"/>
      <c r="AD111" s="16"/>
      <c r="AE111" s="16"/>
      <c r="AF111" s="16"/>
      <c r="AG111" s="18"/>
      <c r="AH111" s="18"/>
      <c r="AI111" s="18"/>
      <c r="AJ111" s="18"/>
    </row>
    <row r="112" spans="3:36" x14ac:dyDescent="0.25">
      <c r="C112" s="20" t="s">
        <v>11</v>
      </c>
      <c r="D112" s="25" t="str">
        <f t="shared" si="32"/>
        <v>Agr</v>
      </c>
      <c r="E112" s="5">
        <f t="shared" si="30"/>
        <v>0</v>
      </c>
      <c r="F112" s="6">
        <f t="shared" si="30"/>
        <v>0</v>
      </c>
      <c r="G112" s="6">
        <f t="shared" si="30"/>
        <v>0</v>
      </c>
      <c r="H112" s="6">
        <f t="shared" si="30"/>
        <v>0</v>
      </c>
      <c r="I112" s="6">
        <f t="shared" si="30"/>
        <v>0</v>
      </c>
      <c r="J112" s="6">
        <f t="shared" si="30"/>
        <v>0</v>
      </c>
      <c r="K112" s="6">
        <f t="shared" si="30"/>
        <v>0</v>
      </c>
      <c r="L112" s="6">
        <f t="shared" si="30"/>
        <v>0</v>
      </c>
      <c r="M112" s="7">
        <f t="shared" si="30"/>
        <v>0</v>
      </c>
      <c r="N112" s="8">
        <f t="shared" si="31"/>
        <v>0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6"/>
      <c r="Y112" s="16"/>
      <c r="Z112" s="16"/>
      <c r="AA112" s="16"/>
      <c r="AB112" s="16"/>
      <c r="AC112" s="16"/>
      <c r="AD112" s="16"/>
      <c r="AE112" s="16"/>
      <c r="AF112" s="16"/>
      <c r="AG112" s="18"/>
      <c r="AH112" s="18"/>
      <c r="AI112" s="18"/>
      <c r="AJ112" s="18"/>
    </row>
    <row r="113" spans="1:36" x14ac:dyDescent="0.25">
      <c r="C113" s="20" t="s">
        <v>11</v>
      </c>
      <c r="D113" s="25" t="str">
        <f t="shared" si="32"/>
        <v>Ind</v>
      </c>
      <c r="E113" s="5">
        <f t="shared" si="30"/>
        <v>0</v>
      </c>
      <c r="F113" s="6">
        <f t="shared" si="30"/>
        <v>0</v>
      </c>
      <c r="G113" s="6">
        <f t="shared" si="30"/>
        <v>0</v>
      </c>
      <c r="H113" s="6">
        <f t="shared" si="30"/>
        <v>0</v>
      </c>
      <c r="I113" s="6">
        <f t="shared" si="30"/>
        <v>0</v>
      </c>
      <c r="J113" s="6">
        <f t="shared" si="30"/>
        <v>0</v>
      </c>
      <c r="K113" s="6">
        <f t="shared" si="30"/>
        <v>0</v>
      </c>
      <c r="L113" s="6">
        <f t="shared" si="30"/>
        <v>0</v>
      </c>
      <c r="M113" s="7">
        <f t="shared" si="30"/>
        <v>0</v>
      </c>
      <c r="N113" s="8">
        <f t="shared" si="31"/>
        <v>0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6"/>
      <c r="Y113" s="16"/>
      <c r="Z113" s="16"/>
      <c r="AA113" s="16"/>
      <c r="AB113" s="16"/>
      <c r="AC113" s="16"/>
      <c r="AD113" s="16"/>
      <c r="AE113" s="16"/>
      <c r="AF113" s="16"/>
      <c r="AG113" s="18"/>
      <c r="AH113" s="18"/>
      <c r="AI113" s="18"/>
      <c r="AJ113" s="18"/>
    </row>
    <row r="114" spans="1:36" x14ac:dyDescent="0.25">
      <c r="C114" s="20" t="s">
        <v>11</v>
      </c>
      <c r="D114" s="25" t="str">
        <f t="shared" si="32"/>
        <v>Serv</v>
      </c>
      <c r="E114" s="9">
        <f t="shared" si="30"/>
        <v>0</v>
      </c>
      <c r="F114" s="10">
        <f t="shared" si="30"/>
        <v>0</v>
      </c>
      <c r="G114" s="10">
        <f t="shared" si="30"/>
        <v>0</v>
      </c>
      <c r="H114" s="10">
        <f t="shared" si="30"/>
        <v>0</v>
      </c>
      <c r="I114" s="10">
        <f t="shared" si="30"/>
        <v>0</v>
      </c>
      <c r="J114" s="10">
        <f t="shared" si="30"/>
        <v>0</v>
      </c>
      <c r="K114" s="10">
        <f t="shared" si="30"/>
        <v>0</v>
      </c>
      <c r="L114" s="10">
        <f t="shared" si="30"/>
        <v>0</v>
      </c>
      <c r="M114" s="11">
        <f t="shared" si="30"/>
        <v>0</v>
      </c>
      <c r="N114" s="12">
        <f t="shared" si="31"/>
        <v>0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6"/>
      <c r="Y114" s="16"/>
      <c r="Z114" s="16"/>
      <c r="AA114" s="16"/>
      <c r="AB114" s="16"/>
      <c r="AC114" s="16"/>
      <c r="AD114" s="16"/>
      <c r="AE114" s="16"/>
      <c r="AF114" s="16"/>
      <c r="AG114" s="18"/>
      <c r="AH114" s="18"/>
      <c r="AI114" s="18"/>
      <c r="AJ114" s="18"/>
    </row>
    <row r="115" spans="1:36" x14ac:dyDescent="0.25">
      <c r="C115" s="57"/>
      <c r="D115" s="57"/>
      <c r="E115" s="13">
        <f t="shared" ref="E115:M115" si="33">SUM(E105:E114)</f>
        <v>0</v>
      </c>
      <c r="F115" s="14">
        <f t="shared" si="33"/>
        <v>0</v>
      </c>
      <c r="G115" s="14">
        <f t="shared" si="33"/>
        <v>6.2633370561047563E-2</v>
      </c>
      <c r="H115" s="14">
        <f t="shared" si="33"/>
        <v>0</v>
      </c>
      <c r="I115" s="14">
        <f t="shared" si="33"/>
        <v>0</v>
      </c>
      <c r="J115" s="14">
        <f t="shared" si="33"/>
        <v>0.23786453326819301</v>
      </c>
      <c r="K115" s="14">
        <f t="shared" si="33"/>
        <v>0</v>
      </c>
      <c r="L115" s="14">
        <f t="shared" si="33"/>
        <v>5.3404694285868359E-2</v>
      </c>
      <c r="M115" s="15">
        <f t="shared" si="33"/>
        <v>0</v>
      </c>
      <c r="N115" s="19">
        <f>+SUM(E106:M114)</f>
        <v>0.35390259811510894</v>
      </c>
    </row>
    <row r="116" spans="1:36" x14ac:dyDescent="0.25">
      <c r="A116" s="66"/>
    </row>
    <row r="117" spans="1:36" x14ac:dyDescent="0.25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  <c r="N117" s="57" t="s">
        <v>56</v>
      </c>
      <c r="O117" t="str" cm="1">
        <f t="array" ref="O117:Q117">+TRANSPOSE(_xlfn.UNIQUE($D$118:$D$126))</f>
        <v>Agr</v>
      </c>
      <c r="P117" t="str">
        <v>Ind</v>
      </c>
      <c r="Q117" t="str">
        <v>Serv</v>
      </c>
      <c r="R117" s="100" t="s">
        <v>58</v>
      </c>
    </row>
    <row r="118" spans="1:36" x14ac:dyDescent="0.25">
      <c r="A118" s="67"/>
      <c r="C118" s="20" t="s">
        <v>1</v>
      </c>
      <c r="D118" s="20" t="s">
        <v>51</v>
      </c>
      <c r="E118" s="53">
        <f>+MAX(F60-H47-SUM(E78:M78),0)</f>
        <v>5.1870651425241476</v>
      </c>
      <c r="F118" s="53" cm="1">
        <f t="array" ref="F118">+IFERROR(E118/_xlfn.XLOOKUP(D118,_xlfn.ANCHORARRAY($I$118),$K$118:$K$120,,0),1)</f>
        <v>16.430285973391165</v>
      </c>
      <c r="G118" s="53" cm="1">
        <f t="array" ref="G118">+E118/_xlfn.XLOOKUP(D118,_xlfn.ANCHORARRAY($I$118),$J$118:$J$120,,0)</f>
        <v>0.46294415522902599</v>
      </c>
      <c r="I118" s="54" t="str" cm="1">
        <f t="array" ref="I118:I120">+_xlfn.UNIQUE(D118:D126)</f>
        <v>Agr</v>
      </c>
      <c r="J118" s="58">
        <f>+SUMIF($D$118:$D$126,I118,$E$118:$E$126)</f>
        <v>11.204515888008181</v>
      </c>
      <c r="K118" s="40">
        <f>+SUMIF($D$106:$D$114,I118,$N$106:$N$114)</f>
        <v>0.3157014522403685</v>
      </c>
      <c r="L118" s="40">
        <f>+IFERROR(MIN(1,J118/K118),1)</f>
        <v>1</v>
      </c>
      <c r="M118" s="18"/>
      <c r="N118" t="str" cm="1">
        <f t="array" ref="N118:N120">+_xlfn.UNIQUE($C$118:$C$126)</f>
        <v>A</v>
      </c>
      <c r="O118" s="16">
        <f>+SUMIFS($E$118:$E$126,$C$118:$C$126,$N118,$D$118:$D$126,O$117)</f>
        <v>5.1870651425241476</v>
      </c>
      <c r="P118" s="16">
        <f t="shared" ref="P118:Q118" si="34">+SUMIFS($E$118:$E$126,$C$118:$C$126,$N118,$D$118:$D$126,P$117)</f>
        <v>4.0410271498893593</v>
      </c>
      <c r="Q118" s="16">
        <f t="shared" si="34"/>
        <v>0</v>
      </c>
      <c r="S118" s="99" cm="1">
        <f t="array" ref="S118:S120">+O118:O120/O121</f>
        <v>0.46294415522902599</v>
      </c>
      <c r="T118" s="99" cm="1">
        <f t="array" ref="T118:T120">+P118:P120/P121</f>
        <v>0.88628954387228231</v>
      </c>
      <c r="U118" s="99" cm="1">
        <f t="array" ref="U118:U120">+Q118:Q120/Q121</f>
        <v>0</v>
      </c>
    </row>
    <row r="119" spans="1:36" x14ac:dyDescent="0.25">
      <c r="C119" s="20" t="s">
        <v>1</v>
      </c>
      <c r="D119" s="20" t="s">
        <v>52</v>
      </c>
      <c r="E119" s="8">
        <f>+MAX(F61-H48-SUM(E79:M79),0)</f>
        <v>4.0410271498893593</v>
      </c>
      <c r="F119" s="8" cm="1">
        <f t="array" ref="F119">+IFERROR(E119/_xlfn.XLOOKUP(D119,_xlfn.ANCHORARRAY($I$118),$K$118:$K$120,,0),1)</f>
        <v>1</v>
      </c>
      <c r="G119" s="8" cm="1">
        <f t="array" ref="G119">+E119/_xlfn.XLOOKUP(D119,_xlfn.ANCHORARRAY($I$118),$J$118:$J$120,,0)</f>
        <v>0.88628954387228231</v>
      </c>
      <c r="I119" s="55" t="str">
        <v>Ind</v>
      </c>
      <c r="J119" s="59">
        <f t="shared" ref="J119:J120" si="35">+SUMIF($D$118:$D$126,I119,$E$118:$E$126)</f>
        <v>4.5594886883509105</v>
      </c>
      <c r="K119" s="41">
        <f t="shared" ref="K119:K120" si="36">+SUMIF($D$106:$D$114,I119,$N$106:$N$114)</f>
        <v>0</v>
      </c>
      <c r="L119" s="40">
        <f t="shared" ref="L119:L120" si="37">+IFERROR(MIN(1,J119/K119),1)</f>
        <v>1</v>
      </c>
      <c r="M119" s="18"/>
      <c r="N119" t="str">
        <v>B</v>
      </c>
      <c r="O119" s="16">
        <f t="shared" ref="O119:Q120" si="38">+SUMIFS($E$118:$E$126,$C$118:$C$126,$N119,$D$118:$D$126,O$117)</f>
        <v>0</v>
      </c>
      <c r="P119" s="16">
        <f t="shared" si="38"/>
        <v>0.28846153846154721</v>
      </c>
      <c r="Q119" s="16">
        <f t="shared" si="38"/>
        <v>0</v>
      </c>
      <c r="S119" s="99">
        <v>0</v>
      </c>
      <c r="T119" s="99">
        <v>6.3266203335154855E-2</v>
      </c>
      <c r="U119" s="99">
        <v>0</v>
      </c>
    </row>
    <row r="120" spans="1:36" x14ac:dyDescent="0.25">
      <c r="C120" s="20" t="s">
        <v>1</v>
      </c>
      <c r="D120" s="20" t="s">
        <v>53</v>
      </c>
      <c r="E120" s="8">
        <f>+MAX(F62-H49-SUM(E80:M80),0)</f>
        <v>0</v>
      </c>
      <c r="F120" s="8" cm="1">
        <f t="array" ref="F120">+IFERROR(E120/_xlfn.XLOOKUP(D120,_xlfn.ANCHORARRAY($I$118),$K$118:$K$120,,0),1)</f>
        <v>0</v>
      </c>
      <c r="G120" s="8" cm="1">
        <f t="array" ref="G120">+E120/_xlfn.XLOOKUP(D120,_xlfn.ANCHORARRAY($I$118),$J$118:$J$120,,0)</f>
        <v>0</v>
      </c>
      <c r="I120" s="56" t="str">
        <v>Serv</v>
      </c>
      <c r="J120" s="60">
        <f t="shared" si="35"/>
        <v>4.2319001647962722</v>
      </c>
      <c r="K120" s="42">
        <f t="shared" si="36"/>
        <v>3.8201145874740439E-2</v>
      </c>
      <c r="L120" s="40">
        <f t="shared" si="37"/>
        <v>1</v>
      </c>
      <c r="M120" s="18"/>
      <c r="N120" t="str">
        <v>C</v>
      </c>
      <c r="O120" s="16">
        <f t="shared" si="38"/>
        <v>6.0174507454840338</v>
      </c>
      <c r="P120" s="16">
        <f t="shared" si="38"/>
        <v>0.23000000000000398</v>
      </c>
      <c r="Q120" s="16">
        <f t="shared" si="38"/>
        <v>4.2319001647962722</v>
      </c>
      <c r="S120" s="99">
        <v>0.53705584477097401</v>
      </c>
      <c r="T120" s="99">
        <v>5.0444252792562816E-2</v>
      </c>
      <c r="U120" s="99">
        <v>1</v>
      </c>
    </row>
    <row r="121" spans="1:36" x14ac:dyDescent="0.25">
      <c r="C121" s="20" t="s">
        <v>10</v>
      </c>
      <c r="D121" s="20" t="str">
        <f>+D118</f>
        <v>Agr</v>
      </c>
      <c r="E121" s="8">
        <f>+MAX(F63-H50-SUM(E81:M81),0)</f>
        <v>0</v>
      </c>
      <c r="F121" s="8" cm="1">
        <f t="array" ref="F121">+IFERROR(E121/_xlfn.XLOOKUP(D121,_xlfn.ANCHORARRAY($I$118),$K$118:$K$120,,0),1)</f>
        <v>0</v>
      </c>
      <c r="G121" s="8" cm="1">
        <f t="array" ref="G121">+E121/_xlfn.XLOOKUP(D121,_xlfn.ANCHORARRAY($I$118),$J$118:$J$120,,0)</f>
        <v>0</v>
      </c>
      <c r="H121" s="18"/>
      <c r="N121" t="s">
        <v>57</v>
      </c>
      <c r="O121" s="19">
        <f>SUM(O118:O120)</f>
        <v>11.204515888008181</v>
      </c>
      <c r="P121" s="19">
        <f t="shared" ref="P121:Q121" si="39">SUM(P118:P120)</f>
        <v>4.5594886883509105</v>
      </c>
      <c r="Q121" s="19">
        <f t="shared" si="39"/>
        <v>4.2319001647962722</v>
      </c>
    </row>
    <row r="122" spans="1:36" x14ac:dyDescent="0.25">
      <c r="C122" s="20" t="s">
        <v>10</v>
      </c>
      <c r="D122" s="20" t="str">
        <f t="shared" ref="D122:D126" si="40">+D119</f>
        <v>Ind</v>
      </c>
      <c r="E122" s="8">
        <f t="shared" ref="E122:E126" si="41">+MAX(F64-H51-SUM(E82:M82),0)</f>
        <v>0.28846153846154721</v>
      </c>
      <c r="F122" s="8" cm="1">
        <f t="array" ref="F122">+IFERROR(E122/_xlfn.XLOOKUP(D122,_xlfn.ANCHORARRAY($I$118),$K$118:$K$120,,0),1)</f>
        <v>1</v>
      </c>
      <c r="G122" s="8" cm="1">
        <f t="array" ref="G122">+E122/_xlfn.XLOOKUP(D122,_xlfn.ANCHORARRAY($I$118),$J$118:$J$120,,0)</f>
        <v>6.3266203335154855E-2</v>
      </c>
      <c r="I122" s="20" t="s">
        <v>39</v>
      </c>
    </row>
    <row r="123" spans="1:36" x14ac:dyDescent="0.25">
      <c r="C123" s="20" t="s">
        <v>10</v>
      </c>
      <c r="D123" s="20" t="str">
        <f t="shared" si="40"/>
        <v>Serv</v>
      </c>
      <c r="E123" s="8">
        <f t="shared" si="41"/>
        <v>0</v>
      </c>
      <c r="F123" s="8" cm="1">
        <f t="array" ref="F123">+IFERROR(E123/_xlfn.XLOOKUP(D123,_xlfn.ANCHORARRAY($I$118),$K$118:$K$120,,0),1)</f>
        <v>0</v>
      </c>
      <c r="G123" s="8" cm="1">
        <f t="array" ref="G123">+E123/_xlfn.XLOOKUP(D123,_xlfn.ANCHORARRAY($I$118),$J$118:$J$120,,0)</f>
        <v>0</v>
      </c>
      <c r="I123" s="69">
        <v>1</v>
      </c>
    </row>
    <row r="124" spans="1:36" x14ac:dyDescent="0.25">
      <c r="C124" s="20" t="s">
        <v>11</v>
      </c>
      <c r="D124" s="20" t="str">
        <f t="shared" si="40"/>
        <v>Agr</v>
      </c>
      <c r="E124" s="8">
        <f t="shared" si="41"/>
        <v>6.0174507454840338</v>
      </c>
      <c r="F124" s="8" cm="1">
        <f t="array" ref="F124">+IFERROR(E124/_xlfn.XLOOKUP(D124,_xlfn.ANCHORARRAY($I$118),$K$118:$K$120,,0),1)</f>
        <v>19.060573534842256</v>
      </c>
      <c r="G124" s="8" cm="1">
        <f t="array" ref="G124">+E124/_xlfn.XLOOKUP(D124,_xlfn.ANCHORARRAY($I$118),$J$118:$J$120,,0)</f>
        <v>0.53705584477097401</v>
      </c>
    </row>
    <row r="125" spans="1:36" x14ac:dyDescent="0.25">
      <c r="C125" s="20" t="s">
        <v>11</v>
      </c>
      <c r="D125" s="20" t="str">
        <f t="shared" si="40"/>
        <v>Ind</v>
      </c>
      <c r="E125" s="8">
        <f t="shared" si="41"/>
        <v>0.23000000000000398</v>
      </c>
      <c r="F125" s="8" cm="1">
        <f t="array" ref="F125">+IFERROR(E125/_xlfn.XLOOKUP(D125,_xlfn.ANCHORARRAY($I$118),$K$118:$K$120,,0),1)</f>
        <v>1</v>
      </c>
      <c r="G125" s="8" cm="1">
        <f t="array" ref="G125">+E125/_xlfn.XLOOKUP(D125,_xlfn.ANCHORARRAY($I$118),$J$118:$J$120,,0)</f>
        <v>5.0444252792562816E-2</v>
      </c>
    </row>
    <row r="126" spans="1:36" x14ac:dyDescent="0.25">
      <c r="C126" s="20" t="s">
        <v>11</v>
      </c>
      <c r="D126" s="20" t="str">
        <f t="shared" si="40"/>
        <v>Serv</v>
      </c>
      <c r="E126" s="12">
        <f t="shared" si="41"/>
        <v>4.2319001647962722</v>
      </c>
      <c r="F126" s="12" cm="1">
        <f t="array" ref="F126">+IFERROR(E126/_xlfn.XLOOKUP(D126,_xlfn.ANCHORARRAY($I$118),$K$118:$K$120,,0),1)</f>
        <v>110.77940380826406</v>
      </c>
      <c r="G126" s="12" cm="1">
        <f t="array" ref="G126">+E126/_xlfn.XLOOKUP(D126,_xlfn.ANCHORARRAY($I$118),$J$118:$J$120,,0)</f>
        <v>1</v>
      </c>
    </row>
    <row r="127" spans="1:36" x14ac:dyDescent="0.25">
      <c r="E127" s="19">
        <f>SUM(E118:E126)</f>
        <v>19.995904741155364</v>
      </c>
      <c r="G127" s="19">
        <f>SUM(G118:G126)</f>
        <v>3</v>
      </c>
    </row>
    <row r="128" spans="1:36" ht="15.75" thickBot="1" x14ac:dyDescent="0.3">
      <c r="A128" s="64"/>
      <c r="E128" s="19"/>
      <c r="G128" s="19"/>
    </row>
    <row r="129" spans="1:24" ht="15.75" thickBot="1" x14ac:dyDescent="0.3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  <c r="O129" s="109" t="s">
        <v>59</v>
      </c>
      <c r="P129" s="110" t="s">
        <v>1</v>
      </c>
      <c r="Q129" s="110" t="s">
        <v>1</v>
      </c>
      <c r="R129" s="110" t="s">
        <v>1</v>
      </c>
      <c r="S129" s="110" t="s">
        <v>10</v>
      </c>
      <c r="T129" s="110" t="s">
        <v>10</v>
      </c>
      <c r="U129" s="110" t="s">
        <v>10</v>
      </c>
      <c r="V129" s="110" t="s">
        <v>11</v>
      </c>
      <c r="W129" s="110" t="s">
        <v>11</v>
      </c>
      <c r="X129" s="111" t="s">
        <v>11</v>
      </c>
    </row>
    <row r="130" spans="1:24" ht="15.75" thickBot="1" x14ac:dyDescent="0.3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  <c r="O130" s="112" t="s">
        <v>55</v>
      </c>
      <c r="P130" s="49" t="s">
        <v>51</v>
      </c>
      <c r="Q130" s="49" t="s">
        <v>52</v>
      </c>
      <c r="R130" s="49" t="s">
        <v>53</v>
      </c>
      <c r="S130" s="49" t="s">
        <v>51</v>
      </c>
      <c r="T130" s="49" t="s">
        <v>52</v>
      </c>
      <c r="U130" s="49" t="s">
        <v>53</v>
      </c>
      <c r="V130" s="49" t="s">
        <v>51</v>
      </c>
      <c r="W130" s="49" t="s">
        <v>52</v>
      </c>
      <c r="X130" s="113" t="s">
        <v>53</v>
      </c>
    </row>
    <row r="131" spans="1:24" ht="15.75" thickBot="1" x14ac:dyDescent="0.3">
      <c r="D131" s="28" t="str" cm="1">
        <f t="array" ref="D131:D133">+_xlfn.UNIQUE(D118:D126)</f>
        <v>Agr</v>
      </c>
      <c r="E131" s="1">
        <f t="shared" ref="E131:M133" si="42">+SUMIF($D$106:$D$114,$D131,E$106:E$114)</f>
        <v>0</v>
      </c>
      <c r="F131" s="2">
        <f t="shared" si="42"/>
        <v>0</v>
      </c>
      <c r="G131" s="2">
        <f t="shared" si="42"/>
        <v>5.1316685280523799E-2</v>
      </c>
      <c r="H131" s="2">
        <f t="shared" si="42"/>
        <v>0</v>
      </c>
      <c r="I131" s="2">
        <f t="shared" si="42"/>
        <v>0</v>
      </c>
      <c r="J131" s="2">
        <f t="shared" si="42"/>
        <v>0.21098007267397634</v>
      </c>
      <c r="K131" s="2">
        <f t="shared" si="42"/>
        <v>0</v>
      </c>
      <c r="L131" s="2">
        <f t="shared" si="42"/>
        <v>5.3404694285868359E-2</v>
      </c>
      <c r="M131" s="3">
        <f t="shared" si="42"/>
        <v>0</v>
      </c>
      <c r="O131" s="104">
        <f>+$L118*$I$123</f>
        <v>1</v>
      </c>
      <c r="P131" s="105">
        <f>+$O131*E131</f>
        <v>0</v>
      </c>
      <c r="Q131" s="105">
        <f t="shared" ref="Q131:X131" si="43">+$O131*F131</f>
        <v>0</v>
      </c>
      <c r="R131" s="105">
        <f t="shared" si="43"/>
        <v>5.1316685280523799E-2</v>
      </c>
      <c r="S131" s="105">
        <f t="shared" si="43"/>
        <v>0</v>
      </c>
      <c r="T131" s="105">
        <f t="shared" si="43"/>
        <v>0</v>
      </c>
      <c r="U131" s="105">
        <f t="shared" si="43"/>
        <v>0.21098007267397634</v>
      </c>
      <c r="V131" s="105">
        <f t="shared" si="43"/>
        <v>0</v>
      </c>
      <c r="W131" s="105">
        <f t="shared" si="43"/>
        <v>5.3404694285868359E-2</v>
      </c>
      <c r="X131" s="106">
        <f t="shared" si="43"/>
        <v>0</v>
      </c>
    </row>
    <row r="132" spans="1:24" x14ac:dyDescent="0.25">
      <c r="D132" s="25" t="str">
        <v>Ind</v>
      </c>
      <c r="E132" s="5">
        <f t="shared" si="42"/>
        <v>0</v>
      </c>
      <c r="F132" s="6">
        <f t="shared" si="42"/>
        <v>0</v>
      </c>
      <c r="G132" s="6">
        <f t="shared" si="42"/>
        <v>0</v>
      </c>
      <c r="H132" s="6">
        <f t="shared" si="42"/>
        <v>0</v>
      </c>
      <c r="I132" s="6">
        <f t="shared" si="42"/>
        <v>0</v>
      </c>
      <c r="J132" s="6">
        <f t="shared" si="42"/>
        <v>0</v>
      </c>
      <c r="K132" s="6">
        <f t="shared" si="42"/>
        <v>0</v>
      </c>
      <c r="L132" s="6">
        <f t="shared" si="42"/>
        <v>0</v>
      </c>
      <c r="M132" s="7">
        <f t="shared" si="42"/>
        <v>0</v>
      </c>
      <c r="P132" s="108" cm="1">
        <f t="array" ref="P132:X134">+MMULT(_xlfn.ANCHORARRAY(S118),$P$131:$X$131)</f>
        <v>0</v>
      </c>
      <c r="Q132" s="108">
        <v>0</v>
      </c>
      <c r="R132" s="108">
        <v>2.3756759516345882E-2</v>
      </c>
      <c r="S132" s="108">
        <v>0</v>
      </c>
      <c r="T132" s="108">
        <v>0</v>
      </c>
      <c r="U132" s="108">
        <v>9.7671991514212492E-2</v>
      </c>
      <c r="V132" s="108">
        <v>0</v>
      </c>
      <c r="W132" s="108">
        <v>2.472339108143572E-2</v>
      </c>
      <c r="X132" s="108">
        <v>0</v>
      </c>
    </row>
    <row r="133" spans="1:24" x14ac:dyDescent="0.25">
      <c r="D133" s="25" t="str">
        <v>Serv</v>
      </c>
      <c r="E133" s="9">
        <f t="shared" si="42"/>
        <v>0</v>
      </c>
      <c r="F133" s="10">
        <f t="shared" si="42"/>
        <v>0</v>
      </c>
      <c r="G133" s="10">
        <f t="shared" si="42"/>
        <v>1.1316685280523764E-2</v>
      </c>
      <c r="H133" s="10">
        <f t="shared" si="42"/>
        <v>0</v>
      </c>
      <c r="I133" s="10">
        <f t="shared" si="42"/>
        <v>0</v>
      </c>
      <c r="J133" s="10">
        <f t="shared" si="42"/>
        <v>2.6884460594216675E-2</v>
      </c>
      <c r="K133" s="10">
        <f t="shared" si="42"/>
        <v>0</v>
      </c>
      <c r="L133" s="10">
        <f t="shared" si="42"/>
        <v>0</v>
      </c>
      <c r="M133" s="11">
        <f t="shared" si="42"/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</row>
    <row r="134" spans="1:24" ht="15.75" thickBot="1" x14ac:dyDescent="0.3">
      <c r="P134" s="107">
        <v>0</v>
      </c>
      <c r="Q134" s="107">
        <v>0</v>
      </c>
      <c r="R134" s="107">
        <v>2.7559925764177918E-2</v>
      </c>
      <c r="S134" s="107">
        <v>0</v>
      </c>
      <c r="T134" s="107">
        <v>0</v>
      </c>
      <c r="U134" s="107">
        <v>0.11330808115976385</v>
      </c>
      <c r="V134" s="107">
        <v>0</v>
      </c>
      <c r="W134" s="107">
        <v>2.8681303204432639E-2</v>
      </c>
      <c r="X134" s="107">
        <v>0</v>
      </c>
    </row>
    <row r="135" spans="1:24" ht="15.75" thickBot="1" x14ac:dyDescent="0.3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  <c r="O135" s="104">
        <f>+$L119*$I$123</f>
        <v>1</v>
      </c>
      <c r="P135" s="105">
        <f t="shared" ref="P135:X135" si="44">+$O135*E132</f>
        <v>0</v>
      </c>
      <c r="Q135" s="105">
        <f t="shared" si="44"/>
        <v>0</v>
      </c>
      <c r="R135" s="105">
        <f t="shared" si="44"/>
        <v>0</v>
      </c>
      <c r="S135" s="105">
        <f t="shared" si="44"/>
        <v>0</v>
      </c>
      <c r="T135" s="105">
        <f t="shared" si="44"/>
        <v>0</v>
      </c>
      <c r="U135" s="105">
        <f t="shared" si="44"/>
        <v>0</v>
      </c>
      <c r="V135" s="105">
        <f t="shared" si="44"/>
        <v>0</v>
      </c>
      <c r="W135" s="105">
        <f t="shared" si="44"/>
        <v>0</v>
      </c>
      <c r="X135" s="106">
        <f t="shared" si="44"/>
        <v>0</v>
      </c>
    </row>
    <row r="136" spans="1:24" ht="15.75" thickBot="1" x14ac:dyDescent="0.3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  <c r="P136" s="103" cm="1">
        <f t="array" ref="P136:X138">+MMULT(_xlfn.ANCHORARRAY(T118),$P$135:$X$135)</f>
        <v>0</v>
      </c>
      <c r="Q136" s="103">
        <v>0</v>
      </c>
      <c r="R136" s="103">
        <v>0</v>
      </c>
      <c r="S136" s="103">
        <v>0</v>
      </c>
      <c r="T136" s="103">
        <v>0</v>
      </c>
      <c r="U136" s="103">
        <v>0</v>
      </c>
      <c r="V136" s="103">
        <v>0</v>
      </c>
      <c r="W136" s="103">
        <v>0</v>
      </c>
      <c r="X136" s="103">
        <v>0</v>
      </c>
    </row>
    <row r="137" spans="1:24" x14ac:dyDescent="0.25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0</v>
      </c>
      <c r="F137" s="2" cm="1">
        <f t="array" ref="F137">+$I$123*$G118*_xlfn.XLOOKUP($D137,_xlfn.ANCHORARRAY($I$118),$L$118:$L$120,,0)*_xlfn.XLOOKUP($D137,$D$131:$D$133,F$131:F$133,,0)</f>
        <v>0</v>
      </c>
      <c r="G137" s="2" cm="1">
        <f t="array" ref="G137">+$I$123*$G118*_xlfn.XLOOKUP($D137,_xlfn.ANCHORARRAY($I$118),$L$118:$L$120,,0)*_xlfn.XLOOKUP($D137,$D$131:$D$133,G$131:G$133,,0)</f>
        <v>2.3756759516345882E-2</v>
      </c>
      <c r="H137" s="2" cm="1">
        <f t="array" ref="H137">+$I$123*$G118*_xlfn.XLOOKUP($D137,_xlfn.ANCHORARRAY($I$118),$L$118:$L$120,,0)*_xlfn.XLOOKUP($D137,$D$131:$D$133,H$131:H$133,,0)</f>
        <v>0</v>
      </c>
      <c r="I137" s="2" cm="1">
        <f t="array" ref="I137">+$I$123*$G118*_xlfn.XLOOKUP($D137,_xlfn.ANCHORARRAY($I$118),$L$118:$L$120,,0)*_xlfn.XLOOKUP($D137,$D$131:$D$133,I$131:I$133,,0)</f>
        <v>0</v>
      </c>
      <c r="J137" s="2" cm="1">
        <f t="array" ref="J137">+$I$123*$G118*_xlfn.XLOOKUP($D137,_xlfn.ANCHORARRAY($I$118),$L$118:$L$120,,0)*_xlfn.XLOOKUP($D137,$D$131:$D$133,J$131:J$133,,0)</f>
        <v>9.7671991514212492E-2</v>
      </c>
      <c r="K137" s="2" cm="1">
        <f t="array" ref="K137">+$I$123*$G118*_xlfn.XLOOKUP($D137,_xlfn.ANCHORARRAY($I$118),$L$118:$L$120,,0)*_xlfn.XLOOKUP($D137,$D$131:$D$133,K$131:K$133,,0)</f>
        <v>0</v>
      </c>
      <c r="L137" s="2" cm="1">
        <f t="array" ref="L137">+$I$123*$G118*_xlfn.XLOOKUP($D137,_xlfn.ANCHORARRAY($I$118),$L$118:$L$120,,0)*_xlfn.XLOOKUP($D137,$D$131:$D$133,L$131:L$133,,0)</f>
        <v>2.472339108143572E-2</v>
      </c>
      <c r="M137" s="3" cm="1">
        <f t="array" ref="M137">+$I$123*$G118*_xlfn.XLOOKUP($D137,_xlfn.ANCHORARRAY($I$118),$L$118:$L$120,,0)*_xlfn.XLOOKUP($D137,$D$131:$D$133,M$131:M$133,,0)</f>
        <v>0</v>
      </c>
      <c r="P137" s="101">
        <v>0</v>
      </c>
      <c r="Q137" s="101">
        <v>0</v>
      </c>
      <c r="R137" s="101">
        <v>0</v>
      </c>
      <c r="S137" s="101">
        <v>0</v>
      </c>
      <c r="T137" s="101">
        <v>0</v>
      </c>
      <c r="U137" s="101">
        <v>0</v>
      </c>
      <c r="V137" s="101">
        <v>0</v>
      </c>
      <c r="W137" s="101">
        <v>0</v>
      </c>
      <c r="X137" s="101">
        <v>0</v>
      </c>
    </row>
    <row r="138" spans="1:24" ht="15.75" thickBot="1" x14ac:dyDescent="0.3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0</v>
      </c>
      <c r="F138" s="6" cm="1">
        <f t="array" ref="F138">+$I$123*$G119*_xlfn.XLOOKUP($D138,_xlfn.ANCHORARRAY($I$118),$L$118:$L$120,,0)*_xlfn.XLOOKUP($D138,$D$131:$D$133,F$131:F$133,,0)</f>
        <v>0</v>
      </c>
      <c r="G138" s="6" cm="1">
        <f t="array" ref="G138">+$I$123*$G119*_xlfn.XLOOKUP($D138,_xlfn.ANCHORARRAY($I$118),$L$118:$L$120,,0)*_xlfn.XLOOKUP($D138,$D$131:$D$133,G$131:G$133,,0)</f>
        <v>0</v>
      </c>
      <c r="H138" s="6" cm="1">
        <f t="array" ref="H138">+$I$123*$G119*_xlfn.XLOOKUP($D138,_xlfn.ANCHORARRAY($I$118),$L$118:$L$120,,0)*_xlfn.XLOOKUP($D138,$D$131:$D$133,H$131:H$133,,0)</f>
        <v>0</v>
      </c>
      <c r="I138" s="6" cm="1">
        <f t="array" ref="I138">+$I$123*$G119*_xlfn.XLOOKUP($D138,_xlfn.ANCHORARRAY($I$118),$L$118:$L$120,,0)*_xlfn.XLOOKUP($D138,$D$131:$D$133,I$131:I$133,,0)</f>
        <v>0</v>
      </c>
      <c r="J138" s="6" cm="1">
        <f t="array" ref="J138">+$I$123*$G119*_xlfn.XLOOKUP($D138,_xlfn.ANCHORARRAY($I$118),$L$118:$L$120,,0)*_xlfn.XLOOKUP($D138,$D$131:$D$133,J$131:J$133,,0)</f>
        <v>0</v>
      </c>
      <c r="K138" s="6" cm="1">
        <f t="array" ref="K138">+$I$123*$G119*_xlfn.XLOOKUP($D138,_xlfn.ANCHORARRAY($I$118),$L$118:$L$120,,0)*_xlfn.XLOOKUP($D138,$D$131:$D$133,K$131:K$133,,0)</f>
        <v>0</v>
      </c>
      <c r="L138" s="6" cm="1">
        <f t="array" ref="L138">+$I$123*$G119*_xlfn.XLOOKUP($D138,_xlfn.ANCHORARRAY($I$118),$L$118:$L$120,,0)*_xlfn.XLOOKUP($D138,$D$131:$D$133,L$131:L$133,,0)</f>
        <v>0</v>
      </c>
      <c r="M138" s="7" cm="1">
        <f t="array" ref="M138">+$I$123*$G119*_xlfn.XLOOKUP($D138,_xlfn.ANCHORARRAY($I$118),$L$118:$L$120,,0)*_xlfn.XLOOKUP($D138,$D$131:$D$133,M$131:M$133,,0)</f>
        <v>0</v>
      </c>
      <c r="N138" s="18"/>
      <c r="P138" s="101">
        <v>0</v>
      </c>
      <c r="Q138" s="101">
        <v>0</v>
      </c>
      <c r="R138" s="101">
        <v>0</v>
      </c>
      <c r="S138" s="101">
        <v>0</v>
      </c>
      <c r="T138" s="101">
        <v>0</v>
      </c>
      <c r="U138" s="101">
        <v>0</v>
      </c>
      <c r="V138" s="101">
        <v>0</v>
      </c>
      <c r="W138" s="101">
        <v>0</v>
      </c>
      <c r="X138" s="101">
        <v>0</v>
      </c>
    </row>
    <row r="139" spans="1:24" ht="15.75" thickBot="1" x14ac:dyDescent="0.3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0</v>
      </c>
      <c r="F139" s="6" cm="1">
        <f t="array" ref="F139">+$I$123*$G120*_xlfn.XLOOKUP($D139,_xlfn.ANCHORARRAY($I$118),$L$118:$L$120,,0)*_xlfn.XLOOKUP($D139,$D$131:$D$133,F$131:F$133,,0)</f>
        <v>0</v>
      </c>
      <c r="G139" s="6" cm="1">
        <f t="array" ref="G139">+$I$123*$G120*_xlfn.XLOOKUP($D139,_xlfn.ANCHORARRAY($I$118),$L$118:$L$120,,0)*_xlfn.XLOOKUP($D139,$D$131:$D$133,G$131:G$133,,0)</f>
        <v>0</v>
      </c>
      <c r="H139" s="6" cm="1">
        <f t="array" ref="H139">+$I$123*$G120*_xlfn.XLOOKUP($D139,_xlfn.ANCHORARRAY($I$118),$L$118:$L$120,,0)*_xlfn.XLOOKUP($D139,$D$131:$D$133,H$131:H$133,,0)</f>
        <v>0</v>
      </c>
      <c r="I139" s="6" cm="1">
        <f t="array" ref="I139">+$I$123*$G120*_xlfn.XLOOKUP($D139,_xlfn.ANCHORARRAY($I$118),$L$118:$L$120,,0)*_xlfn.XLOOKUP($D139,$D$131:$D$133,I$131:I$133,,0)</f>
        <v>0</v>
      </c>
      <c r="J139" s="6" cm="1">
        <f t="array" ref="J139">+$I$123*$G120*_xlfn.XLOOKUP($D139,_xlfn.ANCHORARRAY($I$118),$L$118:$L$120,,0)*_xlfn.XLOOKUP($D139,$D$131:$D$133,J$131:J$133,,0)</f>
        <v>0</v>
      </c>
      <c r="K139" s="6" cm="1">
        <f t="array" ref="K139">+$I$123*$G120*_xlfn.XLOOKUP($D139,_xlfn.ANCHORARRAY($I$118),$L$118:$L$120,,0)*_xlfn.XLOOKUP($D139,$D$131:$D$133,K$131:K$133,,0)</f>
        <v>0</v>
      </c>
      <c r="L139" s="6" cm="1">
        <f t="array" ref="L139">+$I$123*$G120*_xlfn.XLOOKUP($D139,_xlfn.ANCHORARRAY($I$118),$L$118:$L$120,,0)*_xlfn.XLOOKUP($D139,$D$131:$D$133,L$131:L$133,,0)</f>
        <v>0</v>
      </c>
      <c r="M139" s="7" cm="1">
        <f t="array" ref="M139">+$I$123*$G120*_xlfn.XLOOKUP($D139,_xlfn.ANCHORARRAY($I$118),$L$118:$L$120,,0)*_xlfn.XLOOKUP($D139,$D$131:$D$133,M$131:M$133,,0)</f>
        <v>0</v>
      </c>
      <c r="N139" s="18"/>
      <c r="O139" s="104">
        <f>+$L120*$I$123</f>
        <v>1</v>
      </c>
      <c r="P139" s="105">
        <f t="shared" ref="P139:X139" si="45">+$O139*E133</f>
        <v>0</v>
      </c>
      <c r="Q139" s="105">
        <f t="shared" si="45"/>
        <v>0</v>
      </c>
      <c r="R139" s="105">
        <f t="shared" si="45"/>
        <v>1.1316685280523764E-2</v>
      </c>
      <c r="S139" s="105">
        <f t="shared" si="45"/>
        <v>0</v>
      </c>
      <c r="T139" s="105">
        <f t="shared" si="45"/>
        <v>0</v>
      </c>
      <c r="U139" s="105">
        <f t="shared" si="45"/>
        <v>2.6884460594216675E-2</v>
      </c>
      <c r="V139" s="105">
        <f t="shared" si="45"/>
        <v>0</v>
      </c>
      <c r="W139" s="105">
        <f t="shared" si="45"/>
        <v>0</v>
      </c>
      <c r="X139" s="106">
        <f t="shared" si="45"/>
        <v>0</v>
      </c>
    </row>
    <row r="140" spans="1:24" x14ac:dyDescent="0.25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</v>
      </c>
      <c r="F140" s="6" cm="1">
        <f t="array" ref="F140">+$I$123*$G121*_xlfn.XLOOKUP($D140,_xlfn.ANCHORARRAY($I$118),$L$118:$L$120,,0)*_xlfn.XLOOKUP($D140,$D$131:$D$133,F$131:F$133,,0)</f>
        <v>0</v>
      </c>
      <c r="G140" s="6" cm="1">
        <f t="array" ref="G140">+$I$123*$G121*_xlfn.XLOOKUP($D140,_xlfn.ANCHORARRAY($I$118),$L$118:$L$120,,0)*_xlfn.XLOOKUP($D140,$D$131:$D$133,G$131:G$133,,0)</f>
        <v>0</v>
      </c>
      <c r="H140" s="6" cm="1">
        <f t="array" ref="H140">+$I$123*$G121*_xlfn.XLOOKUP($D140,_xlfn.ANCHORARRAY($I$118),$L$118:$L$120,,0)*_xlfn.XLOOKUP($D140,$D$131:$D$133,H$131:H$133,,0)</f>
        <v>0</v>
      </c>
      <c r="I140" s="6" cm="1">
        <f t="array" ref="I140">+$I$123*$G121*_xlfn.XLOOKUP($D140,_xlfn.ANCHORARRAY($I$118),$L$118:$L$120,,0)*_xlfn.XLOOKUP($D140,$D$131:$D$133,I$131:I$133,,0)</f>
        <v>0</v>
      </c>
      <c r="J140" s="6" cm="1">
        <f t="array" ref="J140">+$I$123*$G121*_xlfn.XLOOKUP($D140,_xlfn.ANCHORARRAY($I$118),$L$118:$L$120,,0)*_xlfn.XLOOKUP($D140,$D$131:$D$133,J$131:J$133,,0)</f>
        <v>0</v>
      </c>
      <c r="K140" s="6" cm="1">
        <f t="array" ref="K140">+$I$123*$G121*_xlfn.XLOOKUP($D140,_xlfn.ANCHORARRAY($I$118),$L$118:$L$120,,0)*_xlfn.XLOOKUP($D140,$D$131:$D$133,K$131:K$133,,0)</f>
        <v>0</v>
      </c>
      <c r="L140" s="6" cm="1">
        <f t="array" ref="L140">+$I$123*$G121*_xlfn.XLOOKUP($D140,_xlfn.ANCHORARRAY($I$118),$L$118:$L$120,,0)*_xlfn.XLOOKUP($D140,$D$131:$D$133,L$131:L$133,,0)</f>
        <v>0</v>
      </c>
      <c r="M140" s="7" cm="1">
        <f t="array" ref="M140">+$I$123*$G121*_xlfn.XLOOKUP($D140,_xlfn.ANCHORARRAY($I$118),$L$118:$L$120,,0)*_xlfn.XLOOKUP($D140,$D$131:$D$133,M$131:M$133,,0)</f>
        <v>0</v>
      </c>
      <c r="N140" s="18"/>
      <c r="P140" s="103" cm="1">
        <f t="array" ref="P140:X142">+MMULT(_xlfn.ANCHORARRAY(U118),$P$139:$X$139)</f>
        <v>0</v>
      </c>
      <c r="Q140" s="103">
        <v>0</v>
      </c>
      <c r="R140" s="103">
        <v>0</v>
      </c>
      <c r="S140" s="103">
        <v>0</v>
      </c>
      <c r="T140" s="103">
        <v>0</v>
      </c>
      <c r="U140" s="103">
        <v>0</v>
      </c>
      <c r="V140" s="103">
        <v>0</v>
      </c>
      <c r="W140" s="103">
        <v>0</v>
      </c>
      <c r="X140" s="103">
        <v>0</v>
      </c>
    </row>
    <row r="141" spans="1:24" x14ac:dyDescent="0.25">
      <c r="C141" s="20" t="s">
        <v>10</v>
      </c>
      <c r="D141" s="25" t="str">
        <f t="shared" ref="D141:D145" si="46">+D138</f>
        <v>Ind</v>
      </c>
      <c r="E141" s="5" cm="1">
        <f t="array" ref="E141">+$I$123*$G122*_xlfn.XLOOKUP($D141,_xlfn.ANCHORARRAY($I$118),$L$118:$L$120,,0)*_xlfn.XLOOKUP($D141,$D$131:$D$133,E$131:E$133,,0)</f>
        <v>0</v>
      </c>
      <c r="F141" s="6" cm="1">
        <f t="array" ref="F141">+$I$123*$G122*_xlfn.XLOOKUP($D141,_xlfn.ANCHORARRAY($I$118),$L$118:$L$120,,0)*_xlfn.XLOOKUP($D141,$D$131:$D$133,F$131:F$133,,0)</f>
        <v>0</v>
      </c>
      <c r="G141" s="6" cm="1">
        <f t="array" ref="G141">+$I$123*$G122*_xlfn.XLOOKUP($D141,_xlfn.ANCHORARRAY($I$118),$L$118:$L$120,,0)*_xlfn.XLOOKUP($D141,$D$131:$D$133,G$131:G$133,,0)</f>
        <v>0</v>
      </c>
      <c r="H141" s="6" cm="1">
        <f t="array" ref="H141">+$I$123*$G122*_xlfn.XLOOKUP($D141,_xlfn.ANCHORARRAY($I$118),$L$118:$L$120,,0)*_xlfn.XLOOKUP($D141,$D$131:$D$133,H$131:H$133,,0)</f>
        <v>0</v>
      </c>
      <c r="I141" s="6" cm="1">
        <f t="array" ref="I141">+$I$123*$G122*_xlfn.XLOOKUP($D141,_xlfn.ANCHORARRAY($I$118),$L$118:$L$120,,0)*_xlfn.XLOOKUP($D141,$D$131:$D$133,I$131:I$133,,0)</f>
        <v>0</v>
      </c>
      <c r="J141" s="6" cm="1">
        <f t="array" ref="J141">+$I$123*$G122*_xlfn.XLOOKUP($D141,_xlfn.ANCHORARRAY($I$118),$L$118:$L$120,,0)*_xlfn.XLOOKUP($D141,$D$131:$D$133,J$131:J$133,,0)</f>
        <v>0</v>
      </c>
      <c r="K141" s="6" cm="1">
        <f t="array" ref="K141">+$I$123*$G122*_xlfn.XLOOKUP($D141,_xlfn.ANCHORARRAY($I$118),$L$118:$L$120,,0)*_xlfn.XLOOKUP($D141,$D$131:$D$133,K$131:K$133,,0)</f>
        <v>0</v>
      </c>
      <c r="L141" s="6" cm="1">
        <f t="array" ref="L141">+$I$123*$G122*_xlfn.XLOOKUP($D141,_xlfn.ANCHORARRAY($I$118),$L$118:$L$120,,0)*_xlfn.XLOOKUP($D141,$D$131:$D$133,L$131:L$133,,0)</f>
        <v>0</v>
      </c>
      <c r="M141" s="7" cm="1">
        <f t="array" ref="M141">+$I$123*$G122*_xlfn.XLOOKUP($D141,_xlfn.ANCHORARRAY($I$118),$L$118:$L$120,,0)*_xlfn.XLOOKUP($D141,$D$131:$D$133,M$131:M$133,,0)</f>
        <v>0</v>
      </c>
      <c r="N141" s="18"/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</row>
    <row r="142" spans="1:24" x14ac:dyDescent="0.25">
      <c r="C142" s="20" t="s">
        <v>10</v>
      </c>
      <c r="D142" s="25" t="str">
        <f t="shared" si="46"/>
        <v>Serv</v>
      </c>
      <c r="E142" s="5" cm="1">
        <f t="array" ref="E142">+$I$123*$G123*_xlfn.XLOOKUP($D142,_xlfn.ANCHORARRAY($I$118),$L$118:$L$120,,0)*_xlfn.XLOOKUP($D142,$D$131:$D$133,E$131:E$133,,0)</f>
        <v>0</v>
      </c>
      <c r="F142" s="6" cm="1">
        <f t="array" ref="F142">+$I$123*$G123*_xlfn.XLOOKUP($D142,_xlfn.ANCHORARRAY($I$118),$L$118:$L$120,,0)*_xlfn.XLOOKUP($D142,$D$131:$D$133,F$131:F$133,,0)</f>
        <v>0</v>
      </c>
      <c r="G142" s="6" cm="1">
        <f t="array" ref="G142">+$I$123*$G123*_xlfn.XLOOKUP($D142,_xlfn.ANCHORARRAY($I$118),$L$118:$L$120,,0)*_xlfn.XLOOKUP($D142,$D$131:$D$133,G$131:G$133,,0)</f>
        <v>0</v>
      </c>
      <c r="H142" s="6" cm="1">
        <f t="array" ref="H142">+$I$123*$G123*_xlfn.XLOOKUP($D142,_xlfn.ANCHORARRAY($I$118),$L$118:$L$120,,0)*_xlfn.XLOOKUP($D142,$D$131:$D$133,H$131:H$133,,0)</f>
        <v>0</v>
      </c>
      <c r="I142" s="6" cm="1">
        <f t="array" ref="I142">+$I$123*$G123*_xlfn.XLOOKUP($D142,_xlfn.ANCHORARRAY($I$118),$L$118:$L$120,,0)*_xlfn.XLOOKUP($D142,$D$131:$D$133,I$131:I$133,,0)</f>
        <v>0</v>
      </c>
      <c r="J142" s="6" cm="1">
        <f t="array" ref="J142">+$I$123*$G123*_xlfn.XLOOKUP($D142,_xlfn.ANCHORARRAY($I$118),$L$118:$L$120,,0)*_xlfn.XLOOKUP($D142,$D$131:$D$133,J$131:J$133,,0)</f>
        <v>0</v>
      </c>
      <c r="K142" s="6" cm="1">
        <f t="array" ref="K142">+$I$123*$G123*_xlfn.XLOOKUP($D142,_xlfn.ANCHORARRAY($I$118),$L$118:$L$120,,0)*_xlfn.XLOOKUP($D142,$D$131:$D$133,K$131:K$133,,0)</f>
        <v>0</v>
      </c>
      <c r="L142" s="6" cm="1">
        <f t="array" ref="L142">+$I$123*$G123*_xlfn.XLOOKUP($D142,_xlfn.ANCHORARRAY($I$118),$L$118:$L$120,,0)*_xlfn.XLOOKUP($D142,$D$131:$D$133,L$131:L$133,,0)</f>
        <v>0</v>
      </c>
      <c r="M142" s="7" cm="1">
        <f t="array" ref="M142">+$I$123*$G123*_xlfn.XLOOKUP($D142,_xlfn.ANCHORARRAY($I$118),$L$118:$L$120,,0)*_xlfn.XLOOKUP($D142,$D$131:$D$133,M$131:M$133,,0)</f>
        <v>0</v>
      </c>
      <c r="N142" s="18"/>
      <c r="P142" s="101">
        <v>0</v>
      </c>
      <c r="Q142" s="101">
        <v>0</v>
      </c>
      <c r="R142" s="101">
        <v>1.1316685280523764E-2</v>
      </c>
      <c r="S142" s="101">
        <v>0</v>
      </c>
      <c r="T142" s="101">
        <v>0</v>
      </c>
      <c r="U142" s="101">
        <v>2.6884460594216675E-2</v>
      </c>
      <c r="V142" s="101">
        <v>0</v>
      </c>
      <c r="W142" s="101">
        <v>0</v>
      </c>
      <c r="X142" s="101">
        <v>0</v>
      </c>
    </row>
    <row r="143" spans="1:24" x14ac:dyDescent="0.25">
      <c r="C143" s="20" t="s">
        <v>11</v>
      </c>
      <c r="D143" s="25" t="str">
        <f t="shared" si="46"/>
        <v>Agr</v>
      </c>
      <c r="E143" s="5" cm="1">
        <f t="array" ref="E143">+$I$123*$G124*_xlfn.XLOOKUP($D143,_xlfn.ANCHORARRAY($I$118),$L$118:$L$120,,0)*_xlfn.XLOOKUP($D143,$D$131:$D$133,E$131:E$133,,0)</f>
        <v>0</v>
      </c>
      <c r="F143" s="6" cm="1">
        <f t="array" ref="F143">+$I$123*$G124*_xlfn.XLOOKUP($D143,_xlfn.ANCHORARRAY($I$118),$L$118:$L$120,,0)*_xlfn.XLOOKUP($D143,$D$131:$D$133,F$131:F$133,,0)</f>
        <v>0</v>
      </c>
      <c r="G143" s="6" cm="1">
        <f t="array" ref="G143">+$I$123*$G124*_xlfn.XLOOKUP($D143,_xlfn.ANCHORARRAY($I$118),$L$118:$L$120,,0)*_xlfn.XLOOKUP($D143,$D$131:$D$133,G$131:G$133,,0)</f>
        <v>2.7559925764177918E-2</v>
      </c>
      <c r="H143" s="6" cm="1">
        <f t="array" ref="H143">+$I$123*$G124*_xlfn.XLOOKUP($D143,_xlfn.ANCHORARRAY($I$118),$L$118:$L$120,,0)*_xlfn.XLOOKUP($D143,$D$131:$D$133,H$131:H$133,,0)</f>
        <v>0</v>
      </c>
      <c r="I143" s="6" cm="1">
        <f t="array" ref="I143">+$I$123*$G124*_xlfn.XLOOKUP($D143,_xlfn.ANCHORARRAY($I$118),$L$118:$L$120,,0)*_xlfn.XLOOKUP($D143,$D$131:$D$133,I$131:I$133,,0)</f>
        <v>0</v>
      </c>
      <c r="J143" s="6" cm="1">
        <f t="array" ref="J143">+$I$123*$G124*_xlfn.XLOOKUP($D143,_xlfn.ANCHORARRAY($I$118),$L$118:$L$120,,0)*_xlfn.XLOOKUP($D143,$D$131:$D$133,J$131:J$133,,0)</f>
        <v>0.11330808115976385</v>
      </c>
      <c r="K143" s="6" cm="1">
        <f t="array" ref="K143">+$I$123*$G124*_xlfn.XLOOKUP($D143,_xlfn.ANCHORARRAY($I$118),$L$118:$L$120,,0)*_xlfn.XLOOKUP($D143,$D$131:$D$133,K$131:K$133,,0)</f>
        <v>0</v>
      </c>
      <c r="L143" s="6" cm="1">
        <f t="array" ref="L143">+$I$123*$G124*_xlfn.XLOOKUP($D143,_xlfn.ANCHORARRAY($I$118),$L$118:$L$120,,0)*_xlfn.XLOOKUP($D143,$D$131:$D$133,L$131:L$133,,0)</f>
        <v>2.8681303204432639E-2</v>
      </c>
      <c r="M143" s="7" cm="1">
        <f t="array" ref="M143">+$I$123*$G124*_xlfn.XLOOKUP($D143,_xlfn.ANCHORARRAY($I$118),$L$118:$L$120,,0)*_xlfn.XLOOKUP($D143,$D$131:$D$133,M$131:M$133,,0)</f>
        <v>0</v>
      </c>
      <c r="N143" s="18"/>
    </row>
    <row r="144" spans="1:24" x14ac:dyDescent="0.25">
      <c r="C144" s="20" t="s">
        <v>11</v>
      </c>
      <c r="D144" s="25" t="str">
        <f t="shared" si="46"/>
        <v>Ind</v>
      </c>
      <c r="E144" s="5" cm="1">
        <f t="array" ref="E144">+$I$123*$G125*_xlfn.XLOOKUP($D144,_xlfn.ANCHORARRAY($I$118),$L$118:$L$120,,0)*_xlfn.XLOOKUP($D144,$D$131:$D$133,E$131:E$133,,0)</f>
        <v>0</v>
      </c>
      <c r="F144" s="6" cm="1">
        <f t="array" ref="F144">+$I$123*$G125*_xlfn.XLOOKUP($D144,_xlfn.ANCHORARRAY($I$118),$L$118:$L$120,,0)*_xlfn.XLOOKUP($D144,$D$131:$D$133,F$131:F$133,,0)</f>
        <v>0</v>
      </c>
      <c r="G144" s="6" cm="1">
        <f t="array" ref="G144">+$I$123*$G125*_xlfn.XLOOKUP($D144,_xlfn.ANCHORARRAY($I$118),$L$118:$L$120,,0)*_xlfn.XLOOKUP($D144,$D$131:$D$133,G$131:G$133,,0)</f>
        <v>0</v>
      </c>
      <c r="H144" s="6" cm="1">
        <f t="array" ref="H144">+$I$123*$G125*_xlfn.XLOOKUP($D144,_xlfn.ANCHORARRAY($I$118),$L$118:$L$120,,0)*_xlfn.XLOOKUP($D144,$D$131:$D$133,H$131:H$133,,0)</f>
        <v>0</v>
      </c>
      <c r="I144" s="6" cm="1">
        <f t="array" ref="I144">+$I$123*$G125*_xlfn.XLOOKUP($D144,_xlfn.ANCHORARRAY($I$118),$L$118:$L$120,,0)*_xlfn.XLOOKUP($D144,$D$131:$D$133,I$131:I$133,,0)</f>
        <v>0</v>
      </c>
      <c r="J144" s="6" cm="1">
        <f t="array" ref="J144">+$I$123*$G125*_xlfn.XLOOKUP($D144,_xlfn.ANCHORARRAY($I$118),$L$118:$L$120,,0)*_xlfn.XLOOKUP($D144,$D$131:$D$133,J$131:J$133,,0)</f>
        <v>0</v>
      </c>
      <c r="K144" s="6" cm="1">
        <f t="array" ref="K144">+$I$123*$G125*_xlfn.XLOOKUP($D144,_xlfn.ANCHORARRAY($I$118),$L$118:$L$120,,0)*_xlfn.XLOOKUP($D144,$D$131:$D$133,K$131:K$133,,0)</f>
        <v>0</v>
      </c>
      <c r="L144" s="6" cm="1">
        <f t="array" ref="L144">+$I$123*$G125*_xlfn.XLOOKUP($D144,_xlfn.ANCHORARRAY($I$118),$L$118:$L$120,,0)*_xlfn.XLOOKUP($D144,$D$131:$D$133,L$131:L$133,,0)</f>
        <v>0</v>
      </c>
      <c r="M144" s="7" cm="1">
        <f t="array" ref="M144">+$I$123*$G125*_xlfn.XLOOKUP($D144,_xlfn.ANCHORARRAY($I$118),$L$118:$L$120,,0)*_xlfn.XLOOKUP($D144,$D$131:$D$133,M$131:M$133,,0)</f>
        <v>0</v>
      </c>
      <c r="N144" s="18"/>
    </row>
    <row r="145" spans="3:23" x14ac:dyDescent="0.25">
      <c r="C145" s="20" t="s">
        <v>11</v>
      </c>
      <c r="D145" s="25" t="str">
        <f t="shared" si="46"/>
        <v>Serv</v>
      </c>
      <c r="E145" s="9" cm="1">
        <f t="array" ref="E145">+$I$123*$G126*_xlfn.XLOOKUP($D145,_xlfn.ANCHORARRAY($I$118),$L$118:$L$120,,0)*_xlfn.XLOOKUP($D145,$D$131:$D$133,E$131:E$133,,0)</f>
        <v>0</v>
      </c>
      <c r="F145" s="10" cm="1">
        <f t="array" ref="F145">+$I$123*$G126*_xlfn.XLOOKUP($D145,_xlfn.ANCHORARRAY($I$118),$L$118:$L$120,,0)*_xlfn.XLOOKUP($D145,$D$131:$D$133,F$131:F$133,,0)</f>
        <v>0</v>
      </c>
      <c r="G145" s="10" cm="1">
        <f t="array" ref="G145">+$I$123*$G126*_xlfn.XLOOKUP($D145,_xlfn.ANCHORARRAY($I$118),$L$118:$L$120,,0)*_xlfn.XLOOKUP($D145,$D$131:$D$133,G$131:G$133,,0)</f>
        <v>1.1316685280523764E-2</v>
      </c>
      <c r="H145" s="10" cm="1">
        <f t="array" ref="H145">+$I$123*$G126*_xlfn.XLOOKUP($D145,_xlfn.ANCHORARRAY($I$118),$L$118:$L$120,,0)*_xlfn.XLOOKUP($D145,$D$131:$D$133,H$131:H$133,,0)</f>
        <v>0</v>
      </c>
      <c r="I145" s="10" cm="1">
        <f t="array" ref="I145">+$I$123*$G126*_xlfn.XLOOKUP($D145,_xlfn.ANCHORARRAY($I$118),$L$118:$L$120,,0)*_xlfn.XLOOKUP($D145,$D$131:$D$133,I$131:I$133,,0)</f>
        <v>0</v>
      </c>
      <c r="J145" s="10" cm="1">
        <f t="array" ref="J145">+$I$123*$G126*_xlfn.XLOOKUP($D145,_xlfn.ANCHORARRAY($I$118),$L$118:$L$120,,0)*_xlfn.XLOOKUP($D145,$D$131:$D$133,J$131:J$133,,0)</f>
        <v>2.6884460594216675E-2</v>
      </c>
      <c r="K145" s="10" cm="1">
        <f t="array" ref="K145">+$I$123*$G126*_xlfn.XLOOKUP($D145,_xlfn.ANCHORARRAY($I$118),$L$118:$L$120,,0)*_xlfn.XLOOKUP($D145,$D$131:$D$133,K$131:K$133,,0)</f>
        <v>0</v>
      </c>
      <c r="L145" s="10" cm="1">
        <f t="array" ref="L145">+$I$123*$G126*_xlfn.XLOOKUP($D145,_xlfn.ANCHORARRAY($I$118),$L$118:$L$120,,0)*_xlfn.XLOOKUP($D145,$D$131:$D$133,L$131:L$133,,0)</f>
        <v>0</v>
      </c>
      <c r="M145" s="11" cm="1">
        <f t="array" ref="M145">+$I$123*$G126*_xlfn.XLOOKUP($D145,_xlfn.ANCHORARRAY($I$118),$L$118:$L$120,,0)*_xlfn.XLOOKUP($D145,$D$131:$D$133,M$131:M$133,,0)</f>
        <v>0</v>
      </c>
      <c r="N145" s="18"/>
    </row>
    <row r="146" spans="3:23" x14ac:dyDescent="0.25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3" x14ac:dyDescent="0.25">
      <c r="O147" s="19"/>
    </row>
    <row r="148" spans="3:23" ht="15.75" thickBot="1" x14ac:dyDescent="0.3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3" ht="15.75" thickBot="1" x14ac:dyDescent="0.3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3" x14ac:dyDescent="0.25">
      <c r="C150" s="20" t="s">
        <v>1</v>
      </c>
      <c r="D150" s="28" t="s">
        <v>51</v>
      </c>
      <c r="E150" s="1">
        <f>+MIN(E78,E94)+E137</f>
        <v>8.6350593836610319</v>
      </c>
      <c r="F150" s="2">
        <f t="shared" ref="F150:M150" si="47">+MIN(F78,F94)+F137</f>
        <v>4.2142661031465458</v>
      </c>
      <c r="G150" s="2">
        <f t="shared" si="47"/>
        <v>9.1520484727176559</v>
      </c>
      <c r="H150" s="2">
        <f t="shared" si="47"/>
        <v>0.89265394224530792</v>
      </c>
      <c r="I150" s="2">
        <f t="shared" si="47"/>
        <v>0</v>
      </c>
      <c r="J150" s="2">
        <f t="shared" si="47"/>
        <v>7.4852098338910791</v>
      </c>
      <c r="K150" s="2">
        <f t="shared" si="47"/>
        <v>2.5027511592605274</v>
      </c>
      <c r="L150" s="2">
        <f t="shared" si="47"/>
        <v>6.3662603755259992</v>
      </c>
      <c r="M150" s="3">
        <f t="shared" si="47"/>
        <v>1.724283491332218</v>
      </c>
      <c r="N150" s="19">
        <f>+E150-E5</f>
        <v>-1.3649406163389681</v>
      </c>
      <c r="O150" s="19">
        <f t="shared" ref="O150:V158" si="48">+F150-F5</f>
        <v>-0.78573389685345418</v>
      </c>
      <c r="P150" s="19">
        <f t="shared" si="48"/>
        <v>-0.84795152728234413</v>
      </c>
      <c r="Q150" s="19">
        <f t="shared" si="48"/>
        <v>-0.10734605775469208</v>
      </c>
      <c r="R150" s="19">
        <f t="shared" si="48"/>
        <v>0</v>
      </c>
      <c r="S150" s="19">
        <f t="shared" si="48"/>
        <v>-0.51479016610892092</v>
      </c>
      <c r="T150" s="19">
        <f t="shared" si="48"/>
        <v>-0.49724884073947262</v>
      </c>
      <c r="U150" s="19">
        <f t="shared" si="48"/>
        <v>-0.63373962447400078</v>
      </c>
      <c r="V150" s="19">
        <f t="shared" si="48"/>
        <v>-0.27571650866778197</v>
      </c>
      <c r="W150" s="16">
        <f>+SUM(N150:V150)</f>
        <v>-5.0274672382196348</v>
      </c>
    </row>
    <row r="151" spans="3:23" x14ac:dyDescent="0.25">
      <c r="C151" s="20" t="s">
        <v>1</v>
      </c>
      <c r="D151" s="25" t="s">
        <v>52</v>
      </c>
      <c r="E151" s="5">
        <f t="shared" ref="E151:M158" si="49">+MIN(E79,E95)+E138</f>
        <v>6.9080475069288259</v>
      </c>
      <c r="F151" s="6">
        <f t="shared" si="49"/>
        <v>2.5285596618879271</v>
      </c>
      <c r="G151" s="6">
        <f t="shared" si="49"/>
        <v>8.2154625418811786</v>
      </c>
      <c r="H151" s="6">
        <f t="shared" si="49"/>
        <v>3.5706157689812317</v>
      </c>
      <c r="I151" s="6">
        <f t="shared" si="49"/>
        <v>1.7491490185039029</v>
      </c>
      <c r="J151" s="6">
        <f t="shared" si="49"/>
        <v>9.234422302971085</v>
      </c>
      <c r="K151" s="6">
        <f t="shared" si="49"/>
        <v>0.83425038642017568</v>
      </c>
      <c r="L151" s="6">
        <f t="shared" si="49"/>
        <v>3.6237354196826077</v>
      </c>
      <c r="M151" s="7">
        <f t="shared" si="49"/>
        <v>6.0349922196627626</v>
      </c>
      <c r="N151" s="19">
        <f t="shared" ref="N151:N158" si="50">+E151-E6</f>
        <v>-1.0919524930711741</v>
      </c>
      <c r="O151" s="19">
        <f t="shared" si="48"/>
        <v>-0.47144033811207287</v>
      </c>
      <c r="P151" s="19">
        <f t="shared" si="48"/>
        <v>-0.78453745811882136</v>
      </c>
      <c r="Q151" s="19">
        <f t="shared" si="48"/>
        <v>-0.42938423101876833</v>
      </c>
      <c r="R151" s="19">
        <f t="shared" si="48"/>
        <v>-0.25085098149609708</v>
      </c>
      <c r="S151" s="19">
        <f t="shared" si="48"/>
        <v>-0.76557769702891498</v>
      </c>
      <c r="T151" s="19">
        <f t="shared" si="48"/>
        <v>-0.16574961357982432</v>
      </c>
      <c r="U151" s="19">
        <f t="shared" si="48"/>
        <v>-0.37626458031739229</v>
      </c>
      <c r="V151" s="19">
        <f t="shared" si="48"/>
        <v>-0.96500778033723744</v>
      </c>
      <c r="W151" s="16">
        <f t="shared" ref="W151:W158" si="51">+SUM(N151:V151)</f>
        <v>-5.3007651730803031</v>
      </c>
    </row>
    <row r="152" spans="3:23" x14ac:dyDescent="0.25">
      <c r="C152" s="20" t="s">
        <v>1</v>
      </c>
      <c r="D152" s="25" t="s">
        <v>53</v>
      </c>
      <c r="E152" s="5">
        <f t="shared" si="49"/>
        <v>0</v>
      </c>
      <c r="F152" s="6">
        <f t="shared" si="49"/>
        <v>0</v>
      </c>
      <c r="G152" s="6">
        <f t="shared" si="49"/>
        <v>0</v>
      </c>
      <c r="H152" s="6">
        <f t="shared" si="49"/>
        <v>6.2485775957171557</v>
      </c>
      <c r="I152" s="6">
        <f t="shared" si="49"/>
        <v>3.4982980370078058</v>
      </c>
      <c r="J152" s="6">
        <f t="shared" si="49"/>
        <v>3.6937689211884335</v>
      </c>
      <c r="K152" s="6">
        <f t="shared" si="49"/>
        <v>5.8397527049412306</v>
      </c>
      <c r="L152" s="6">
        <f t="shared" si="49"/>
        <v>3.6237354196826077</v>
      </c>
      <c r="M152" s="7">
        <f t="shared" si="49"/>
        <v>6.0349922196627626</v>
      </c>
      <c r="N152" s="19">
        <f t="shared" si="50"/>
        <v>0</v>
      </c>
      <c r="O152" s="19">
        <f t="shared" si="48"/>
        <v>0</v>
      </c>
      <c r="P152" s="19">
        <f t="shared" si="48"/>
        <v>0</v>
      </c>
      <c r="Q152" s="19">
        <f t="shared" si="48"/>
        <v>-0.75142240428284435</v>
      </c>
      <c r="R152" s="19">
        <f t="shared" si="48"/>
        <v>-0.50170196299219416</v>
      </c>
      <c r="S152" s="19">
        <f t="shared" si="48"/>
        <v>-0.30623107881156653</v>
      </c>
      <c r="T152" s="19">
        <f t="shared" si="48"/>
        <v>-1.1602472950587694</v>
      </c>
      <c r="U152" s="19">
        <f t="shared" si="48"/>
        <v>-0.37626458031739229</v>
      </c>
      <c r="V152" s="19">
        <f t="shared" si="48"/>
        <v>-0.96500778033723744</v>
      </c>
      <c r="W152" s="16">
        <f t="shared" si="51"/>
        <v>-4.0608751018000042</v>
      </c>
    </row>
    <row r="153" spans="3:23" x14ac:dyDescent="0.25">
      <c r="C153" s="20" t="s">
        <v>10</v>
      </c>
      <c r="D153" s="25" t="str">
        <f>+D150</f>
        <v>Agr</v>
      </c>
      <c r="E153" s="5">
        <f t="shared" si="49"/>
        <v>7.7715534452949289</v>
      </c>
      <c r="F153" s="6">
        <f t="shared" si="49"/>
        <v>4.2142661031465458</v>
      </c>
      <c r="G153" s="6">
        <f t="shared" si="49"/>
        <v>3.6</v>
      </c>
      <c r="H153" s="6">
        <f t="shared" si="49"/>
        <v>6.2485775957171557</v>
      </c>
      <c r="I153" s="6">
        <f t="shared" si="49"/>
        <v>8.745745092519515</v>
      </c>
      <c r="J153" s="6">
        <f t="shared" si="49"/>
        <v>8.1</v>
      </c>
      <c r="K153" s="6">
        <f t="shared" si="49"/>
        <v>8.3425038642017579</v>
      </c>
      <c r="L153" s="6">
        <f t="shared" si="49"/>
        <v>8.1</v>
      </c>
      <c r="M153" s="7">
        <f t="shared" si="49"/>
        <v>7.7592757109949808</v>
      </c>
      <c r="N153" s="19">
        <f t="shared" si="50"/>
        <v>-1.2284465547050711</v>
      </c>
      <c r="O153" s="19">
        <f t="shared" si="48"/>
        <v>-0.78573389685345418</v>
      </c>
      <c r="P153" s="19">
        <f t="shared" si="48"/>
        <v>-0.39999999999999991</v>
      </c>
      <c r="Q153" s="19">
        <f t="shared" si="48"/>
        <v>-0.75142240428284435</v>
      </c>
      <c r="R153" s="19">
        <f t="shared" si="48"/>
        <v>-1.254254907480485</v>
      </c>
      <c r="S153" s="19">
        <f t="shared" si="48"/>
        <v>-0.90000000000000036</v>
      </c>
      <c r="T153" s="19">
        <f t="shared" si="48"/>
        <v>-1.6574961357982421</v>
      </c>
      <c r="U153" s="19">
        <f t="shared" si="48"/>
        <v>-0.90000000000000036</v>
      </c>
      <c r="V153" s="19">
        <f t="shared" si="48"/>
        <v>-1.2407242890050192</v>
      </c>
      <c r="W153" s="16">
        <f t="shared" si="51"/>
        <v>-9.1180781881251161</v>
      </c>
    </row>
    <row r="154" spans="3:23" x14ac:dyDescent="0.25">
      <c r="C154" s="20" t="s">
        <v>10</v>
      </c>
      <c r="D154" s="25" t="str">
        <f t="shared" ref="D154:D158" si="52">+D151</f>
        <v>Ind</v>
      </c>
      <c r="E154" s="5">
        <f t="shared" si="49"/>
        <v>3.4540237534644129</v>
      </c>
      <c r="F154" s="6">
        <f t="shared" si="49"/>
        <v>1.685706441258618</v>
      </c>
      <c r="G154" s="6">
        <f t="shared" si="49"/>
        <v>2.7384875139603926</v>
      </c>
      <c r="H154" s="6">
        <f t="shared" si="49"/>
        <v>5.3559236534718471</v>
      </c>
      <c r="I154" s="6">
        <f t="shared" si="49"/>
        <v>6.1220215647636609</v>
      </c>
      <c r="J154" s="6">
        <f t="shared" si="49"/>
        <v>3.6937689211884335</v>
      </c>
      <c r="K154" s="6">
        <f t="shared" si="49"/>
        <v>7.5082534777815813</v>
      </c>
      <c r="L154" s="6">
        <f t="shared" si="49"/>
        <v>1.8118677098413039</v>
      </c>
      <c r="M154" s="7">
        <f t="shared" si="49"/>
        <v>6.8971339653288721</v>
      </c>
      <c r="N154" s="19">
        <f t="shared" si="50"/>
        <v>-0.54597624653558707</v>
      </c>
      <c r="O154" s="19">
        <f t="shared" si="48"/>
        <v>-0.31429355874138198</v>
      </c>
      <c r="P154" s="19">
        <f t="shared" si="48"/>
        <v>-0.26151248603960742</v>
      </c>
      <c r="Q154" s="19">
        <f t="shared" si="48"/>
        <v>-0.64407634652815293</v>
      </c>
      <c r="R154" s="19">
        <f t="shared" si="48"/>
        <v>-0.87797843523633912</v>
      </c>
      <c r="S154" s="19">
        <f t="shared" si="48"/>
        <v>-0.30623107881156653</v>
      </c>
      <c r="T154" s="19">
        <f t="shared" si="48"/>
        <v>-1.4917465222184187</v>
      </c>
      <c r="U154" s="19">
        <f t="shared" si="48"/>
        <v>-0.18813229015869615</v>
      </c>
      <c r="V154" s="19">
        <f t="shared" si="48"/>
        <v>-1.1028660346711279</v>
      </c>
      <c r="W154" s="16">
        <f t="shared" si="51"/>
        <v>-5.7328129989408785</v>
      </c>
    </row>
    <row r="155" spans="3:23" x14ac:dyDescent="0.25">
      <c r="C155" s="20" t="s">
        <v>10</v>
      </c>
      <c r="D155" s="25" t="str">
        <f t="shared" si="52"/>
        <v>Serv</v>
      </c>
      <c r="E155" s="5">
        <f t="shared" si="49"/>
        <v>5.1810356301966189</v>
      </c>
      <c r="F155" s="6">
        <f t="shared" si="49"/>
        <v>4.2142661031465458</v>
      </c>
      <c r="G155" s="6">
        <f t="shared" si="49"/>
        <v>3.64</v>
      </c>
      <c r="H155" s="6">
        <f t="shared" si="49"/>
        <v>0.89265394224530792</v>
      </c>
      <c r="I155" s="6">
        <f t="shared" si="49"/>
        <v>7.8711705832675634</v>
      </c>
      <c r="J155" s="6">
        <f t="shared" si="49"/>
        <v>1.82</v>
      </c>
      <c r="K155" s="6">
        <f t="shared" si="49"/>
        <v>0.83425038642017568</v>
      </c>
      <c r="L155" s="6">
        <f t="shared" si="49"/>
        <v>5.4356031295239111</v>
      </c>
      <c r="M155" s="7">
        <f t="shared" si="49"/>
        <v>0.86214174566610902</v>
      </c>
      <c r="N155" s="19">
        <f t="shared" si="50"/>
        <v>-0.81896436980338105</v>
      </c>
      <c r="O155" s="19">
        <f t="shared" si="48"/>
        <v>-0.78573389685345418</v>
      </c>
      <c r="P155" s="19">
        <f t="shared" si="48"/>
        <v>-0.35999999999999988</v>
      </c>
      <c r="Q155" s="19">
        <f t="shared" si="48"/>
        <v>-0.10734605775469208</v>
      </c>
      <c r="R155" s="19">
        <f t="shared" si="48"/>
        <v>-1.1288294167324366</v>
      </c>
      <c r="S155" s="19">
        <f t="shared" si="48"/>
        <v>-0.17999999999999994</v>
      </c>
      <c r="T155" s="19">
        <f t="shared" si="48"/>
        <v>-0.16574961357982432</v>
      </c>
      <c r="U155" s="19">
        <f t="shared" si="48"/>
        <v>-0.56439687047608889</v>
      </c>
      <c r="V155" s="19">
        <f t="shared" si="48"/>
        <v>-0.13785825433389098</v>
      </c>
      <c r="W155" s="16">
        <f t="shared" si="51"/>
        <v>-4.2488784795337677</v>
      </c>
    </row>
    <row r="156" spans="3:23" x14ac:dyDescent="0.25">
      <c r="C156" s="20" t="s">
        <v>11</v>
      </c>
      <c r="D156" s="25" t="str">
        <f t="shared" si="52"/>
        <v>Agr</v>
      </c>
      <c r="E156" s="5">
        <f t="shared" si="49"/>
        <v>2.5905178150983095</v>
      </c>
      <c r="F156" s="6">
        <f t="shared" si="49"/>
        <v>8.4285322062930916</v>
      </c>
      <c r="G156" s="6">
        <f t="shared" si="49"/>
        <v>7.3301932963252261</v>
      </c>
      <c r="H156" s="6">
        <f t="shared" si="49"/>
        <v>8.0338854802077719</v>
      </c>
      <c r="I156" s="6">
        <f t="shared" si="49"/>
        <v>8.745745092519515</v>
      </c>
      <c r="J156" s="6">
        <f t="shared" si="49"/>
        <v>0.11330808115976385</v>
      </c>
      <c r="K156" s="6">
        <f t="shared" si="49"/>
        <v>5.8397527049412306</v>
      </c>
      <c r="L156" s="6">
        <f t="shared" si="49"/>
        <v>8.1820859974903009</v>
      </c>
      <c r="M156" s="7">
        <f t="shared" si="49"/>
        <v>6.8971339653288721</v>
      </c>
      <c r="N156" s="19">
        <f t="shared" si="50"/>
        <v>-0.40948218490169053</v>
      </c>
      <c r="O156" s="19">
        <f t="shared" si="48"/>
        <v>-1.5714677937069084</v>
      </c>
      <c r="P156" s="19">
        <f t="shared" si="48"/>
        <v>-0.66980670367477391</v>
      </c>
      <c r="Q156" s="19">
        <f t="shared" si="48"/>
        <v>-0.96611451979222807</v>
      </c>
      <c r="R156" s="19">
        <f t="shared" si="48"/>
        <v>-1.254254907480485</v>
      </c>
      <c r="S156" s="19">
        <f t="shared" si="48"/>
        <v>0.11330808115976385</v>
      </c>
      <c r="T156" s="19">
        <f t="shared" si="48"/>
        <v>-1.1602472950587694</v>
      </c>
      <c r="U156" s="19">
        <f t="shared" si="48"/>
        <v>-0.81791400250969915</v>
      </c>
      <c r="V156" s="19">
        <f t="shared" si="48"/>
        <v>-1.1028660346711279</v>
      </c>
      <c r="W156" s="16">
        <f t="shared" si="51"/>
        <v>-7.8388453606359176</v>
      </c>
    </row>
    <row r="157" spans="3:23" x14ac:dyDescent="0.25">
      <c r="C157" s="20" t="s">
        <v>11</v>
      </c>
      <c r="D157" s="25" t="str">
        <f t="shared" si="52"/>
        <v>Ind</v>
      </c>
      <c r="E157" s="5">
        <f t="shared" si="49"/>
        <v>0.86350593836610323</v>
      </c>
      <c r="F157" s="6">
        <f t="shared" si="49"/>
        <v>6.7428257650344721</v>
      </c>
      <c r="G157" s="6">
        <f t="shared" si="49"/>
        <v>0</v>
      </c>
      <c r="H157" s="6">
        <f t="shared" si="49"/>
        <v>8.0338854802077719</v>
      </c>
      <c r="I157" s="6">
        <f t="shared" si="49"/>
        <v>0</v>
      </c>
      <c r="J157" s="6">
        <f t="shared" si="49"/>
        <v>0</v>
      </c>
      <c r="K157" s="6">
        <f t="shared" si="49"/>
        <v>6.6740030913614055</v>
      </c>
      <c r="L157" s="6">
        <f t="shared" si="49"/>
        <v>9.0593385492065188</v>
      </c>
      <c r="M157" s="7">
        <f t="shared" si="49"/>
        <v>0.86214174566610902</v>
      </c>
      <c r="N157" s="19">
        <f t="shared" si="50"/>
        <v>-0.13649406163389677</v>
      </c>
      <c r="O157" s="19">
        <f t="shared" si="48"/>
        <v>-1.2571742349655279</v>
      </c>
      <c r="P157" s="19">
        <f t="shared" si="48"/>
        <v>0</v>
      </c>
      <c r="Q157" s="19">
        <f t="shared" si="48"/>
        <v>-0.96611451979222807</v>
      </c>
      <c r="R157" s="19">
        <f t="shared" si="48"/>
        <v>0</v>
      </c>
      <c r="S157" s="19">
        <f t="shared" si="48"/>
        <v>0</v>
      </c>
      <c r="T157" s="19">
        <f t="shared" si="48"/>
        <v>-1.3259969086385945</v>
      </c>
      <c r="U157" s="19">
        <f t="shared" si="48"/>
        <v>-0.94066145079348118</v>
      </c>
      <c r="V157" s="19">
        <f t="shared" si="48"/>
        <v>-0.13785825433389098</v>
      </c>
      <c r="W157" s="16">
        <f t="shared" si="51"/>
        <v>-4.76429943015762</v>
      </c>
    </row>
    <row r="158" spans="3:23" x14ac:dyDescent="0.25">
      <c r="C158" s="20" t="s">
        <v>11</v>
      </c>
      <c r="D158" s="25" t="str">
        <f t="shared" si="52"/>
        <v>Serv</v>
      </c>
      <c r="E158" s="9">
        <f t="shared" si="49"/>
        <v>8.6350593836610319</v>
      </c>
      <c r="F158" s="10">
        <f t="shared" si="49"/>
        <v>1.685706441258618</v>
      </c>
      <c r="G158" s="10">
        <f t="shared" si="49"/>
        <v>3.6626333705610477</v>
      </c>
      <c r="H158" s="10">
        <f t="shared" si="49"/>
        <v>8.9265394224530787</v>
      </c>
      <c r="I158" s="10">
        <f t="shared" si="49"/>
        <v>0</v>
      </c>
      <c r="J158" s="10">
        <f t="shared" si="49"/>
        <v>2.6884460594216675E-2</v>
      </c>
      <c r="K158" s="10">
        <f t="shared" si="49"/>
        <v>2.5027511592605274</v>
      </c>
      <c r="L158" s="10">
        <f t="shared" si="49"/>
        <v>0</v>
      </c>
      <c r="M158" s="11">
        <f t="shared" si="49"/>
        <v>6.0349922196627626</v>
      </c>
      <c r="N158" s="19">
        <f t="shared" si="50"/>
        <v>-1.3649406163389681</v>
      </c>
      <c r="O158" s="19">
        <f t="shared" si="48"/>
        <v>-0.31429355874138198</v>
      </c>
      <c r="P158" s="19">
        <f t="shared" si="48"/>
        <v>-0.33736662943895235</v>
      </c>
      <c r="Q158" s="19">
        <f t="shared" si="48"/>
        <v>-1.0734605775469213</v>
      </c>
      <c r="R158" s="19">
        <f t="shared" si="48"/>
        <v>0</v>
      </c>
      <c r="S158" s="19">
        <f t="shared" si="48"/>
        <v>2.6884460594216675E-2</v>
      </c>
      <c r="T158" s="19">
        <f t="shared" si="48"/>
        <v>-0.49724884073947262</v>
      </c>
      <c r="U158" s="19">
        <f t="shared" si="48"/>
        <v>0</v>
      </c>
      <c r="V158" s="19">
        <f t="shared" si="48"/>
        <v>-0.96500778033723744</v>
      </c>
      <c r="W158" s="16">
        <f t="shared" si="51"/>
        <v>-4.5254335425487167</v>
      </c>
    </row>
    <row r="159" spans="3:23" x14ac:dyDescent="0.25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365.3825444869579</v>
      </c>
      <c r="O159" s="18"/>
    </row>
    <row r="161" spans="1:23" x14ac:dyDescent="0.25">
      <c r="A161" s="66"/>
    </row>
    <row r="162" spans="1:23" ht="15.75" thickBot="1" x14ac:dyDescent="0.3">
      <c r="A162" s="68" t="s">
        <v>41</v>
      </c>
      <c r="E162" s="20" t="s">
        <v>1</v>
      </c>
      <c r="F162" s="20" t="s">
        <v>1</v>
      </c>
      <c r="G162" s="20" t="s">
        <v>1</v>
      </c>
      <c r="H162" s="20" t="s">
        <v>10</v>
      </c>
      <c r="I162" s="20" t="s">
        <v>10</v>
      </c>
      <c r="J162" s="20" t="s">
        <v>10</v>
      </c>
      <c r="K162" s="20" t="s">
        <v>11</v>
      </c>
      <c r="L162" s="20" t="s">
        <v>11</v>
      </c>
      <c r="M162" s="20" t="s">
        <v>11</v>
      </c>
    </row>
    <row r="163" spans="1:23" ht="15.75" thickBot="1" x14ac:dyDescent="0.3">
      <c r="D163" s="23" t="s">
        <v>42</v>
      </c>
      <c r="E163" s="27" t="s">
        <v>51</v>
      </c>
      <c r="F163" s="26" t="s">
        <v>52</v>
      </c>
      <c r="G163" s="26" t="s">
        <v>53</v>
      </c>
      <c r="H163" s="26" t="s">
        <v>51</v>
      </c>
      <c r="I163" s="26" t="s">
        <v>52</v>
      </c>
      <c r="J163" s="26" t="s">
        <v>53</v>
      </c>
      <c r="K163" s="26" t="s">
        <v>51</v>
      </c>
      <c r="L163" s="26" t="s">
        <v>52</v>
      </c>
      <c r="M163" s="26" t="s">
        <v>53</v>
      </c>
    </row>
    <row r="164" spans="1:23" x14ac:dyDescent="0.25">
      <c r="D164" s="28" t="str" cm="1">
        <f t="array" ref="D164:D166">+_xlfn.UNIQUE($D$150:$D$158)</f>
        <v>Agr</v>
      </c>
      <c r="E164" s="1">
        <f>+SUMIF($D$5:$D$13,$D164,E$5:E$13)</f>
        <v>22</v>
      </c>
      <c r="F164" s="2">
        <f t="shared" ref="F164:M166" si="53">+SUMIF($D$5:$D$13,$D164,F$5:F$13)</f>
        <v>20</v>
      </c>
      <c r="G164" s="2">
        <f t="shared" si="53"/>
        <v>22</v>
      </c>
      <c r="H164" s="2">
        <f t="shared" si="53"/>
        <v>17</v>
      </c>
      <c r="I164" s="2">
        <f t="shared" si="53"/>
        <v>20</v>
      </c>
      <c r="J164" s="2">
        <f t="shared" si="53"/>
        <v>17</v>
      </c>
      <c r="K164" s="2">
        <f t="shared" si="53"/>
        <v>20</v>
      </c>
      <c r="L164" s="2">
        <f t="shared" si="53"/>
        <v>25</v>
      </c>
      <c r="M164" s="3">
        <f t="shared" si="53"/>
        <v>19</v>
      </c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x14ac:dyDescent="0.25">
      <c r="D165" s="25" t="str">
        <v>Ind</v>
      </c>
      <c r="E165" s="5">
        <f t="shared" ref="E165:E166" si="54">+SUMIF($D$5:$D$13,$D165,E$5:E$13)</f>
        <v>13</v>
      </c>
      <c r="F165" s="6">
        <f t="shared" si="53"/>
        <v>13</v>
      </c>
      <c r="G165" s="6">
        <f t="shared" si="53"/>
        <v>12</v>
      </c>
      <c r="H165" s="6">
        <f t="shared" si="53"/>
        <v>19</v>
      </c>
      <c r="I165" s="6">
        <f t="shared" si="53"/>
        <v>9</v>
      </c>
      <c r="J165" s="6">
        <f t="shared" si="53"/>
        <v>14</v>
      </c>
      <c r="K165" s="6">
        <f t="shared" si="53"/>
        <v>18</v>
      </c>
      <c r="L165" s="6">
        <f t="shared" si="53"/>
        <v>16</v>
      </c>
      <c r="M165" s="7">
        <f t="shared" si="53"/>
        <v>16</v>
      </c>
      <c r="O165" s="18"/>
      <c r="P165" s="18"/>
      <c r="Q165" s="18"/>
      <c r="R165" s="18"/>
      <c r="S165" s="18"/>
      <c r="T165" s="18"/>
      <c r="U165" s="18"/>
      <c r="V165" s="18"/>
      <c r="W165" s="18"/>
    </row>
    <row r="166" spans="1:23" x14ac:dyDescent="0.25">
      <c r="D166" s="25" t="str">
        <v>Serv</v>
      </c>
      <c r="E166" s="9">
        <f t="shared" si="54"/>
        <v>16</v>
      </c>
      <c r="F166" s="10">
        <f t="shared" si="53"/>
        <v>7</v>
      </c>
      <c r="G166" s="10">
        <f t="shared" si="53"/>
        <v>8</v>
      </c>
      <c r="H166" s="10">
        <f t="shared" si="53"/>
        <v>18</v>
      </c>
      <c r="I166" s="10">
        <f t="shared" si="53"/>
        <v>13</v>
      </c>
      <c r="J166" s="10">
        <f t="shared" si="53"/>
        <v>6</v>
      </c>
      <c r="K166" s="10">
        <f t="shared" si="53"/>
        <v>11</v>
      </c>
      <c r="L166" s="10">
        <f t="shared" si="53"/>
        <v>10</v>
      </c>
      <c r="M166" s="11">
        <f t="shared" si="53"/>
        <v>15</v>
      </c>
      <c r="O166" s="18"/>
      <c r="P166" s="18"/>
      <c r="Q166" s="18"/>
      <c r="R166" s="18"/>
      <c r="S166" s="18"/>
      <c r="T166" s="18"/>
      <c r="U166" s="18"/>
      <c r="V166" s="18"/>
      <c r="W166" s="18"/>
    </row>
    <row r="167" spans="1:23" x14ac:dyDescent="0.25">
      <c r="D167" s="25" t="s">
        <v>8</v>
      </c>
      <c r="E167" s="70">
        <f>+E15</f>
        <v>71</v>
      </c>
      <c r="F167" s="71">
        <f t="shared" ref="F167:M167" si="55">+F15</f>
        <v>55</v>
      </c>
      <c r="G167" s="71">
        <f t="shared" si="55"/>
        <v>47</v>
      </c>
      <c r="H167" s="71">
        <f t="shared" si="55"/>
        <v>82</v>
      </c>
      <c r="I167" s="71">
        <f t="shared" si="55"/>
        <v>50</v>
      </c>
      <c r="J167" s="71">
        <f t="shared" si="55"/>
        <v>55</v>
      </c>
      <c r="K167" s="71">
        <f t="shared" si="55"/>
        <v>79</v>
      </c>
      <c r="L167" s="71">
        <f t="shared" si="55"/>
        <v>65</v>
      </c>
      <c r="M167" s="72">
        <f t="shared" si="55"/>
        <v>60</v>
      </c>
      <c r="N167" s="19"/>
      <c r="O167" s="18"/>
      <c r="P167" s="18"/>
      <c r="Q167" s="18"/>
      <c r="R167" s="18"/>
      <c r="S167" s="18"/>
      <c r="T167" s="18"/>
      <c r="U167" s="18"/>
      <c r="V167" s="18"/>
      <c r="W167" s="18"/>
    </row>
    <row r="168" spans="1:23" x14ac:dyDescent="0.25">
      <c r="O168" s="18"/>
      <c r="P168" s="18"/>
      <c r="Q168" s="18"/>
      <c r="R168" s="18"/>
      <c r="S168" s="18"/>
      <c r="T168" s="18"/>
      <c r="U168" s="18"/>
      <c r="V168" s="18"/>
      <c r="W168" s="18"/>
    </row>
    <row r="169" spans="1:23" ht="15.75" thickBot="1" x14ac:dyDescent="0.3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  <c r="O169" s="18"/>
      <c r="P169" s="18"/>
      <c r="Q169" s="18"/>
      <c r="R169" s="18"/>
      <c r="S169" s="18"/>
      <c r="T169" s="18"/>
      <c r="U169" s="18"/>
      <c r="V169" s="18"/>
      <c r="W169" s="18"/>
    </row>
    <row r="170" spans="1:23" ht="15.75" thickBot="1" x14ac:dyDescent="0.3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  <c r="O170" s="18"/>
      <c r="P170" s="18"/>
      <c r="Q170" s="18"/>
      <c r="R170" s="18"/>
      <c r="S170" s="18"/>
      <c r="T170" s="18"/>
      <c r="U170" s="18"/>
      <c r="V170" s="18"/>
      <c r="W170" s="18"/>
    </row>
    <row r="171" spans="1:23" x14ac:dyDescent="0.25">
      <c r="D171" s="28" t="str" cm="1">
        <f t="array" ref="D171:D173">+_xlfn.UNIQUE($D$150:$D$158)</f>
        <v>Agr</v>
      </c>
      <c r="E171" s="1">
        <f t="shared" ref="E171:M173" si="56">+E164/E$167</f>
        <v>0.30985915492957744</v>
      </c>
      <c r="F171" s="2">
        <f t="shared" si="56"/>
        <v>0.36363636363636365</v>
      </c>
      <c r="G171" s="2">
        <f t="shared" si="56"/>
        <v>0.46808510638297873</v>
      </c>
      <c r="H171" s="2">
        <f t="shared" si="56"/>
        <v>0.2073170731707317</v>
      </c>
      <c r="I171" s="2">
        <f t="shared" si="56"/>
        <v>0.4</v>
      </c>
      <c r="J171" s="2">
        <f t="shared" si="56"/>
        <v>0.30909090909090908</v>
      </c>
      <c r="K171" s="2">
        <f t="shared" si="56"/>
        <v>0.25316455696202533</v>
      </c>
      <c r="L171" s="2">
        <f t="shared" si="56"/>
        <v>0.38461538461538464</v>
      </c>
      <c r="M171" s="3">
        <f t="shared" si="56"/>
        <v>0.31666666666666665</v>
      </c>
      <c r="O171" s="18"/>
      <c r="P171" s="18"/>
      <c r="Q171" s="18"/>
      <c r="R171" s="18"/>
      <c r="S171" s="18"/>
      <c r="T171" s="18"/>
      <c r="U171" s="18"/>
      <c r="V171" s="18"/>
      <c r="W171" s="18"/>
    </row>
    <row r="172" spans="1:23" x14ac:dyDescent="0.25">
      <c r="D172" s="25" t="str">
        <v>Ind</v>
      </c>
      <c r="E172" s="5">
        <f t="shared" si="56"/>
        <v>0.18309859154929578</v>
      </c>
      <c r="F172" s="6">
        <f t="shared" si="56"/>
        <v>0.23636363636363636</v>
      </c>
      <c r="G172" s="6">
        <f t="shared" si="56"/>
        <v>0.25531914893617019</v>
      </c>
      <c r="H172" s="6">
        <f t="shared" si="56"/>
        <v>0.23170731707317074</v>
      </c>
      <c r="I172" s="6">
        <f t="shared" si="56"/>
        <v>0.18</v>
      </c>
      <c r="J172" s="6">
        <f t="shared" si="56"/>
        <v>0.25454545454545452</v>
      </c>
      <c r="K172" s="6">
        <f t="shared" si="56"/>
        <v>0.22784810126582278</v>
      </c>
      <c r="L172" s="6">
        <f t="shared" si="56"/>
        <v>0.24615384615384617</v>
      </c>
      <c r="M172" s="7">
        <f t="shared" si="56"/>
        <v>0.26666666666666666</v>
      </c>
      <c r="O172" s="18"/>
      <c r="P172" s="18"/>
      <c r="Q172" s="18"/>
      <c r="R172" s="18"/>
      <c r="S172" s="18"/>
      <c r="T172" s="18"/>
      <c r="U172" s="18"/>
      <c r="V172" s="18"/>
      <c r="W172" s="18"/>
    </row>
    <row r="173" spans="1:23" x14ac:dyDescent="0.25">
      <c r="D173" s="25" t="str">
        <v>Serv</v>
      </c>
      <c r="E173" s="9">
        <f t="shared" si="56"/>
        <v>0.22535211267605634</v>
      </c>
      <c r="F173" s="10">
        <f t="shared" si="56"/>
        <v>0.12727272727272726</v>
      </c>
      <c r="G173" s="10">
        <f t="shared" si="56"/>
        <v>0.1702127659574468</v>
      </c>
      <c r="H173" s="10">
        <f t="shared" si="56"/>
        <v>0.21951219512195122</v>
      </c>
      <c r="I173" s="10">
        <f t="shared" si="56"/>
        <v>0.26</v>
      </c>
      <c r="J173" s="10">
        <f t="shared" si="56"/>
        <v>0.10909090909090909</v>
      </c>
      <c r="K173" s="10">
        <f t="shared" si="56"/>
        <v>0.13924050632911392</v>
      </c>
      <c r="L173" s="10">
        <f t="shared" si="56"/>
        <v>0.15384615384615385</v>
      </c>
      <c r="M173" s="11">
        <f t="shared" si="56"/>
        <v>0.25</v>
      </c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3" x14ac:dyDescent="0.25">
      <c r="O174" s="18"/>
      <c r="P174" s="18"/>
      <c r="Q174" s="18"/>
      <c r="R174" s="18"/>
      <c r="S174" s="18"/>
      <c r="T174" s="18"/>
      <c r="U174" s="18"/>
      <c r="V174" s="18"/>
      <c r="W174" s="18"/>
    </row>
    <row r="175" spans="1:23" ht="15.75" thickBot="1" x14ac:dyDescent="0.3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  <c r="O175" s="18"/>
      <c r="P175" s="18"/>
      <c r="Q175" s="18"/>
      <c r="R175" s="18"/>
      <c r="S175" s="18"/>
      <c r="T175" s="18"/>
      <c r="U175" s="18"/>
      <c r="V175" s="18"/>
      <c r="W175" s="18"/>
    </row>
    <row r="176" spans="1:23" ht="15.75" thickBot="1" x14ac:dyDescent="0.3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2:23" x14ac:dyDescent="0.25">
      <c r="D177" s="28" t="str" cm="1">
        <f t="array" ref="D177:D179">+_xlfn.UNIQUE($D$150:$D$158)</f>
        <v>Agr</v>
      </c>
      <c r="E177" s="1">
        <f>+SUMIF($D$150:$D$158,$D177,E$150:E$158)</f>
        <v>18.99713064405427</v>
      </c>
      <c r="F177" s="2">
        <f t="shared" ref="F177:M179" si="57">+SUMIF($D$150:$D$158,$D177,F$150:F$158)</f>
        <v>16.857064412586183</v>
      </c>
      <c r="G177" s="2">
        <f t="shared" si="57"/>
        <v>20.082241769042881</v>
      </c>
      <c r="H177" s="2">
        <f t="shared" si="57"/>
        <v>15.175117018170235</v>
      </c>
      <c r="I177" s="2">
        <f t="shared" si="57"/>
        <v>17.49149018503903</v>
      </c>
      <c r="J177" s="2">
        <f t="shared" si="57"/>
        <v>15.698517915050841</v>
      </c>
      <c r="K177" s="2">
        <f t="shared" si="57"/>
        <v>16.685007728403516</v>
      </c>
      <c r="L177" s="2">
        <f t="shared" si="57"/>
        <v>22.648346373016299</v>
      </c>
      <c r="M177" s="3">
        <f t="shared" si="57"/>
        <v>16.380693167656069</v>
      </c>
      <c r="O177" s="18"/>
      <c r="P177" s="18"/>
      <c r="Q177" s="18"/>
      <c r="R177" s="18"/>
      <c r="S177" s="18"/>
      <c r="T177" s="18"/>
      <c r="U177" s="18"/>
      <c r="V177" s="18"/>
      <c r="W177" s="18"/>
    </row>
    <row r="178" spans="2:23" x14ac:dyDescent="0.25">
      <c r="D178" s="25" t="str">
        <v>Ind</v>
      </c>
      <c r="E178" s="5">
        <f t="shared" ref="E178:E179" si="58">+SUMIF($D$150:$D$158,$D178,E$150:E$158)</f>
        <v>11.225577198759343</v>
      </c>
      <c r="F178" s="6">
        <f t="shared" si="57"/>
        <v>10.957091868181017</v>
      </c>
      <c r="G178" s="6">
        <f t="shared" si="57"/>
        <v>10.95395005584157</v>
      </c>
      <c r="H178" s="6">
        <f t="shared" si="57"/>
        <v>16.960424902660851</v>
      </c>
      <c r="I178" s="6">
        <f t="shared" si="57"/>
        <v>7.8711705832675634</v>
      </c>
      <c r="J178" s="6">
        <f t="shared" si="57"/>
        <v>12.928191224159519</v>
      </c>
      <c r="K178" s="6">
        <f t="shared" si="57"/>
        <v>15.016506955563163</v>
      </c>
      <c r="L178" s="6">
        <f t="shared" si="57"/>
        <v>14.494941678730431</v>
      </c>
      <c r="M178" s="7">
        <f t="shared" si="57"/>
        <v>13.794267930657744</v>
      </c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2:23" x14ac:dyDescent="0.25">
      <c r="D179" s="25" t="str">
        <v>Serv</v>
      </c>
      <c r="E179" s="9">
        <f t="shared" si="58"/>
        <v>13.816095013857652</v>
      </c>
      <c r="F179" s="10">
        <f t="shared" si="57"/>
        <v>5.8999725444051636</v>
      </c>
      <c r="G179" s="10">
        <f t="shared" si="57"/>
        <v>7.3026333705610478</v>
      </c>
      <c r="H179" s="10">
        <f t="shared" si="57"/>
        <v>16.067770960415544</v>
      </c>
      <c r="I179" s="10">
        <f t="shared" si="57"/>
        <v>11.36946862027537</v>
      </c>
      <c r="J179" s="10">
        <f t="shared" si="57"/>
        <v>5.5406533817826507</v>
      </c>
      <c r="K179" s="10">
        <f t="shared" si="57"/>
        <v>9.1767542506219328</v>
      </c>
      <c r="L179" s="10">
        <f t="shared" si="57"/>
        <v>9.0593385492065188</v>
      </c>
      <c r="M179" s="11">
        <f t="shared" si="57"/>
        <v>12.932126184991635</v>
      </c>
      <c r="O179" s="18"/>
      <c r="P179" s="18"/>
      <c r="Q179" s="18"/>
      <c r="R179" s="18"/>
      <c r="S179" s="18"/>
      <c r="T179" s="18"/>
      <c r="U179" s="18"/>
      <c r="V179" s="18"/>
      <c r="W179" s="18"/>
    </row>
    <row r="180" spans="2:23" x14ac:dyDescent="0.25">
      <c r="O180" s="18"/>
      <c r="P180" s="18"/>
      <c r="Q180" s="18"/>
      <c r="R180" s="18"/>
      <c r="S180" s="18"/>
      <c r="T180" s="18"/>
      <c r="U180" s="18"/>
      <c r="V180" s="18"/>
      <c r="W180" s="18"/>
    </row>
    <row r="181" spans="2:23" x14ac:dyDescent="0.25">
      <c r="E181" s="1">
        <f>+E177/E171</f>
        <v>61.308921623993328</v>
      </c>
      <c r="F181" s="2">
        <f t="shared" ref="F181:M181" si="59">+F177/F171</f>
        <v>46.356927134612</v>
      </c>
      <c r="G181" s="2">
        <f t="shared" si="59"/>
        <v>42.902971052046155</v>
      </c>
      <c r="H181" s="2">
        <f t="shared" si="59"/>
        <v>73.197623264115251</v>
      </c>
      <c r="I181" s="2">
        <f t="shared" si="59"/>
        <v>43.728725462597573</v>
      </c>
      <c r="J181" s="2">
        <f t="shared" si="59"/>
        <v>50.789322666340958</v>
      </c>
      <c r="K181" s="2">
        <f t="shared" si="59"/>
        <v>65.905780527193883</v>
      </c>
      <c r="L181" s="2">
        <f t="shared" si="59"/>
        <v>58.885700569842371</v>
      </c>
      <c r="M181" s="3">
        <f t="shared" si="59"/>
        <v>51.728504739966539</v>
      </c>
      <c r="N181" s="19">
        <f t="shared" ref="N181:N183" si="60">+SUM(E181:M181)</f>
        <v>494.80447704070809</v>
      </c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2:23" x14ac:dyDescent="0.25">
      <c r="E182" s="5">
        <f t="shared" ref="E182:M183" si="61">+E178/E172</f>
        <v>61.308921623993328</v>
      </c>
      <c r="F182" s="6">
        <f t="shared" si="61"/>
        <v>46.356927134611993</v>
      </c>
      <c r="G182" s="6">
        <f t="shared" si="61"/>
        <v>42.902971052046155</v>
      </c>
      <c r="H182" s="6">
        <f t="shared" si="61"/>
        <v>73.197623264115251</v>
      </c>
      <c r="I182" s="6">
        <f t="shared" si="61"/>
        <v>43.728725462597573</v>
      </c>
      <c r="J182" s="6">
        <f t="shared" si="61"/>
        <v>50.789322666340972</v>
      </c>
      <c r="K182" s="6">
        <f t="shared" si="61"/>
        <v>65.905780527193883</v>
      </c>
      <c r="L182" s="6">
        <f t="shared" si="61"/>
        <v>58.885700569842371</v>
      </c>
      <c r="M182" s="7">
        <f t="shared" si="61"/>
        <v>51.728504739966539</v>
      </c>
      <c r="N182" s="19">
        <f t="shared" si="60"/>
        <v>494.80447704070804</v>
      </c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2:23" x14ac:dyDescent="0.25">
      <c r="E183" s="73">
        <f t="shared" si="61"/>
        <v>61.308921623993328</v>
      </c>
      <c r="F183" s="74">
        <f t="shared" si="61"/>
        <v>46.356927134612008</v>
      </c>
      <c r="G183" s="74">
        <f t="shared" si="61"/>
        <v>42.902971052046155</v>
      </c>
      <c r="H183" s="74">
        <f t="shared" si="61"/>
        <v>73.197623264115251</v>
      </c>
      <c r="I183" s="74">
        <f t="shared" si="61"/>
        <v>43.728725462597573</v>
      </c>
      <c r="J183" s="74">
        <f t="shared" si="61"/>
        <v>50.789322666340965</v>
      </c>
      <c r="K183" s="74">
        <f t="shared" si="61"/>
        <v>65.905780527193883</v>
      </c>
      <c r="L183" s="74">
        <f t="shared" si="61"/>
        <v>58.885700569842371</v>
      </c>
      <c r="M183" s="75">
        <f t="shared" si="61"/>
        <v>51.728504739966539</v>
      </c>
      <c r="N183" s="19">
        <f t="shared" si="60"/>
        <v>494.80447704070809</v>
      </c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2:23" x14ac:dyDescent="0.25">
      <c r="D184" s="25" t="s">
        <v>47</v>
      </c>
      <c r="E184" s="13">
        <f>+MIN(E181:E183)</f>
        <v>61.308921623993328</v>
      </c>
      <c r="F184" s="14">
        <f t="shared" ref="F184:M184" si="62">+MIN(F181:F183)</f>
        <v>46.356927134611993</v>
      </c>
      <c r="G184" s="14">
        <f t="shared" si="62"/>
        <v>42.902971052046155</v>
      </c>
      <c r="H184" s="14">
        <f t="shared" si="62"/>
        <v>73.197623264115251</v>
      </c>
      <c r="I184" s="14">
        <f t="shared" si="62"/>
        <v>43.728725462597573</v>
      </c>
      <c r="J184" s="14">
        <f t="shared" si="62"/>
        <v>50.789322666340958</v>
      </c>
      <c r="K184" s="14">
        <f t="shared" si="62"/>
        <v>65.905780527193883</v>
      </c>
      <c r="L184" s="14">
        <f t="shared" si="62"/>
        <v>58.885700569842371</v>
      </c>
      <c r="M184" s="15">
        <f t="shared" si="62"/>
        <v>51.728504739966539</v>
      </c>
      <c r="N184" s="19">
        <f>+SUM(E184:M184)</f>
        <v>494.80447704070804</v>
      </c>
    </row>
    <row r="185" spans="2:23" x14ac:dyDescent="0.25">
      <c r="E185" s="18"/>
      <c r="F185" s="18"/>
      <c r="G185" s="18"/>
      <c r="H185" s="18"/>
      <c r="I185" s="18"/>
      <c r="J185" s="18"/>
      <c r="K185" s="18"/>
      <c r="L185" s="18"/>
      <c r="M185" s="18"/>
      <c r="N185" s="18">
        <f>+N184-O14</f>
        <v>-69.195522959291964</v>
      </c>
      <c r="O185" s="18" t="s">
        <v>64</v>
      </c>
      <c r="P185" s="18"/>
      <c r="Q185" s="18"/>
      <c r="R185" s="18"/>
      <c r="S185" s="18"/>
      <c r="T185" s="18"/>
      <c r="U185" s="18"/>
      <c r="V185" s="18"/>
      <c r="W185" s="18"/>
    </row>
    <row r="186" spans="2:23" x14ac:dyDescent="0.25">
      <c r="E186" s="18"/>
      <c r="F186" s="18"/>
      <c r="G186" s="18"/>
      <c r="H186" s="18"/>
      <c r="I186" s="18"/>
      <c r="J186" s="18"/>
      <c r="K186" s="18"/>
      <c r="L186" s="18"/>
      <c r="M186" s="18"/>
      <c r="N186" s="18">
        <f>+N185/O57</f>
        <v>3.2840779762359835</v>
      </c>
      <c r="O186" s="18" t="s">
        <v>65</v>
      </c>
      <c r="P186" s="18"/>
      <c r="Q186" s="18"/>
      <c r="R186" s="18"/>
      <c r="S186" s="18"/>
      <c r="T186" s="18"/>
      <c r="U186" s="18"/>
      <c r="V186" s="18"/>
      <c r="W186" s="18"/>
    </row>
    <row r="187" spans="2:23" x14ac:dyDescent="0.25">
      <c r="B187" s="16"/>
      <c r="C187" s="115" t="s">
        <v>61</v>
      </c>
      <c r="D187" s="77" t="s">
        <v>66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  <c r="J187" s="114"/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2:23" x14ac:dyDescent="0.25">
      <c r="B188" s="143">
        <f>+MAX(E188/C188,0)</f>
        <v>7.1354497511377782E-3</v>
      </c>
      <c r="C188" s="5" cm="1">
        <f t="array" ref="C188:C196">+H47:H55</f>
        <v>20.482541004324951</v>
      </c>
      <c r="D188" s="136">
        <f>+MAX(G188-SUM(E150:M150),0)</f>
        <v>20.336388862212971</v>
      </c>
      <c r="E188" s="117">
        <f>+C188-D188</f>
        <v>0.1461521421119798</v>
      </c>
      <c r="F188" s="78">
        <f>+SUM(E150:M150)+C188</f>
        <v>61.455073766105308</v>
      </c>
      <c r="G188" s="79" cm="1">
        <f t="array" ref="G188:G196">+TRANSPOSE(E184:M184)</f>
        <v>61.308921623993328</v>
      </c>
      <c r="H188" s="117">
        <f>+F188-G188</f>
        <v>0.1461521421119798</v>
      </c>
      <c r="I188" s="120" t="b">
        <f>+H188&lt;0.01</f>
        <v>0</v>
      </c>
      <c r="J188" s="16"/>
      <c r="K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2:23" x14ac:dyDescent="0.25">
      <c r="B189" s="143">
        <f t="shared" ref="B189:B196" si="63">+MAX(E189/C189,0)</f>
        <v>1.9425984363577921E-15</v>
      </c>
      <c r="C189" s="5">
        <v>3.657692307692308</v>
      </c>
      <c r="D189" s="79">
        <f t="shared" ref="D189:D196" si="64">+MAX(G189-SUM(E151:M151),0)</f>
        <v>3.6576923076923009</v>
      </c>
      <c r="E189" s="117">
        <f t="shared" ref="E189:E196" si="65">+C189-D189</f>
        <v>7.1054273576010019E-15</v>
      </c>
      <c r="F189" s="78">
        <f>+SUM(E151:M151)+C189</f>
        <v>46.356927134612</v>
      </c>
      <c r="G189" s="79">
        <v>46.356927134611993</v>
      </c>
      <c r="H189" s="117">
        <f t="shared" ref="H189:H196" si="66">+F189-G189</f>
        <v>0</v>
      </c>
      <c r="I189" s="120" t="b">
        <f t="shared" ref="I189:I196" si="67">+H189&lt;0.01</f>
        <v>1</v>
      </c>
      <c r="J189" s="16"/>
      <c r="K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2:23" x14ac:dyDescent="0.25">
      <c r="B190" s="143">
        <f t="shared" si="63"/>
        <v>0</v>
      </c>
      <c r="C190" s="5">
        <v>13.963846153846156</v>
      </c>
      <c r="D190" s="79">
        <f t="shared" si="64"/>
        <v>13.963846153846163</v>
      </c>
      <c r="E190" s="117">
        <f t="shared" si="65"/>
        <v>0</v>
      </c>
      <c r="F190" s="78">
        <f t="shared" ref="F190:F196" si="68">+SUM(E152:M152)+C190</f>
        <v>42.902971052046148</v>
      </c>
      <c r="G190" s="79">
        <v>42.902971052046155</v>
      </c>
      <c r="H190" s="117">
        <f t="shared" si="66"/>
        <v>0</v>
      </c>
      <c r="I190" s="120" t="b">
        <f t="shared" si="67"/>
        <v>1</v>
      </c>
      <c r="J190" s="16"/>
      <c r="K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2:23" x14ac:dyDescent="0.25">
      <c r="B191" s="143">
        <f t="shared" si="63"/>
        <v>0</v>
      </c>
      <c r="C191" s="5">
        <v>10</v>
      </c>
      <c r="D191" s="79">
        <f t="shared" si="64"/>
        <v>10.315701452240361</v>
      </c>
      <c r="E191" s="117">
        <f t="shared" si="65"/>
        <v>-0.31570145224036139</v>
      </c>
      <c r="F191" s="78">
        <f t="shared" si="68"/>
        <v>72.881921811874889</v>
      </c>
      <c r="G191" s="79">
        <v>73.197623264115251</v>
      </c>
      <c r="H191" s="117">
        <f t="shared" si="66"/>
        <v>-0.31570145224036139</v>
      </c>
      <c r="I191" s="120" t="b">
        <f t="shared" si="67"/>
        <v>1</v>
      </c>
      <c r="J191" s="16"/>
      <c r="K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2:23" x14ac:dyDescent="0.25">
      <c r="B192" s="143">
        <f t="shared" si="63"/>
        <v>0</v>
      </c>
      <c r="C192" s="5">
        <v>4.4615384615384519</v>
      </c>
      <c r="D192" s="79">
        <f t="shared" si="64"/>
        <v>4.4615384615384599</v>
      </c>
      <c r="E192" s="117">
        <f t="shared" si="65"/>
        <v>-7.9936057773011271E-15</v>
      </c>
      <c r="F192" s="78">
        <f t="shared" si="68"/>
        <v>43.728725462597566</v>
      </c>
      <c r="G192" s="79">
        <v>43.728725462597573</v>
      </c>
      <c r="H192" s="117">
        <f t="shared" si="66"/>
        <v>0</v>
      </c>
      <c r="I192" s="120" t="b">
        <f t="shared" si="67"/>
        <v>1</v>
      </c>
      <c r="J192" s="16"/>
      <c r="K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2:23" x14ac:dyDescent="0.25">
      <c r="B193" s="143">
        <f t="shared" si="63"/>
        <v>0</v>
      </c>
      <c r="C193" s="5">
        <v>20</v>
      </c>
      <c r="D193" s="79">
        <f t="shared" si="64"/>
        <v>20.038201145874726</v>
      </c>
      <c r="E193" s="117">
        <f t="shared" si="65"/>
        <v>-3.820114587472645E-2</v>
      </c>
      <c r="F193" s="78">
        <f t="shared" si="68"/>
        <v>50.751121520466228</v>
      </c>
      <c r="G193" s="79">
        <v>50.789322666340958</v>
      </c>
      <c r="H193" s="117">
        <f t="shared" si="66"/>
        <v>-3.8201145874730003E-2</v>
      </c>
      <c r="I193" s="120" t="b">
        <f t="shared" si="67"/>
        <v>1</v>
      </c>
      <c r="J193" s="16"/>
      <c r="K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 spans="2:23" x14ac:dyDescent="0.25">
      <c r="B194" s="143">
        <f t="shared" si="63"/>
        <v>1.7101706066612765E-2</v>
      </c>
      <c r="C194" s="5">
        <v>9.9141751979581887</v>
      </c>
      <c r="D194" s="79">
        <f t="shared" si="64"/>
        <v>9.7446258878298053</v>
      </c>
      <c r="E194" s="117">
        <f t="shared" si="65"/>
        <v>0.16954931012838337</v>
      </c>
      <c r="F194" s="78">
        <f t="shared" si="68"/>
        <v>66.075329837322272</v>
      </c>
      <c r="G194" s="79">
        <v>65.905780527193883</v>
      </c>
      <c r="H194" s="117">
        <f t="shared" si="66"/>
        <v>0.1695493101283887</v>
      </c>
      <c r="I194" s="120" t="b">
        <f t="shared" si="67"/>
        <v>0</v>
      </c>
      <c r="J194" s="16"/>
      <c r="K194" s="18"/>
    </row>
    <row r="195" spans="2:23" x14ac:dyDescent="0.25">
      <c r="B195" s="143">
        <f t="shared" si="63"/>
        <v>0</v>
      </c>
      <c r="C195" s="5">
        <v>26.649999999999991</v>
      </c>
      <c r="D195" s="79">
        <f t="shared" si="64"/>
        <v>26.649999999999991</v>
      </c>
      <c r="E195" s="117">
        <f t="shared" si="65"/>
        <v>0</v>
      </c>
      <c r="F195" s="78">
        <f t="shared" si="68"/>
        <v>58.885700569842371</v>
      </c>
      <c r="G195" s="79">
        <v>58.885700569842371</v>
      </c>
      <c r="H195" s="117">
        <f t="shared" si="66"/>
        <v>0</v>
      </c>
      <c r="I195" s="120" t="b">
        <f t="shared" si="67"/>
        <v>1</v>
      </c>
      <c r="J195" s="16"/>
      <c r="K195" s="18"/>
    </row>
    <row r="196" spans="2:23" x14ac:dyDescent="0.25">
      <c r="B196" s="143">
        <f t="shared" si="63"/>
        <v>1.8825588109885097E-3</v>
      </c>
      <c r="C196" s="9">
        <v>20.29213942838998</v>
      </c>
      <c r="D196" s="79">
        <f t="shared" si="64"/>
        <v>20.253938282515257</v>
      </c>
      <c r="E196" s="118">
        <f t="shared" si="65"/>
        <v>3.8201145874722897E-2</v>
      </c>
      <c r="F196" s="80">
        <f t="shared" si="68"/>
        <v>51.766705885841262</v>
      </c>
      <c r="G196" s="81">
        <v>51.728504739966539</v>
      </c>
      <c r="H196" s="118">
        <f t="shared" si="66"/>
        <v>3.8201145874722897E-2</v>
      </c>
      <c r="I196" s="120" t="b">
        <f t="shared" si="67"/>
        <v>0</v>
      </c>
      <c r="J196" s="16"/>
      <c r="K196" s="18"/>
    </row>
    <row r="198" spans="2:23" ht="15.75" thickBot="1" x14ac:dyDescent="0.3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23" ht="15.75" thickBot="1" x14ac:dyDescent="0.3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23" x14ac:dyDescent="0.25">
      <c r="C200" s="20" t="s">
        <v>1</v>
      </c>
      <c r="D200" s="28" t="s">
        <v>51</v>
      </c>
      <c r="E200" s="1">
        <f>+E150/E$184</f>
        <v>0.14084507042253522</v>
      </c>
      <c r="F200" s="2">
        <f t="shared" ref="F200:M200" si="69">+F150/F$184</f>
        <v>9.0909090909090925E-2</v>
      </c>
      <c r="G200" s="2">
        <f t="shared" si="69"/>
        <v>0.21331968971601492</v>
      </c>
      <c r="H200" s="2">
        <f t="shared" si="69"/>
        <v>1.2195121951219513E-2</v>
      </c>
      <c r="I200" s="2">
        <f t="shared" si="69"/>
        <v>0</v>
      </c>
      <c r="J200" s="2">
        <f t="shared" si="69"/>
        <v>0.14737762665324278</v>
      </c>
      <c r="K200" s="2">
        <f t="shared" si="69"/>
        <v>3.7974683544303799E-2</v>
      </c>
      <c r="L200" s="2">
        <f t="shared" si="69"/>
        <v>0.10811216159303717</v>
      </c>
      <c r="M200" s="3">
        <f t="shared" si="69"/>
        <v>3.3333333333333333E-2</v>
      </c>
    </row>
    <row r="201" spans="2:23" x14ac:dyDescent="0.25">
      <c r="C201" s="20" t="s">
        <v>1</v>
      </c>
      <c r="D201" s="25" t="s">
        <v>52</v>
      </c>
      <c r="E201" s="5">
        <f t="shared" ref="E201:M208" si="70">+E151/E$184</f>
        <v>0.11267605633802817</v>
      </c>
      <c r="F201" s="6">
        <f t="shared" si="70"/>
        <v>5.454545454545455E-2</v>
      </c>
      <c r="G201" s="6">
        <f t="shared" si="70"/>
        <v>0.19148936170212766</v>
      </c>
      <c r="H201" s="6">
        <f t="shared" si="70"/>
        <v>4.878048780487805E-2</v>
      </c>
      <c r="I201" s="6">
        <f t="shared" si="70"/>
        <v>0.04</v>
      </c>
      <c r="J201" s="6">
        <f t="shared" si="70"/>
        <v>0.18181818181818185</v>
      </c>
      <c r="K201" s="6">
        <f t="shared" si="70"/>
        <v>1.2658227848101266E-2</v>
      </c>
      <c r="L201" s="6">
        <f t="shared" si="70"/>
        <v>6.1538461538461542E-2</v>
      </c>
      <c r="M201" s="7">
        <f t="shared" si="70"/>
        <v>0.11666666666666665</v>
      </c>
    </row>
    <row r="202" spans="2:23" x14ac:dyDescent="0.25">
      <c r="C202" s="20" t="s">
        <v>1</v>
      </c>
      <c r="D202" s="25" t="s">
        <v>53</v>
      </c>
      <c r="E202" s="5">
        <f t="shared" si="70"/>
        <v>0</v>
      </c>
      <c r="F202" s="6">
        <f t="shared" si="70"/>
        <v>0</v>
      </c>
      <c r="G202" s="6">
        <f t="shared" si="70"/>
        <v>0</v>
      </c>
      <c r="H202" s="6">
        <f t="shared" si="70"/>
        <v>8.5365853658536592E-2</v>
      </c>
      <c r="I202" s="6">
        <f t="shared" si="70"/>
        <v>0.08</v>
      </c>
      <c r="J202" s="6">
        <f t="shared" si="70"/>
        <v>7.2727272727272738E-2</v>
      </c>
      <c r="K202" s="6">
        <f t="shared" si="70"/>
        <v>8.8607594936708861E-2</v>
      </c>
      <c r="L202" s="6">
        <f t="shared" si="70"/>
        <v>6.1538461538461542E-2</v>
      </c>
      <c r="M202" s="7">
        <f t="shared" si="70"/>
        <v>0.11666666666666665</v>
      </c>
    </row>
    <row r="203" spans="2:23" x14ac:dyDescent="0.25">
      <c r="C203" s="20" t="s">
        <v>10</v>
      </c>
      <c r="D203" s="25" t="str">
        <f>+D200</f>
        <v>Agr</v>
      </c>
      <c r="E203" s="5">
        <f t="shared" si="70"/>
        <v>0.12676056338028169</v>
      </c>
      <c r="F203" s="6">
        <f t="shared" si="70"/>
        <v>9.0909090909090925E-2</v>
      </c>
      <c r="G203" s="6">
        <f t="shared" si="70"/>
        <v>8.3910272685609424E-2</v>
      </c>
      <c r="H203" s="6">
        <f t="shared" si="70"/>
        <v>8.5365853658536592E-2</v>
      </c>
      <c r="I203" s="6">
        <f t="shared" si="70"/>
        <v>0.2</v>
      </c>
      <c r="J203" s="6">
        <f t="shared" si="70"/>
        <v>0.15948233949117069</v>
      </c>
      <c r="K203" s="6">
        <f t="shared" si="70"/>
        <v>0.12658227848101267</v>
      </c>
      <c r="L203" s="6">
        <f t="shared" si="70"/>
        <v>0.13755461719255355</v>
      </c>
      <c r="M203" s="7">
        <f t="shared" si="70"/>
        <v>0.15</v>
      </c>
    </row>
    <row r="204" spans="2:23" x14ac:dyDescent="0.25">
      <c r="C204" s="20" t="s">
        <v>10</v>
      </c>
      <c r="D204" s="25" t="str">
        <f t="shared" ref="D204:D208" si="71">+D201</f>
        <v>Ind</v>
      </c>
      <c r="E204" s="5">
        <f t="shared" si="70"/>
        <v>5.6338028169014086E-2</v>
      </c>
      <c r="F204" s="6">
        <f t="shared" si="70"/>
        <v>3.6363636363636362E-2</v>
      </c>
      <c r="G204" s="6">
        <f t="shared" si="70"/>
        <v>6.3829787234042548E-2</v>
      </c>
      <c r="H204" s="6">
        <f t="shared" si="70"/>
        <v>7.3170731707317069E-2</v>
      </c>
      <c r="I204" s="6">
        <f t="shared" si="70"/>
        <v>0.14000000000000001</v>
      </c>
      <c r="J204" s="6">
        <f t="shared" si="70"/>
        <v>7.2727272727272738E-2</v>
      </c>
      <c r="K204" s="6">
        <f t="shared" si="70"/>
        <v>0.11392405063291139</v>
      </c>
      <c r="L204" s="6">
        <f t="shared" si="70"/>
        <v>3.0769230769230771E-2</v>
      </c>
      <c r="M204" s="7">
        <f t="shared" si="70"/>
        <v>0.13333333333333333</v>
      </c>
    </row>
    <row r="205" spans="2:23" x14ac:dyDescent="0.25">
      <c r="C205" s="20" t="s">
        <v>10</v>
      </c>
      <c r="D205" s="25" t="str">
        <f t="shared" si="71"/>
        <v>Serv</v>
      </c>
      <c r="E205" s="5">
        <f t="shared" si="70"/>
        <v>8.4507042253521125E-2</v>
      </c>
      <c r="F205" s="6">
        <f t="shared" si="70"/>
        <v>9.0909090909090925E-2</v>
      </c>
      <c r="G205" s="6">
        <f t="shared" si="70"/>
        <v>8.4842609048782852E-2</v>
      </c>
      <c r="H205" s="6">
        <f t="shared" si="70"/>
        <v>1.2195121951219513E-2</v>
      </c>
      <c r="I205" s="6">
        <f t="shared" si="70"/>
        <v>0.18</v>
      </c>
      <c r="J205" s="6">
        <f t="shared" si="70"/>
        <v>3.5834303441226012E-2</v>
      </c>
      <c r="K205" s="6">
        <f t="shared" si="70"/>
        <v>1.2658227848101266E-2</v>
      </c>
      <c r="L205" s="6">
        <f t="shared" si="70"/>
        <v>9.2307692307692313E-2</v>
      </c>
      <c r="M205" s="7">
        <f t="shared" si="70"/>
        <v>1.6666666666666666E-2</v>
      </c>
    </row>
    <row r="206" spans="2:23" x14ac:dyDescent="0.25">
      <c r="C206" s="20" t="s">
        <v>11</v>
      </c>
      <c r="D206" s="25" t="str">
        <f t="shared" si="71"/>
        <v>Agr</v>
      </c>
      <c r="E206" s="5">
        <f t="shared" si="70"/>
        <v>4.2253521126760563E-2</v>
      </c>
      <c r="F206" s="6">
        <f t="shared" si="70"/>
        <v>0.18181818181818185</v>
      </c>
      <c r="G206" s="6">
        <f t="shared" si="70"/>
        <v>0.1708551439813544</v>
      </c>
      <c r="H206" s="6">
        <f t="shared" si="70"/>
        <v>0.10975609756097561</v>
      </c>
      <c r="I206" s="6">
        <f t="shared" si="70"/>
        <v>0.2</v>
      </c>
      <c r="J206" s="6">
        <f t="shared" si="70"/>
        <v>2.2309429464956272E-3</v>
      </c>
      <c r="K206" s="6">
        <f t="shared" si="70"/>
        <v>8.8607594936708861E-2</v>
      </c>
      <c r="L206" s="6">
        <f t="shared" si="70"/>
        <v>0.13894860582979396</v>
      </c>
      <c r="M206" s="7">
        <f t="shared" si="70"/>
        <v>0.13333333333333333</v>
      </c>
    </row>
    <row r="207" spans="2:23" x14ac:dyDescent="0.25">
      <c r="C207" s="20" t="s">
        <v>11</v>
      </c>
      <c r="D207" s="25" t="str">
        <f t="shared" si="71"/>
        <v>Ind</v>
      </c>
      <c r="E207" s="5">
        <f t="shared" si="70"/>
        <v>1.4084507042253521E-2</v>
      </c>
      <c r="F207" s="6">
        <f t="shared" si="70"/>
        <v>0.14545454545454545</v>
      </c>
      <c r="G207" s="6">
        <f t="shared" si="70"/>
        <v>0</v>
      </c>
      <c r="H207" s="6">
        <f t="shared" si="70"/>
        <v>0.10975609756097561</v>
      </c>
      <c r="I207" s="6">
        <f t="shared" si="70"/>
        <v>0</v>
      </c>
      <c r="J207" s="6">
        <f t="shared" si="70"/>
        <v>0</v>
      </c>
      <c r="K207" s="6">
        <f t="shared" si="70"/>
        <v>0.10126582278481013</v>
      </c>
      <c r="L207" s="6">
        <f t="shared" si="70"/>
        <v>0.15384615384615385</v>
      </c>
      <c r="M207" s="7">
        <f t="shared" si="70"/>
        <v>1.6666666666666666E-2</v>
      </c>
    </row>
    <row r="208" spans="2:23" x14ac:dyDescent="0.25">
      <c r="C208" s="20" t="s">
        <v>11</v>
      </c>
      <c r="D208" s="25" t="str">
        <f t="shared" si="71"/>
        <v>Serv</v>
      </c>
      <c r="E208" s="9">
        <f t="shared" si="70"/>
        <v>0.14084507042253522</v>
      </c>
      <c r="F208" s="10">
        <f t="shared" si="70"/>
        <v>3.6363636363636362E-2</v>
      </c>
      <c r="G208" s="10">
        <f t="shared" si="70"/>
        <v>8.5370156908663952E-2</v>
      </c>
      <c r="H208" s="10">
        <f t="shared" si="70"/>
        <v>0.12195121951219512</v>
      </c>
      <c r="I208" s="10">
        <f t="shared" si="70"/>
        <v>0</v>
      </c>
      <c r="J208" s="10">
        <f t="shared" si="70"/>
        <v>5.293329224103537E-4</v>
      </c>
      <c r="K208" s="10">
        <f t="shared" si="70"/>
        <v>3.7974683544303799E-2</v>
      </c>
      <c r="L208" s="10">
        <f t="shared" si="70"/>
        <v>0</v>
      </c>
      <c r="M208" s="11">
        <f t="shared" si="70"/>
        <v>0.11666666666666665</v>
      </c>
    </row>
    <row r="211" spans="3:13" ht="15.75" thickBot="1" x14ac:dyDescent="0.3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.75" thickBot="1" x14ac:dyDescent="0.3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25">
      <c r="C213" s="20" t="s">
        <v>1</v>
      </c>
      <c r="D213" s="28" t="s">
        <v>51</v>
      </c>
      <c r="E213" s="1" cm="1">
        <f t="array" ref="E213:M221">+MINVERSE(_xlfn.MUNIT(COUNTA($D$213:$D$221))-E200:M208)</f>
        <v>1.3404238309163938</v>
      </c>
      <c r="F213" s="2">
        <v>0.29395123914673577</v>
      </c>
      <c r="G213" s="2">
        <v>0.46209027578265771</v>
      </c>
      <c r="H213" s="2">
        <v>0.20113181926839482</v>
      </c>
      <c r="I213" s="2">
        <v>0.22578771184632349</v>
      </c>
      <c r="J213" s="2">
        <v>0.34612016013905028</v>
      </c>
      <c r="K213" s="2">
        <v>0.2146208394032405</v>
      </c>
      <c r="L213" s="2">
        <v>0.34015858355253364</v>
      </c>
      <c r="M213" s="3">
        <v>0.26401644893287152</v>
      </c>
    </row>
    <row r="214" spans="3:13" x14ac:dyDescent="0.25">
      <c r="C214" s="20" t="s">
        <v>1</v>
      </c>
      <c r="D214" s="25" t="s">
        <v>52</v>
      </c>
      <c r="E214" s="5">
        <v>0.33306658097635078</v>
      </c>
      <c r="F214" s="6">
        <v>1.2589107686920498</v>
      </c>
      <c r="G214" s="6">
        <v>0.44908932223580761</v>
      </c>
      <c r="H214" s="6">
        <v>0.24915309493108773</v>
      </c>
      <c r="I214" s="6">
        <v>0.28510098061703931</v>
      </c>
      <c r="J214" s="6">
        <v>0.38556337838341193</v>
      </c>
      <c r="K214" s="6">
        <v>0.19835619854437742</v>
      </c>
      <c r="L214" s="6">
        <v>0.29227843902648559</v>
      </c>
      <c r="M214" s="7">
        <v>0.36622662082129664</v>
      </c>
    </row>
    <row r="215" spans="3:13" x14ac:dyDescent="0.25">
      <c r="C215" s="20" t="s">
        <v>1</v>
      </c>
      <c r="D215" s="25" t="s">
        <v>53</v>
      </c>
      <c r="E215" s="5">
        <v>0.16092227084539729</v>
      </c>
      <c r="F215" s="6">
        <v>0.1609409149537076</v>
      </c>
      <c r="G215" s="6">
        <v>1.1865578397935068</v>
      </c>
      <c r="H215" s="6">
        <v>0.24263157668822768</v>
      </c>
      <c r="I215" s="6">
        <v>0.27156907017793236</v>
      </c>
      <c r="J215" s="6">
        <v>0.20577718858022609</v>
      </c>
      <c r="K215" s="6">
        <v>0.23310463644653373</v>
      </c>
      <c r="L215" s="6">
        <v>0.22860630181535516</v>
      </c>
      <c r="M215" s="7">
        <v>0.30961873883974822</v>
      </c>
    </row>
    <row r="216" spans="3:13" x14ac:dyDescent="0.25">
      <c r="C216" s="20" t="s">
        <v>10</v>
      </c>
      <c r="D216" s="25" t="str">
        <f>+D213</f>
        <v>Agr</v>
      </c>
      <c r="E216" s="5">
        <v>0.46815941674262529</v>
      </c>
      <c r="F216" s="6">
        <v>0.4283269050346607</v>
      </c>
      <c r="G216" s="6">
        <v>0.4975932289966884</v>
      </c>
      <c r="H216" s="6">
        <v>1.4070683928804359</v>
      </c>
      <c r="I216" s="6">
        <v>0.59102958582235565</v>
      </c>
      <c r="J216" s="6">
        <v>0.46848327598219563</v>
      </c>
      <c r="K216" s="6">
        <v>0.4280212051661092</v>
      </c>
      <c r="L216" s="6">
        <v>0.49878076979316199</v>
      </c>
      <c r="M216" s="7">
        <v>0.55096312606248476</v>
      </c>
    </row>
    <row r="217" spans="3:13" x14ac:dyDescent="0.25">
      <c r="C217" s="20" t="s">
        <v>10</v>
      </c>
      <c r="D217" s="25" t="str">
        <f t="shared" ref="D217:D221" si="72">+D214</f>
        <v>Ind</v>
      </c>
      <c r="E217" s="5">
        <v>0.27831576096088623</v>
      </c>
      <c r="F217" s="6">
        <v>0.24824428325941303</v>
      </c>
      <c r="G217" s="6">
        <v>0.33038789307842703</v>
      </c>
      <c r="H217" s="6">
        <v>0.28499034952731883</v>
      </c>
      <c r="I217" s="6">
        <v>1.399653195095697</v>
      </c>
      <c r="J217" s="6">
        <v>0.26793248692154681</v>
      </c>
      <c r="K217" s="6">
        <v>0.31057513727153141</v>
      </c>
      <c r="L217" s="6">
        <v>0.25509741037445721</v>
      </c>
      <c r="M217" s="7">
        <v>0.40333634826917647</v>
      </c>
    </row>
    <row r="218" spans="3:13" x14ac:dyDescent="0.25">
      <c r="C218" s="20" t="s">
        <v>10</v>
      </c>
      <c r="D218" s="25" t="str">
        <f t="shared" si="72"/>
        <v>Serv</v>
      </c>
      <c r="E218" s="5">
        <v>0.24922844627686833</v>
      </c>
      <c r="F218" s="6">
        <v>0.25245993032187924</v>
      </c>
      <c r="G218" s="6">
        <v>0.28864544732495345</v>
      </c>
      <c r="H218" s="6">
        <v>0.17105328801519668</v>
      </c>
      <c r="I218" s="6">
        <v>0.36880455289153347</v>
      </c>
      <c r="J218" s="6">
        <v>1.2012633903895671</v>
      </c>
      <c r="K218" s="6">
        <v>0.16771907307342954</v>
      </c>
      <c r="L218" s="6">
        <v>0.27100344023096506</v>
      </c>
      <c r="M218" s="7">
        <v>0.2186816974822372</v>
      </c>
    </row>
    <row r="219" spans="3:13" x14ac:dyDescent="0.25">
      <c r="C219" s="20" t="s">
        <v>11</v>
      </c>
      <c r="D219" s="25" t="str">
        <f t="shared" si="72"/>
        <v>Agr</v>
      </c>
      <c r="E219" s="5">
        <v>0.35286239720611984</v>
      </c>
      <c r="F219" s="6">
        <v>0.48161772355834864</v>
      </c>
      <c r="G219" s="6">
        <v>0.54394739373886369</v>
      </c>
      <c r="H219" s="6">
        <v>0.4210092924032881</v>
      </c>
      <c r="I219" s="6">
        <v>0.55413985817782185</v>
      </c>
      <c r="J219" s="6">
        <v>0.30070192485013492</v>
      </c>
      <c r="K219" s="6">
        <v>1.3772578631890091</v>
      </c>
      <c r="L219" s="6">
        <v>0.46722922523988697</v>
      </c>
      <c r="M219" s="7">
        <v>0.52628070128579219</v>
      </c>
    </row>
    <row r="220" spans="3:13" x14ac:dyDescent="0.25">
      <c r="C220" s="20" t="s">
        <v>11</v>
      </c>
      <c r="D220" s="25" t="str">
        <f t="shared" si="72"/>
        <v>Ind</v>
      </c>
      <c r="E220" s="5">
        <v>0.18888277289734545</v>
      </c>
      <c r="F220" s="6">
        <v>0.33832460997619995</v>
      </c>
      <c r="G220" s="6">
        <v>0.22042386430988067</v>
      </c>
      <c r="H220" s="6">
        <v>0.28455667592053874</v>
      </c>
      <c r="I220" s="6">
        <v>0.19928716307472952</v>
      </c>
      <c r="J220" s="6">
        <v>0.17212923076564965</v>
      </c>
      <c r="K220" s="6">
        <v>0.26162734989252112</v>
      </c>
      <c r="L220" s="6">
        <v>1.3618334969686419</v>
      </c>
      <c r="M220" s="7">
        <v>0.22776026001046037</v>
      </c>
    </row>
    <row r="221" spans="3:13" x14ac:dyDescent="0.25">
      <c r="C221" s="20" t="s">
        <v>11</v>
      </c>
      <c r="D221" s="25" t="str">
        <f t="shared" si="72"/>
        <v>Serv</v>
      </c>
      <c r="E221" s="9">
        <v>0.3229425678084013</v>
      </c>
      <c r="F221" s="10">
        <v>0.19423880599363608</v>
      </c>
      <c r="G221" s="10">
        <v>0.29909593356729197</v>
      </c>
      <c r="H221" s="10">
        <v>0.27823469297975278</v>
      </c>
      <c r="I221" s="10">
        <v>0.17962366822464351</v>
      </c>
      <c r="J221" s="10">
        <v>0.16927253345535204</v>
      </c>
      <c r="K221" s="10">
        <v>0.1833156656507533</v>
      </c>
      <c r="L221" s="10">
        <v>0.17747250401310147</v>
      </c>
      <c r="M221" s="11">
        <v>1.3179924576949567</v>
      </c>
    </row>
    <row r="223" spans="3:13" x14ac:dyDescent="0.25">
      <c r="E223" s="16"/>
      <c r="F223" s="16"/>
      <c r="G223" s="18"/>
      <c r="I223" s="16"/>
      <c r="L223" s="16"/>
    </row>
    <row r="224" spans="3:13" x14ac:dyDescent="0.25">
      <c r="E224" s="16"/>
      <c r="F224" s="16"/>
      <c r="G224" s="18"/>
      <c r="I224" s="16"/>
      <c r="L224" s="16"/>
    </row>
    <row r="225" spans="5:12" x14ac:dyDescent="0.25">
      <c r="E225" s="16"/>
      <c r="F225" s="16"/>
      <c r="G225" s="18"/>
      <c r="I225" s="16"/>
      <c r="L225" s="16"/>
    </row>
    <row r="226" spans="5:12" x14ac:dyDescent="0.25">
      <c r="E226" s="16"/>
      <c r="F226" s="16"/>
      <c r="G226" s="18"/>
      <c r="I226" s="16"/>
      <c r="L226" s="16"/>
    </row>
    <row r="227" spans="5:12" x14ac:dyDescent="0.25">
      <c r="E227" s="16"/>
      <c r="F227" s="16"/>
      <c r="G227" s="18"/>
      <c r="I227" s="16"/>
      <c r="L227" s="16"/>
    </row>
    <row r="228" spans="5:12" x14ac:dyDescent="0.25">
      <c r="E228" s="16"/>
      <c r="F228" s="16"/>
      <c r="G228" s="18"/>
      <c r="I228" s="16"/>
      <c r="L228" s="16"/>
    </row>
    <row r="229" spans="5:12" x14ac:dyDescent="0.25">
      <c r="E229" s="16"/>
      <c r="F229" s="16"/>
      <c r="G229" s="18"/>
      <c r="I229" s="16"/>
      <c r="L229" s="16"/>
    </row>
    <row r="230" spans="5:12" x14ac:dyDescent="0.25">
      <c r="E230" s="16"/>
      <c r="F230" s="16"/>
      <c r="G230" s="18"/>
      <c r="I230" s="16"/>
      <c r="L230" s="16"/>
    </row>
    <row r="231" spans="5:12" x14ac:dyDescent="0.25">
      <c r="E231" s="16"/>
      <c r="F231" s="16"/>
      <c r="G231" s="18"/>
      <c r="I231" s="16"/>
      <c r="L231" s="16"/>
    </row>
    <row r="234" spans="5:12" x14ac:dyDescent="0.25">
      <c r="E234" s="16"/>
    </row>
    <row r="235" spans="5:12" x14ac:dyDescent="0.25">
      <c r="E235" s="16"/>
      <c r="F235" s="18"/>
    </row>
    <row r="236" spans="5:12" x14ac:dyDescent="0.25">
      <c r="E236" s="16"/>
      <c r="F236" s="18"/>
    </row>
    <row r="237" spans="5:12" x14ac:dyDescent="0.25">
      <c r="E237" s="16"/>
      <c r="F237" s="18"/>
    </row>
    <row r="238" spans="5:12" x14ac:dyDescent="0.25">
      <c r="E238" s="16"/>
      <c r="F238" s="18"/>
    </row>
    <row r="239" spans="5:12" x14ac:dyDescent="0.25">
      <c r="E239" s="16"/>
      <c r="F239" s="18"/>
    </row>
    <row r="240" spans="5:12" x14ac:dyDescent="0.25">
      <c r="E240" s="16"/>
      <c r="F240" s="18"/>
    </row>
    <row r="241" spans="5:6" x14ac:dyDescent="0.25">
      <c r="E241" s="16"/>
      <c r="F241" s="18"/>
    </row>
    <row r="242" spans="5:6" x14ac:dyDescent="0.25">
      <c r="E242" s="16"/>
      <c r="F242" s="18"/>
    </row>
    <row r="243" spans="5:6" x14ac:dyDescent="0.25">
      <c r="F243" s="18"/>
    </row>
  </sheetData>
  <conditionalFormatting sqref="E88:M88">
    <cfRule type="expression" dxfId="23" priority="2">
      <formula>E88&lt;E89</formula>
    </cfRule>
  </conditionalFormatting>
  <conditionalFormatting sqref="E89:M89">
    <cfRule type="expression" dxfId="22" priority="1">
      <formula>E89&lt;E88</formula>
    </cfRule>
  </conditionalFormatting>
  <conditionalFormatting sqref="E106:M115">
    <cfRule type="expression" dxfId="21" priority="10">
      <formula>E106&lt;0</formula>
    </cfRule>
  </conditionalFormatting>
  <conditionalFormatting sqref="E131:M133">
    <cfRule type="expression" dxfId="20" priority="8">
      <formula>E131&lt;0</formula>
    </cfRule>
  </conditionalFormatting>
  <conditionalFormatting sqref="E137:M145">
    <cfRule type="expression" dxfId="19" priority="9">
      <formula>E137&lt;0</formula>
    </cfRule>
  </conditionalFormatting>
  <conditionalFormatting sqref="N78:V8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50:V15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64:W172">
    <cfRule type="containsText" dxfId="18" priority="3" operator="containsText" text="FALSO">
      <formula>NOT(ISERROR(SEARCH("FALSO",O164)))</formula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0:W142 V136:W13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FBA0-68EE-4491-99DF-9418480E6915}">
  <dimension ref="A3:AJ243"/>
  <sheetViews>
    <sheetView showGridLines="0" topLeftCell="A127" zoomScaleNormal="100" workbookViewId="0">
      <selection activeCell="E47" sqref="E47:E55"/>
    </sheetView>
  </sheetViews>
  <sheetFormatPr defaultRowHeight="15" x14ac:dyDescent="0.25"/>
  <cols>
    <col min="1" max="1" width="12.7109375" style="65" customWidth="1"/>
    <col min="2" max="14" width="12.7109375" customWidth="1"/>
    <col min="15" max="15" width="16.7109375" bestFit="1" customWidth="1"/>
    <col min="16" max="23" width="12.7109375" customWidth="1"/>
    <col min="29" max="29" width="16.28515625" bestFit="1" customWidth="1"/>
  </cols>
  <sheetData>
    <row r="3" spans="3:18" ht="15.75" thickBot="1" x14ac:dyDescent="0.3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.75" thickBot="1" x14ac:dyDescent="0.3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25">
      <c r="C5" s="20" t="s">
        <v>1</v>
      </c>
      <c r="D5" s="28" t="s">
        <v>51</v>
      </c>
      <c r="E5" s="1">
        <v>10</v>
      </c>
      <c r="F5" s="2">
        <v>5</v>
      </c>
      <c r="G5" s="2">
        <v>10</v>
      </c>
      <c r="H5" s="2">
        <v>1</v>
      </c>
      <c r="I5" s="2">
        <v>0</v>
      </c>
      <c r="J5" s="2">
        <v>8</v>
      </c>
      <c r="K5" s="2">
        <v>3</v>
      </c>
      <c r="L5" s="2">
        <v>7</v>
      </c>
      <c r="M5" s="3">
        <v>2</v>
      </c>
      <c r="N5" s="24">
        <v>25</v>
      </c>
      <c r="O5" s="29">
        <f>+SUM(E5:N5)</f>
        <v>71</v>
      </c>
      <c r="P5" s="62" cm="1">
        <f t="array" ref="P5:P13">+MMULT(E21:M29,O5:O13)</f>
        <v>46</v>
      </c>
      <c r="Q5" s="61">
        <f>+P5+N5</f>
        <v>71</v>
      </c>
      <c r="R5" s="61" t="b">
        <f>+Q5=O5</f>
        <v>1</v>
      </c>
    </row>
    <row r="6" spans="3:18" x14ac:dyDescent="0.25">
      <c r="C6" s="20" t="s">
        <v>1</v>
      </c>
      <c r="D6" s="25" t="s">
        <v>52</v>
      </c>
      <c r="E6" s="5">
        <v>8</v>
      </c>
      <c r="F6" s="6">
        <v>3</v>
      </c>
      <c r="G6" s="6">
        <v>9</v>
      </c>
      <c r="H6" s="6">
        <v>4</v>
      </c>
      <c r="I6" s="6">
        <v>2</v>
      </c>
      <c r="J6" s="6">
        <v>10</v>
      </c>
      <c r="K6" s="6">
        <v>1</v>
      </c>
      <c r="L6" s="6">
        <v>4</v>
      </c>
      <c r="M6" s="7">
        <v>7</v>
      </c>
      <c r="N6" s="8">
        <v>7</v>
      </c>
      <c r="O6" s="30">
        <f t="shared" ref="O6:O13" si="0">+SUM(E6:N6)</f>
        <v>55</v>
      </c>
      <c r="P6" s="62">
        <v>48</v>
      </c>
      <c r="Q6" s="61">
        <f t="shared" ref="Q6:Q13" si="1">+P6+N6</f>
        <v>55</v>
      </c>
      <c r="R6" s="61" t="b">
        <f t="shared" ref="R6:R13" si="2">+Q6=O6</f>
        <v>1</v>
      </c>
    </row>
    <row r="7" spans="3:18" x14ac:dyDescent="0.25">
      <c r="C7" s="20" t="s">
        <v>1</v>
      </c>
      <c r="D7" s="25" t="s">
        <v>53</v>
      </c>
      <c r="E7" s="5">
        <v>0</v>
      </c>
      <c r="F7" s="6">
        <v>0</v>
      </c>
      <c r="G7" s="6">
        <v>0</v>
      </c>
      <c r="H7" s="6">
        <v>7</v>
      </c>
      <c r="I7" s="6">
        <v>4</v>
      </c>
      <c r="J7" s="6">
        <v>4</v>
      </c>
      <c r="K7" s="6">
        <v>7</v>
      </c>
      <c r="L7" s="6">
        <v>4</v>
      </c>
      <c r="M7" s="7">
        <v>7</v>
      </c>
      <c r="N7" s="8">
        <v>14</v>
      </c>
      <c r="O7" s="30">
        <f t="shared" si="0"/>
        <v>47</v>
      </c>
      <c r="P7" s="62">
        <v>33</v>
      </c>
      <c r="Q7" s="61">
        <f t="shared" si="1"/>
        <v>47</v>
      </c>
      <c r="R7" s="61" t="b">
        <f t="shared" si="2"/>
        <v>1</v>
      </c>
    </row>
    <row r="8" spans="3:18" x14ac:dyDescent="0.25">
      <c r="C8" s="20" t="s">
        <v>10</v>
      </c>
      <c r="D8" s="25" t="str">
        <f>+D5</f>
        <v>Agr</v>
      </c>
      <c r="E8" s="5">
        <v>9</v>
      </c>
      <c r="F8" s="6">
        <v>5</v>
      </c>
      <c r="G8" s="6">
        <v>4</v>
      </c>
      <c r="H8" s="6">
        <v>7</v>
      </c>
      <c r="I8" s="6">
        <v>10</v>
      </c>
      <c r="J8" s="6">
        <v>9</v>
      </c>
      <c r="K8" s="6">
        <v>10</v>
      </c>
      <c r="L8" s="6">
        <v>9</v>
      </c>
      <c r="M8" s="7">
        <v>9</v>
      </c>
      <c r="N8" s="8">
        <v>10</v>
      </c>
      <c r="O8" s="30">
        <f t="shared" si="0"/>
        <v>82</v>
      </c>
      <c r="P8" s="62">
        <v>72</v>
      </c>
      <c r="Q8" s="61">
        <f t="shared" si="1"/>
        <v>82</v>
      </c>
      <c r="R8" s="61" t="b">
        <f t="shared" si="2"/>
        <v>1</v>
      </c>
    </row>
    <row r="9" spans="3:18" x14ac:dyDescent="0.25">
      <c r="C9" s="20" t="s">
        <v>10</v>
      </c>
      <c r="D9" s="25" t="str">
        <f t="shared" ref="D9:D13" si="3">+D6</f>
        <v>Ind</v>
      </c>
      <c r="E9" s="5">
        <v>4</v>
      </c>
      <c r="F9" s="6">
        <v>2</v>
      </c>
      <c r="G9" s="6">
        <v>3</v>
      </c>
      <c r="H9" s="6">
        <v>6</v>
      </c>
      <c r="I9" s="6">
        <v>7</v>
      </c>
      <c r="J9" s="6">
        <v>4</v>
      </c>
      <c r="K9" s="6">
        <v>9</v>
      </c>
      <c r="L9" s="6">
        <v>2</v>
      </c>
      <c r="M9" s="7">
        <v>8</v>
      </c>
      <c r="N9" s="8">
        <v>5</v>
      </c>
      <c r="O9" s="30">
        <f t="shared" si="0"/>
        <v>50</v>
      </c>
      <c r="P9" s="62">
        <v>45</v>
      </c>
      <c r="Q9" s="61">
        <f t="shared" si="1"/>
        <v>50</v>
      </c>
      <c r="R9" s="61" t="b">
        <f t="shared" si="2"/>
        <v>1</v>
      </c>
    </row>
    <row r="10" spans="3:18" x14ac:dyDescent="0.25">
      <c r="C10" s="20" t="s">
        <v>10</v>
      </c>
      <c r="D10" s="25" t="str">
        <f t="shared" si="3"/>
        <v>Serv</v>
      </c>
      <c r="E10" s="5">
        <v>6</v>
      </c>
      <c r="F10" s="6">
        <v>5</v>
      </c>
      <c r="G10" s="6">
        <v>4</v>
      </c>
      <c r="H10" s="6">
        <v>1</v>
      </c>
      <c r="I10" s="6">
        <v>9</v>
      </c>
      <c r="J10" s="6">
        <v>2</v>
      </c>
      <c r="K10" s="6">
        <v>1</v>
      </c>
      <c r="L10" s="6">
        <v>6</v>
      </c>
      <c r="M10" s="7">
        <v>1</v>
      </c>
      <c r="N10" s="8">
        <v>20</v>
      </c>
      <c r="O10" s="30">
        <f t="shared" si="0"/>
        <v>55</v>
      </c>
      <c r="P10" s="62">
        <v>35</v>
      </c>
      <c r="Q10" s="61">
        <f t="shared" si="1"/>
        <v>55</v>
      </c>
      <c r="R10" s="61" t="b">
        <f t="shared" si="2"/>
        <v>1</v>
      </c>
    </row>
    <row r="11" spans="3:18" x14ac:dyDescent="0.25">
      <c r="C11" s="20" t="s">
        <v>11</v>
      </c>
      <c r="D11" s="25" t="str">
        <f t="shared" si="3"/>
        <v>Agr</v>
      </c>
      <c r="E11" s="5">
        <v>3</v>
      </c>
      <c r="F11" s="6">
        <v>10</v>
      </c>
      <c r="G11" s="6">
        <v>8</v>
      </c>
      <c r="H11" s="6">
        <v>9</v>
      </c>
      <c r="I11" s="6">
        <v>10</v>
      </c>
      <c r="J11" s="6">
        <v>0</v>
      </c>
      <c r="K11" s="6">
        <v>7</v>
      </c>
      <c r="L11" s="6">
        <v>9</v>
      </c>
      <c r="M11" s="7">
        <v>8</v>
      </c>
      <c r="N11" s="8">
        <v>15</v>
      </c>
      <c r="O11" s="30">
        <f t="shared" si="0"/>
        <v>79</v>
      </c>
      <c r="P11" s="62">
        <v>64</v>
      </c>
      <c r="Q11" s="61">
        <f t="shared" si="1"/>
        <v>79</v>
      </c>
      <c r="R11" s="61" t="b">
        <f t="shared" si="2"/>
        <v>1</v>
      </c>
    </row>
    <row r="12" spans="3:18" x14ac:dyDescent="0.25">
      <c r="C12" s="20" t="s">
        <v>11</v>
      </c>
      <c r="D12" s="25" t="str">
        <f t="shared" si="3"/>
        <v>Ind</v>
      </c>
      <c r="E12" s="5">
        <v>1</v>
      </c>
      <c r="F12" s="6">
        <v>8</v>
      </c>
      <c r="G12" s="6">
        <v>0</v>
      </c>
      <c r="H12" s="6">
        <v>9</v>
      </c>
      <c r="I12" s="6">
        <v>0</v>
      </c>
      <c r="J12" s="6">
        <v>0</v>
      </c>
      <c r="K12" s="6">
        <v>8</v>
      </c>
      <c r="L12" s="6">
        <v>10</v>
      </c>
      <c r="M12" s="7">
        <v>1</v>
      </c>
      <c r="N12" s="8">
        <v>28</v>
      </c>
      <c r="O12" s="30">
        <f t="shared" si="0"/>
        <v>65</v>
      </c>
      <c r="P12" s="62">
        <v>37</v>
      </c>
      <c r="Q12" s="61">
        <f t="shared" si="1"/>
        <v>65</v>
      </c>
      <c r="R12" s="61" t="b">
        <f t="shared" si="2"/>
        <v>1</v>
      </c>
    </row>
    <row r="13" spans="3:18" x14ac:dyDescent="0.25">
      <c r="C13" s="20" t="s">
        <v>11</v>
      </c>
      <c r="D13" s="25" t="str">
        <f t="shared" si="3"/>
        <v>Serv</v>
      </c>
      <c r="E13" s="9">
        <v>10</v>
      </c>
      <c r="F13" s="10">
        <v>2</v>
      </c>
      <c r="G13" s="10">
        <v>4</v>
      </c>
      <c r="H13" s="10">
        <v>10</v>
      </c>
      <c r="I13" s="10">
        <v>0</v>
      </c>
      <c r="J13" s="10">
        <v>0</v>
      </c>
      <c r="K13" s="10">
        <v>3</v>
      </c>
      <c r="L13" s="10">
        <v>0</v>
      </c>
      <c r="M13" s="11">
        <v>7</v>
      </c>
      <c r="N13" s="12">
        <v>24</v>
      </c>
      <c r="O13" s="31">
        <f t="shared" si="0"/>
        <v>60</v>
      </c>
      <c r="P13" s="62">
        <v>36</v>
      </c>
      <c r="Q13" s="61">
        <f t="shared" si="1"/>
        <v>60</v>
      </c>
      <c r="R13" s="61" t="b">
        <f t="shared" si="2"/>
        <v>1</v>
      </c>
    </row>
    <row r="14" spans="3:18" x14ac:dyDescent="0.25">
      <c r="D14" s="22" t="s">
        <v>9</v>
      </c>
      <c r="E14" s="13">
        <v>20</v>
      </c>
      <c r="F14" s="14">
        <v>15</v>
      </c>
      <c r="G14" s="14">
        <v>5</v>
      </c>
      <c r="H14" s="14">
        <v>28</v>
      </c>
      <c r="I14" s="14">
        <v>8</v>
      </c>
      <c r="J14" s="14">
        <v>18</v>
      </c>
      <c r="K14" s="14">
        <v>30</v>
      </c>
      <c r="L14" s="14">
        <v>14</v>
      </c>
      <c r="M14" s="15">
        <v>10</v>
      </c>
      <c r="N14" s="19">
        <f>+SUM(E5:M13)</f>
        <v>416</v>
      </c>
      <c r="O14" s="19">
        <f>SUM(O5:O13)</f>
        <v>564</v>
      </c>
      <c r="R14" s="18"/>
    </row>
    <row r="15" spans="3:18" x14ac:dyDescent="0.25">
      <c r="D15" s="20" t="s">
        <v>8</v>
      </c>
      <c r="E15" s="13">
        <f t="shared" ref="E15:L15" si="4">SUM(E5:E14)</f>
        <v>71</v>
      </c>
      <c r="F15" s="14">
        <f t="shared" si="4"/>
        <v>55</v>
      </c>
      <c r="G15" s="14">
        <f t="shared" si="4"/>
        <v>47</v>
      </c>
      <c r="H15" s="14">
        <f t="shared" si="4"/>
        <v>82</v>
      </c>
      <c r="I15" s="14">
        <f t="shared" si="4"/>
        <v>50</v>
      </c>
      <c r="J15" s="14">
        <f t="shared" si="4"/>
        <v>55</v>
      </c>
      <c r="K15" s="14">
        <f t="shared" si="4"/>
        <v>79</v>
      </c>
      <c r="L15" s="14">
        <f t="shared" si="4"/>
        <v>65</v>
      </c>
      <c r="M15" s="15">
        <f>SUM(M5:M14)</f>
        <v>60</v>
      </c>
      <c r="R15" s="18"/>
    </row>
    <row r="16" spans="3:18" x14ac:dyDescent="0.25">
      <c r="E16" s="16" cm="1">
        <f t="array" ref="E16:M16">+TRANSPOSE(O5:O13)</f>
        <v>71</v>
      </c>
      <c r="F16" s="16">
        <v>55</v>
      </c>
      <c r="G16" s="16">
        <v>47</v>
      </c>
      <c r="H16" s="16">
        <v>82</v>
      </c>
      <c r="I16" s="16">
        <v>50</v>
      </c>
      <c r="J16" s="16">
        <v>55</v>
      </c>
      <c r="K16" s="16">
        <v>79</v>
      </c>
      <c r="L16" s="16">
        <v>65</v>
      </c>
      <c r="M16" s="16">
        <v>60</v>
      </c>
      <c r="R16" s="18"/>
    </row>
    <row r="17" spans="3:18" x14ac:dyDescent="0.25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25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.75" thickBot="1" x14ac:dyDescent="0.3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.75" thickBot="1" x14ac:dyDescent="0.3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25">
      <c r="C21" s="20" t="s">
        <v>1</v>
      </c>
      <c r="D21" s="28" t="s">
        <v>51</v>
      </c>
      <c r="E21" s="1">
        <f>+E5/E$15</f>
        <v>0.14084507042253522</v>
      </c>
      <c r="F21" s="2">
        <f t="shared" ref="F21:M21" si="6">+F5/F$15</f>
        <v>9.0909090909090912E-2</v>
      </c>
      <c r="G21" s="2">
        <f t="shared" si="6"/>
        <v>0.21276595744680851</v>
      </c>
      <c r="H21" s="2">
        <f t="shared" si="6"/>
        <v>1.2195121951219513E-2</v>
      </c>
      <c r="I21" s="2">
        <f t="shared" si="6"/>
        <v>0</v>
      </c>
      <c r="J21" s="2">
        <f t="shared" si="6"/>
        <v>0.14545454545454545</v>
      </c>
      <c r="K21" s="2">
        <f t="shared" si="6"/>
        <v>3.7974683544303799E-2</v>
      </c>
      <c r="L21" s="2">
        <f t="shared" si="6"/>
        <v>0.1076923076923077</v>
      </c>
      <c r="M21" s="3">
        <f t="shared" si="6"/>
        <v>3.3333333333333333E-2</v>
      </c>
    </row>
    <row r="22" spans="3:18" x14ac:dyDescent="0.25">
      <c r="C22" s="20" t="s">
        <v>1</v>
      </c>
      <c r="D22" s="25" t="s">
        <v>52</v>
      </c>
      <c r="E22" s="5">
        <f t="shared" ref="E22:M30" si="7">+E6/E$15</f>
        <v>0.11267605633802817</v>
      </c>
      <c r="F22" s="6">
        <f t="shared" si="7"/>
        <v>5.4545454545454543E-2</v>
      </c>
      <c r="G22" s="6">
        <f t="shared" si="7"/>
        <v>0.19148936170212766</v>
      </c>
      <c r="H22" s="6">
        <f t="shared" si="7"/>
        <v>4.878048780487805E-2</v>
      </c>
      <c r="I22" s="6">
        <f t="shared" si="7"/>
        <v>0.04</v>
      </c>
      <c r="J22" s="6">
        <f t="shared" si="7"/>
        <v>0.18181818181818182</v>
      </c>
      <c r="K22" s="6">
        <f t="shared" si="7"/>
        <v>1.2658227848101266E-2</v>
      </c>
      <c r="L22" s="6">
        <f t="shared" si="7"/>
        <v>6.1538461538461542E-2</v>
      </c>
      <c r="M22" s="7">
        <f t="shared" si="7"/>
        <v>0.11666666666666667</v>
      </c>
    </row>
    <row r="23" spans="3:18" x14ac:dyDescent="0.25">
      <c r="C23" s="20" t="s">
        <v>1</v>
      </c>
      <c r="D23" s="25" t="s">
        <v>53</v>
      </c>
      <c r="E23" s="5">
        <f t="shared" si="7"/>
        <v>0</v>
      </c>
      <c r="F23" s="6">
        <f t="shared" si="7"/>
        <v>0</v>
      </c>
      <c r="G23" s="6">
        <f t="shared" si="7"/>
        <v>0</v>
      </c>
      <c r="H23" s="6">
        <f t="shared" si="7"/>
        <v>8.5365853658536592E-2</v>
      </c>
      <c r="I23" s="6">
        <f t="shared" si="7"/>
        <v>0.08</v>
      </c>
      <c r="J23" s="6">
        <f t="shared" si="7"/>
        <v>7.2727272727272724E-2</v>
      </c>
      <c r="K23" s="6">
        <f t="shared" si="7"/>
        <v>8.8607594936708861E-2</v>
      </c>
      <c r="L23" s="6">
        <f t="shared" si="7"/>
        <v>6.1538461538461542E-2</v>
      </c>
      <c r="M23" s="7">
        <f t="shared" si="7"/>
        <v>0.11666666666666667</v>
      </c>
    </row>
    <row r="24" spans="3:18" x14ac:dyDescent="0.25">
      <c r="C24" s="20" t="s">
        <v>10</v>
      </c>
      <c r="D24" s="25" t="str">
        <f>+D21</f>
        <v>Agr</v>
      </c>
      <c r="E24" s="5">
        <f t="shared" si="7"/>
        <v>0.12676056338028169</v>
      </c>
      <c r="F24" s="6">
        <f t="shared" si="7"/>
        <v>9.0909090909090912E-2</v>
      </c>
      <c r="G24" s="6">
        <f t="shared" si="7"/>
        <v>8.5106382978723402E-2</v>
      </c>
      <c r="H24" s="6">
        <f t="shared" si="7"/>
        <v>8.5365853658536592E-2</v>
      </c>
      <c r="I24" s="6">
        <f t="shared" si="7"/>
        <v>0.2</v>
      </c>
      <c r="J24" s="6">
        <f t="shared" si="7"/>
        <v>0.16363636363636364</v>
      </c>
      <c r="K24" s="6">
        <f t="shared" si="7"/>
        <v>0.12658227848101267</v>
      </c>
      <c r="L24" s="6">
        <f t="shared" si="7"/>
        <v>0.13846153846153847</v>
      </c>
      <c r="M24" s="7">
        <f t="shared" si="7"/>
        <v>0.15</v>
      </c>
    </row>
    <row r="25" spans="3:18" x14ac:dyDescent="0.25">
      <c r="C25" s="20" t="s">
        <v>10</v>
      </c>
      <c r="D25" s="25" t="str">
        <f t="shared" ref="D25:D29" si="8">+D22</f>
        <v>Ind</v>
      </c>
      <c r="E25" s="5">
        <f t="shared" si="7"/>
        <v>5.6338028169014086E-2</v>
      </c>
      <c r="F25" s="6">
        <f t="shared" si="7"/>
        <v>3.6363636363636362E-2</v>
      </c>
      <c r="G25" s="6">
        <f t="shared" si="7"/>
        <v>6.3829787234042548E-2</v>
      </c>
      <c r="H25" s="6">
        <f t="shared" si="7"/>
        <v>7.3170731707317069E-2</v>
      </c>
      <c r="I25" s="6">
        <f t="shared" si="7"/>
        <v>0.14000000000000001</v>
      </c>
      <c r="J25" s="6">
        <f t="shared" si="7"/>
        <v>7.2727272727272724E-2</v>
      </c>
      <c r="K25" s="6">
        <f t="shared" si="7"/>
        <v>0.11392405063291139</v>
      </c>
      <c r="L25" s="6">
        <f t="shared" si="7"/>
        <v>3.0769230769230771E-2</v>
      </c>
      <c r="M25" s="7">
        <f t="shared" si="7"/>
        <v>0.13333333333333333</v>
      </c>
    </row>
    <row r="26" spans="3:18" x14ac:dyDescent="0.25">
      <c r="C26" s="20" t="s">
        <v>10</v>
      </c>
      <c r="D26" s="25" t="str">
        <f t="shared" si="8"/>
        <v>Serv</v>
      </c>
      <c r="E26" s="5">
        <f t="shared" si="7"/>
        <v>8.4507042253521125E-2</v>
      </c>
      <c r="F26" s="6">
        <f t="shared" si="7"/>
        <v>9.0909090909090912E-2</v>
      </c>
      <c r="G26" s="6">
        <f t="shared" si="7"/>
        <v>8.5106382978723402E-2</v>
      </c>
      <c r="H26" s="6">
        <f t="shared" si="7"/>
        <v>1.2195121951219513E-2</v>
      </c>
      <c r="I26" s="6">
        <f t="shared" si="7"/>
        <v>0.18</v>
      </c>
      <c r="J26" s="6">
        <f t="shared" si="7"/>
        <v>3.6363636363636362E-2</v>
      </c>
      <c r="K26" s="6">
        <f t="shared" si="7"/>
        <v>1.2658227848101266E-2</v>
      </c>
      <c r="L26" s="6">
        <f t="shared" si="7"/>
        <v>9.2307692307692313E-2</v>
      </c>
      <c r="M26" s="7">
        <f t="shared" si="7"/>
        <v>1.6666666666666666E-2</v>
      </c>
    </row>
    <row r="27" spans="3:18" x14ac:dyDescent="0.25">
      <c r="C27" s="20" t="s">
        <v>11</v>
      </c>
      <c r="D27" s="25" t="str">
        <f t="shared" si="8"/>
        <v>Agr</v>
      </c>
      <c r="E27" s="5">
        <f t="shared" si="7"/>
        <v>4.2253521126760563E-2</v>
      </c>
      <c r="F27" s="6">
        <f t="shared" si="7"/>
        <v>0.18181818181818182</v>
      </c>
      <c r="G27" s="6">
        <f t="shared" si="7"/>
        <v>0.1702127659574468</v>
      </c>
      <c r="H27" s="6">
        <f t="shared" si="7"/>
        <v>0.10975609756097561</v>
      </c>
      <c r="I27" s="6">
        <f t="shared" si="7"/>
        <v>0.2</v>
      </c>
      <c r="J27" s="6">
        <f t="shared" si="7"/>
        <v>0</v>
      </c>
      <c r="K27" s="6">
        <f t="shared" si="7"/>
        <v>8.8607594936708861E-2</v>
      </c>
      <c r="L27" s="6">
        <f t="shared" si="7"/>
        <v>0.13846153846153847</v>
      </c>
      <c r="M27" s="7">
        <f t="shared" si="7"/>
        <v>0.13333333333333333</v>
      </c>
    </row>
    <row r="28" spans="3:18" x14ac:dyDescent="0.25">
      <c r="C28" s="20" t="s">
        <v>11</v>
      </c>
      <c r="D28" s="25" t="str">
        <f t="shared" si="8"/>
        <v>Ind</v>
      </c>
      <c r="E28" s="5">
        <f t="shared" si="7"/>
        <v>1.4084507042253521E-2</v>
      </c>
      <c r="F28" s="6">
        <f t="shared" si="7"/>
        <v>0.14545454545454545</v>
      </c>
      <c r="G28" s="6">
        <f t="shared" si="7"/>
        <v>0</v>
      </c>
      <c r="H28" s="6">
        <f t="shared" si="7"/>
        <v>0.10975609756097561</v>
      </c>
      <c r="I28" s="6">
        <f t="shared" si="7"/>
        <v>0</v>
      </c>
      <c r="J28" s="6">
        <f t="shared" si="7"/>
        <v>0</v>
      </c>
      <c r="K28" s="6">
        <f t="shared" si="7"/>
        <v>0.10126582278481013</v>
      </c>
      <c r="L28" s="6">
        <f t="shared" si="7"/>
        <v>0.15384615384615385</v>
      </c>
      <c r="M28" s="7">
        <f t="shared" si="7"/>
        <v>1.6666666666666666E-2</v>
      </c>
    </row>
    <row r="29" spans="3:18" x14ac:dyDescent="0.25">
      <c r="C29" s="20" t="s">
        <v>11</v>
      </c>
      <c r="D29" s="25" t="str">
        <f t="shared" si="8"/>
        <v>Serv</v>
      </c>
      <c r="E29" s="9">
        <f t="shared" si="7"/>
        <v>0.14084507042253522</v>
      </c>
      <c r="F29" s="10">
        <f t="shared" si="7"/>
        <v>3.6363636363636362E-2</v>
      </c>
      <c r="G29" s="10">
        <f t="shared" si="7"/>
        <v>8.5106382978723402E-2</v>
      </c>
      <c r="H29" s="10">
        <f t="shared" si="7"/>
        <v>0.12195121951219512</v>
      </c>
      <c r="I29" s="10">
        <f t="shared" si="7"/>
        <v>0</v>
      </c>
      <c r="J29" s="10">
        <f t="shared" si="7"/>
        <v>0</v>
      </c>
      <c r="K29" s="10">
        <f t="shared" si="7"/>
        <v>3.7974683544303799E-2</v>
      </c>
      <c r="L29" s="10">
        <f t="shared" si="7"/>
        <v>0</v>
      </c>
      <c r="M29" s="11">
        <f t="shared" si="7"/>
        <v>0.11666666666666667</v>
      </c>
    </row>
    <row r="30" spans="3:18" x14ac:dyDescent="0.25">
      <c r="D30" s="22" t="s">
        <v>9</v>
      </c>
      <c r="E30" s="13">
        <f t="shared" si="7"/>
        <v>0.28169014084507044</v>
      </c>
      <c r="F30" s="14">
        <f t="shared" si="7"/>
        <v>0.27272727272727271</v>
      </c>
      <c r="G30" s="14">
        <f t="shared" si="7"/>
        <v>0.10638297872340426</v>
      </c>
      <c r="H30" s="14">
        <f t="shared" si="7"/>
        <v>0.34146341463414637</v>
      </c>
      <c r="I30" s="14">
        <f t="shared" si="7"/>
        <v>0.16</v>
      </c>
      <c r="J30" s="14">
        <f t="shared" si="7"/>
        <v>0.32727272727272727</v>
      </c>
      <c r="K30" s="14">
        <f t="shared" si="7"/>
        <v>0.379746835443038</v>
      </c>
      <c r="L30" s="14">
        <f t="shared" si="7"/>
        <v>0.2153846153846154</v>
      </c>
      <c r="M30" s="15">
        <f t="shared" si="7"/>
        <v>0.16666666666666666</v>
      </c>
    </row>
    <row r="31" spans="3:18" x14ac:dyDescent="0.25">
      <c r="D31" s="20" t="s">
        <v>8</v>
      </c>
      <c r="E31" s="13">
        <f t="shared" ref="E31:M31" si="9">SUM(E21:E30)</f>
        <v>1</v>
      </c>
      <c r="F31" s="14">
        <f t="shared" si="9"/>
        <v>1</v>
      </c>
      <c r="G31" s="14">
        <f t="shared" si="9"/>
        <v>1</v>
      </c>
      <c r="H31" s="14">
        <f t="shared" si="9"/>
        <v>1</v>
      </c>
      <c r="I31" s="14">
        <f t="shared" si="9"/>
        <v>1</v>
      </c>
      <c r="J31" s="14">
        <f t="shared" si="9"/>
        <v>1</v>
      </c>
      <c r="K31" s="14">
        <f t="shared" si="9"/>
        <v>1</v>
      </c>
      <c r="L31" s="14">
        <f t="shared" si="9"/>
        <v>1</v>
      </c>
      <c r="M31" s="15">
        <f t="shared" si="9"/>
        <v>1</v>
      </c>
    </row>
    <row r="34" spans="2:18" ht="15.75" thickBot="1" x14ac:dyDescent="0.3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2:18" ht="15.75" thickBot="1" x14ac:dyDescent="0.3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2:18" x14ac:dyDescent="0.25">
      <c r="C36" s="20" t="s">
        <v>1</v>
      </c>
      <c r="D36" s="28" t="s">
        <v>51</v>
      </c>
      <c r="E36" s="1" cm="1">
        <f t="array" ref="E36:M44">+MINVERSE(_xlfn.MUNIT(COUNTA($D$36:$D$44))-E21:M29)</f>
        <v>1.3396897673098553</v>
      </c>
      <c r="F36" s="2">
        <v>0.29313766151442472</v>
      </c>
      <c r="G36" s="2">
        <v>0.46062080591971027</v>
      </c>
      <c r="H36" s="2">
        <v>0.20047114765858043</v>
      </c>
      <c r="I36" s="2">
        <v>0.22471967444765886</v>
      </c>
      <c r="J36" s="2">
        <v>0.34329239630226011</v>
      </c>
      <c r="K36" s="2">
        <v>0.21398444112354956</v>
      </c>
      <c r="L36" s="2">
        <v>0.33876647757551959</v>
      </c>
      <c r="M36" s="3">
        <v>0.26323813083081754</v>
      </c>
      <c r="N36" s="16" cm="1">
        <f t="array" ref="N36:N44">+MMULT(_xlfn.ANCHORARRAY(E36),N5:N13)</f>
        <v>71</v>
      </c>
    </row>
    <row r="37" spans="2:18" x14ac:dyDescent="0.25">
      <c r="C37" s="20" t="s">
        <v>1</v>
      </c>
      <c r="D37" s="25" t="s">
        <v>52</v>
      </c>
      <c r="E37" s="5">
        <v>0.33305376452405477</v>
      </c>
      <c r="F37" s="6">
        <v>1.2588962622476694</v>
      </c>
      <c r="G37" s="6">
        <v>0.44906571639362902</v>
      </c>
      <c r="H37" s="6">
        <v>0.24914151781031268</v>
      </c>
      <c r="I37" s="6">
        <v>0.2850825641197372</v>
      </c>
      <c r="J37" s="6">
        <v>0.38551433058519635</v>
      </c>
      <c r="K37" s="6">
        <v>0.19834507137089469</v>
      </c>
      <c r="L37" s="6">
        <v>0.29225190328391093</v>
      </c>
      <c r="M37" s="7">
        <v>0.36621325203064486</v>
      </c>
      <c r="N37" s="16">
        <v>55.000000000000007</v>
      </c>
    </row>
    <row r="38" spans="2:18" x14ac:dyDescent="0.25">
      <c r="C38" s="20" t="s">
        <v>1</v>
      </c>
      <c r="D38" s="25" t="s">
        <v>53</v>
      </c>
      <c r="E38" s="5">
        <v>0.16096426404995831</v>
      </c>
      <c r="F38" s="6">
        <v>0.16098912768389811</v>
      </c>
      <c r="G38" s="6">
        <v>1.1866305477256527</v>
      </c>
      <c r="H38" s="6">
        <v>0.24266960433010817</v>
      </c>
      <c r="I38" s="6">
        <v>0.27162888961053594</v>
      </c>
      <c r="J38" s="6">
        <v>0.20593716184064856</v>
      </c>
      <c r="K38" s="6">
        <v>0.23314113071157197</v>
      </c>
      <c r="L38" s="6">
        <v>0.22869828937505449</v>
      </c>
      <c r="M38" s="7">
        <v>0.3096620435609494</v>
      </c>
      <c r="N38" s="16">
        <v>47.000000000000014</v>
      </c>
    </row>
    <row r="39" spans="2:18" x14ac:dyDescent="0.25">
      <c r="C39" s="20" t="s">
        <v>10</v>
      </c>
      <c r="D39" s="25" t="str">
        <f>+D36</f>
        <v>Agr</v>
      </c>
      <c r="E39" s="5">
        <v>0.46948940027866004</v>
      </c>
      <c r="F39" s="6">
        <v>0.42979983594636084</v>
      </c>
      <c r="G39" s="6">
        <v>0.50026321949972674</v>
      </c>
      <c r="H39" s="6">
        <v>1.4082652483739835</v>
      </c>
      <c r="I39" s="6">
        <v>0.59296552145230841</v>
      </c>
      <c r="J39" s="6">
        <v>0.47360784454465799</v>
      </c>
      <c r="K39" s="6">
        <v>0.42917417879158681</v>
      </c>
      <c r="L39" s="6">
        <v>0.50129474506177585</v>
      </c>
      <c r="M39" s="7">
        <v>0.55237410595478087</v>
      </c>
      <c r="N39" s="16">
        <v>82</v>
      </c>
    </row>
    <row r="40" spans="2:18" x14ac:dyDescent="0.25">
      <c r="C40" s="20" t="s">
        <v>10</v>
      </c>
      <c r="D40" s="25" t="str">
        <f t="shared" ref="D40:D44" si="10">+D37</f>
        <v>Ind</v>
      </c>
      <c r="E40" s="5">
        <v>0.27827723239842433</v>
      </c>
      <c r="F40" s="6">
        <v>0.24820393574606325</v>
      </c>
      <c r="G40" s="6">
        <v>0.33029476378346578</v>
      </c>
      <c r="H40" s="6">
        <v>0.28495600131722088</v>
      </c>
      <c r="I40" s="6">
        <v>1.3995953346694374</v>
      </c>
      <c r="J40" s="6">
        <v>0.26778154004367211</v>
      </c>
      <c r="K40" s="6">
        <v>0.31054185905945586</v>
      </c>
      <c r="L40" s="6">
        <v>0.25504174687087422</v>
      </c>
      <c r="M40" s="7">
        <v>0.40329377754913653</v>
      </c>
      <c r="N40" s="16">
        <v>50</v>
      </c>
    </row>
    <row r="41" spans="2:18" x14ac:dyDescent="0.25">
      <c r="C41" s="20" t="s">
        <v>10</v>
      </c>
      <c r="D41" s="25" t="str">
        <f t="shared" si="10"/>
        <v>Serv</v>
      </c>
      <c r="E41" s="5">
        <v>0.24935170583985158</v>
      </c>
      <c r="F41" s="6">
        <v>0.25257975039975866</v>
      </c>
      <c r="G41" s="6">
        <v>0.28900630839132929</v>
      </c>
      <c r="H41" s="6">
        <v>0.17116188311097175</v>
      </c>
      <c r="I41" s="6">
        <v>0.36899674724360437</v>
      </c>
      <c r="J41" s="6">
        <v>1.201756232476507</v>
      </c>
      <c r="K41" s="6">
        <v>0.16782504737118717</v>
      </c>
      <c r="L41" s="6">
        <v>0.27111308072234536</v>
      </c>
      <c r="M41" s="7">
        <v>0.21882464983647648</v>
      </c>
      <c r="N41" s="16">
        <v>55</v>
      </c>
    </row>
    <row r="42" spans="2:18" x14ac:dyDescent="0.25">
      <c r="C42" s="20" t="s">
        <v>11</v>
      </c>
      <c r="D42" s="25" t="str">
        <f t="shared" si="10"/>
        <v>Agr</v>
      </c>
      <c r="E42" s="5">
        <v>0.35214837075990457</v>
      </c>
      <c r="F42" s="6">
        <v>0.48083150088067539</v>
      </c>
      <c r="G42" s="6">
        <v>0.54248305189281365</v>
      </c>
      <c r="H42" s="6">
        <v>0.42036737225086895</v>
      </c>
      <c r="I42" s="6">
        <v>0.55309703312036218</v>
      </c>
      <c r="J42" s="6">
        <v>0.29794582387163238</v>
      </c>
      <c r="K42" s="6">
        <v>1.376639107748959</v>
      </c>
      <c r="L42" s="6">
        <v>0.46591316610695016</v>
      </c>
      <c r="M42" s="7">
        <v>0.52551986939858886</v>
      </c>
      <c r="N42" s="16">
        <v>79.000000000000014</v>
      </c>
    </row>
    <row r="43" spans="2:18" x14ac:dyDescent="0.25">
      <c r="C43" s="20" t="s">
        <v>11</v>
      </c>
      <c r="D43" s="25" t="str">
        <f t="shared" si="10"/>
        <v>Ind</v>
      </c>
      <c r="E43" s="5">
        <v>0.18895230008671562</v>
      </c>
      <c r="F43" s="6">
        <v>0.33840247482967128</v>
      </c>
      <c r="G43" s="6">
        <v>0.22055756496026482</v>
      </c>
      <c r="H43" s="6">
        <v>0.28461936418358202</v>
      </c>
      <c r="I43" s="6">
        <v>0.19938770529705943</v>
      </c>
      <c r="J43" s="6">
        <v>0.17239619825796176</v>
      </c>
      <c r="K43" s="6">
        <v>0.26168766921156789</v>
      </c>
      <c r="L43" s="6">
        <v>1.3619713120084544</v>
      </c>
      <c r="M43" s="7">
        <v>0.22783338986208793</v>
      </c>
      <c r="N43" s="16">
        <v>65</v>
      </c>
    </row>
    <row r="44" spans="2:18" x14ac:dyDescent="0.25">
      <c r="C44" s="20" t="s">
        <v>11</v>
      </c>
      <c r="D44" s="25" t="str">
        <f t="shared" si="10"/>
        <v>Serv</v>
      </c>
      <c r="E44" s="9">
        <v>0.32278455821683549</v>
      </c>
      <c r="F44" s="10">
        <v>0.19408333704833722</v>
      </c>
      <c r="G44" s="10">
        <v>0.29864603550568125</v>
      </c>
      <c r="H44" s="10">
        <v>0.27809522164442302</v>
      </c>
      <c r="I44" s="10">
        <v>0.17937871997805888</v>
      </c>
      <c r="J44" s="10">
        <v>0.16864275194250614</v>
      </c>
      <c r="K44" s="10">
        <v>0.1831797159010346</v>
      </c>
      <c r="L44" s="10">
        <v>0.17731814158643994</v>
      </c>
      <c r="M44" s="11">
        <v>1.3178105679183645</v>
      </c>
      <c r="N44" s="16">
        <v>60.000000000000021</v>
      </c>
    </row>
    <row r="45" spans="2:18" ht="15.75" thickBot="1" x14ac:dyDescent="0.3"/>
    <row r="46" spans="2:18" ht="15.75" thickBot="1" x14ac:dyDescent="0.3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2:18" x14ac:dyDescent="0.25">
      <c r="B47" s="18"/>
      <c r="C47" s="22" t="s">
        <v>1</v>
      </c>
      <c r="D47" s="28" t="s">
        <v>51</v>
      </c>
      <c r="E47" s="140">
        <f>+IO_sub_model!E47+IO_sub_model!B188+'IO_sub_model - t+1'!B188+'IO_sub_model - t+2'!B188</f>
        <v>0.18783380957813978</v>
      </c>
      <c r="F47" s="35">
        <f>1-E47</f>
        <v>0.81216619042186022</v>
      </c>
      <c r="G47" s="1" cm="1">
        <f t="array" ref="G47:G55">+N5:N13</f>
        <v>25</v>
      </c>
      <c r="H47" s="3">
        <f>+G47*F47</f>
        <v>20.304154760546506</v>
      </c>
      <c r="I47" s="18"/>
      <c r="J47" s="22" t="s">
        <v>1</v>
      </c>
      <c r="K47" s="28" t="s">
        <v>51</v>
      </c>
      <c r="L47" s="140">
        <f>+IO_sub_model!L47</f>
        <v>0</v>
      </c>
      <c r="M47" s="35">
        <f>1-L47</f>
        <v>1</v>
      </c>
      <c r="N47" s="1" cm="1">
        <f t="array" ref="N47:N55">+O5:O13</f>
        <v>71</v>
      </c>
      <c r="O47" s="3">
        <f>+N47*M47</f>
        <v>71</v>
      </c>
      <c r="P47" s="18"/>
      <c r="Q47" s="18"/>
      <c r="R47" s="18"/>
    </row>
    <row r="48" spans="2:18" x14ac:dyDescent="0.25">
      <c r="B48" s="18"/>
      <c r="C48" s="20" t="s">
        <v>1</v>
      </c>
      <c r="D48" s="25" t="s">
        <v>52</v>
      </c>
      <c r="E48" s="140">
        <f>+IO_sub_model!E48+IO_sub_model!B189+'IO_sub_model - t+1'!B189+'IO_sub_model - t+2'!B189</f>
        <v>0.47747252747252938</v>
      </c>
      <c r="F48" s="36">
        <f t="shared" ref="F48:F55" si="11">1-E48</f>
        <v>0.52252747252747067</v>
      </c>
      <c r="G48" s="5">
        <v>7</v>
      </c>
      <c r="H48" s="7">
        <f t="shared" ref="H48:H55" si="12">+G48*F48</f>
        <v>3.6576923076922947</v>
      </c>
      <c r="I48" s="18"/>
      <c r="J48" s="20" t="s">
        <v>1</v>
      </c>
      <c r="K48" s="25" t="s">
        <v>52</v>
      </c>
      <c r="L48" s="141">
        <f>+IO_sub_model!L48</f>
        <v>0</v>
      </c>
      <c r="M48" s="36">
        <f t="shared" ref="M48:M55" si="13">1-L48</f>
        <v>1</v>
      </c>
      <c r="N48" s="5">
        <v>55</v>
      </c>
      <c r="O48" s="7">
        <f t="shared" ref="O48:O55" si="14">+N48*M48</f>
        <v>55</v>
      </c>
      <c r="P48" s="18"/>
    </row>
    <row r="49" spans="1:16" x14ac:dyDescent="0.25">
      <c r="B49" s="18"/>
      <c r="C49" s="20" t="s">
        <v>1</v>
      </c>
      <c r="D49" s="25" t="s">
        <v>53</v>
      </c>
      <c r="E49" s="140">
        <f>+IO_sub_model!E49+IO_sub_model!B190+'IO_sub_model - t+1'!B190+'IO_sub_model - t+2'!B190</f>
        <v>2.5824175824174589E-3</v>
      </c>
      <c r="F49" s="36">
        <f t="shared" si="11"/>
        <v>0.99741758241758249</v>
      </c>
      <c r="G49" s="5">
        <v>14</v>
      </c>
      <c r="H49" s="7">
        <f t="shared" si="12"/>
        <v>13.963846153846156</v>
      </c>
      <c r="I49" s="18"/>
      <c r="J49" s="20" t="s">
        <v>1</v>
      </c>
      <c r="K49" s="25" t="s">
        <v>53</v>
      </c>
      <c r="L49" s="141">
        <f>+IO_sub_model!L49</f>
        <v>0.06</v>
      </c>
      <c r="M49" s="36">
        <f t="shared" si="13"/>
        <v>0.94</v>
      </c>
      <c r="N49" s="5">
        <v>47</v>
      </c>
      <c r="O49" s="7">
        <f t="shared" si="14"/>
        <v>44.18</v>
      </c>
      <c r="P49" s="18"/>
    </row>
    <row r="50" spans="1:16" x14ac:dyDescent="0.25">
      <c r="B50" s="18"/>
      <c r="C50" s="20" t="s">
        <v>10</v>
      </c>
      <c r="D50" s="25" t="str">
        <f>+D47</f>
        <v>Agr</v>
      </c>
      <c r="E50" s="140">
        <f>+IO_sub_model!E50+IO_sub_model!B191+'IO_sub_model - t+1'!B191+'IO_sub_model - t+2'!B191</f>
        <v>0</v>
      </c>
      <c r="F50" s="36">
        <f t="shared" si="11"/>
        <v>1</v>
      </c>
      <c r="G50" s="5">
        <v>10</v>
      </c>
      <c r="H50" s="7">
        <f t="shared" si="12"/>
        <v>10</v>
      </c>
      <c r="I50" s="18"/>
      <c r="J50" s="20" t="s">
        <v>10</v>
      </c>
      <c r="K50" s="25" t="str">
        <f>+K47</f>
        <v>Agr</v>
      </c>
      <c r="L50" s="141">
        <f>+IO_sub_model!L50</f>
        <v>0.1</v>
      </c>
      <c r="M50" s="36">
        <f t="shared" si="13"/>
        <v>0.9</v>
      </c>
      <c r="N50" s="5">
        <v>82</v>
      </c>
      <c r="O50" s="7">
        <f t="shared" si="14"/>
        <v>73.8</v>
      </c>
      <c r="P50" s="18"/>
    </row>
    <row r="51" spans="1:16" x14ac:dyDescent="0.25">
      <c r="B51" s="18"/>
      <c r="C51" s="20" t="s">
        <v>10</v>
      </c>
      <c r="D51" s="25" t="str">
        <f t="shared" ref="D51:D55" si="15">+D48</f>
        <v>Ind</v>
      </c>
      <c r="E51" s="140">
        <f>+IO_sub_model!E51+IO_sub_model!B192+'IO_sub_model - t+1'!B192+'IO_sub_model - t+2'!B192</f>
        <v>0.10769230769230961</v>
      </c>
      <c r="F51" s="36">
        <f t="shared" si="11"/>
        <v>0.89230769230769036</v>
      </c>
      <c r="G51" s="5">
        <v>5</v>
      </c>
      <c r="H51" s="7">
        <f t="shared" si="12"/>
        <v>4.4615384615384519</v>
      </c>
      <c r="I51" s="18"/>
      <c r="J51" s="20" t="s">
        <v>10</v>
      </c>
      <c r="K51" s="25" t="str">
        <f t="shared" ref="K51:K55" si="16">+K48</f>
        <v>Ind</v>
      </c>
      <c r="L51" s="141">
        <f>+IO_sub_model!L51</f>
        <v>0.05</v>
      </c>
      <c r="M51" s="36">
        <f t="shared" si="13"/>
        <v>0.95</v>
      </c>
      <c r="N51" s="5">
        <v>50</v>
      </c>
      <c r="O51" s="7">
        <f t="shared" si="14"/>
        <v>47.5</v>
      </c>
      <c r="P51" s="18"/>
    </row>
    <row r="52" spans="1:16" x14ac:dyDescent="0.25">
      <c r="B52" s="18"/>
      <c r="C52" s="20" t="s">
        <v>10</v>
      </c>
      <c r="D52" s="25" t="str">
        <f t="shared" si="15"/>
        <v>Serv</v>
      </c>
      <c r="E52" s="140">
        <f>+IO_sub_model!E52+IO_sub_model!B193+'IO_sub_model - t+1'!B193+'IO_sub_model - t+2'!B193</f>
        <v>0</v>
      </c>
      <c r="F52" s="36">
        <f t="shared" si="11"/>
        <v>1</v>
      </c>
      <c r="G52" s="5">
        <v>20</v>
      </c>
      <c r="H52" s="7">
        <f t="shared" si="12"/>
        <v>20</v>
      </c>
      <c r="I52" s="18"/>
      <c r="J52" s="20" t="s">
        <v>10</v>
      </c>
      <c r="K52" s="25" t="str">
        <f t="shared" si="16"/>
        <v>Serv</v>
      </c>
      <c r="L52" s="141">
        <f>+IO_sub_model!L52</f>
        <v>0.09</v>
      </c>
      <c r="M52" s="36">
        <f t="shared" si="13"/>
        <v>0.91</v>
      </c>
      <c r="N52" s="5">
        <v>55</v>
      </c>
      <c r="O52" s="7">
        <f t="shared" si="14"/>
        <v>50.050000000000004</v>
      </c>
      <c r="P52" s="18"/>
    </row>
    <row r="53" spans="1:16" x14ac:dyDescent="0.25">
      <c r="B53" s="18"/>
      <c r="C53" s="20" t="s">
        <v>11</v>
      </c>
      <c r="D53" s="25" t="str">
        <f t="shared" si="15"/>
        <v>Agr</v>
      </c>
      <c r="E53" s="140">
        <f>+IO_sub_model!E53+IO_sub_model!B194+'IO_sub_model - t+1'!B194+'IO_sub_model - t+2'!B194</f>
        <v>0.35615669286940016</v>
      </c>
      <c r="F53" s="36">
        <f t="shared" si="11"/>
        <v>0.64384330713059978</v>
      </c>
      <c r="G53" s="5">
        <v>15</v>
      </c>
      <c r="H53" s="7">
        <f t="shared" si="12"/>
        <v>9.6576496069589961</v>
      </c>
      <c r="I53" s="18"/>
      <c r="J53" s="20" t="s">
        <v>11</v>
      </c>
      <c r="K53" s="25" t="str">
        <f t="shared" si="16"/>
        <v>Agr</v>
      </c>
      <c r="L53" s="141">
        <f>+IO_sub_model!L53</f>
        <v>0</v>
      </c>
      <c r="M53" s="36">
        <f t="shared" si="13"/>
        <v>1</v>
      </c>
      <c r="N53" s="5">
        <v>79</v>
      </c>
      <c r="O53" s="7">
        <f t="shared" si="14"/>
        <v>79</v>
      </c>
      <c r="P53" s="18"/>
    </row>
    <row r="54" spans="1:16" x14ac:dyDescent="0.25">
      <c r="B54" s="18"/>
      <c r="C54" s="20" t="s">
        <v>11</v>
      </c>
      <c r="D54" s="25" t="str">
        <f t="shared" si="15"/>
        <v>Ind</v>
      </c>
      <c r="E54" s="140">
        <f>+IO_sub_model!E54+IO_sub_model!B195+'IO_sub_model - t+1'!B195+'IO_sub_model - t+2'!B195</f>
        <v>4.8214285714286022E-2</v>
      </c>
      <c r="F54" s="36">
        <f t="shared" si="11"/>
        <v>0.95178571428571401</v>
      </c>
      <c r="G54" s="5">
        <v>28</v>
      </c>
      <c r="H54" s="7">
        <f t="shared" si="12"/>
        <v>26.649999999999991</v>
      </c>
      <c r="I54" s="18"/>
      <c r="J54" s="20" t="s">
        <v>11</v>
      </c>
      <c r="K54" s="25" t="str">
        <f t="shared" si="16"/>
        <v>Ind</v>
      </c>
      <c r="L54" s="141">
        <f>+IO_sub_model!L54</f>
        <v>0.04</v>
      </c>
      <c r="M54" s="36">
        <f t="shared" si="13"/>
        <v>0.96</v>
      </c>
      <c r="N54" s="5">
        <v>65</v>
      </c>
      <c r="O54" s="7">
        <f t="shared" si="14"/>
        <v>62.4</v>
      </c>
      <c r="P54" s="18"/>
    </row>
    <row r="55" spans="1:16" x14ac:dyDescent="0.25">
      <c r="B55" s="18"/>
      <c r="C55" s="20" t="s">
        <v>11</v>
      </c>
      <c r="D55" s="25" t="str">
        <f t="shared" si="15"/>
        <v>Serv</v>
      </c>
      <c r="E55" s="140">
        <f>+IO_sub_model!E55+IO_sub_model!B196+'IO_sub_model - t+1'!B196+'IO_sub_model - t+2'!B196</f>
        <v>0.15637674929473933</v>
      </c>
      <c r="F55" s="37">
        <f t="shared" si="11"/>
        <v>0.84362325070526067</v>
      </c>
      <c r="G55" s="9">
        <v>24</v>
      </c>
      <c r="H55" s="11">
        <f t="shared" si="12"/>
        <v>20.246958016926257</v>
      </c>
      <c r="I55" s="18"/>
      <c r="J55" s="20" t="s">
        <v>11</v>
      </c>
      <c r="K55" s="25" t="str">
        <f t="shared" si="16"/>
        <v>Serv</v>
      </c>
      <c r="L55" s="142">
        <f>+IO_sub_model!L55</f>
        <v>0</v>
      </c>
      <c r="M55" s="37">
        <f t="shared" si="13"/>
        <v>1</v>
      </c>
      <c r="N55" s="9">
        <v>60</v>
      </c>
      <c r="O55" s="11">
        <f t="shared" si="14"/>
        <v>60</v>
      </c>
      <c r="P55" s="18"/>
    </row>
    <row r="56" spans="1:16" x14ac:dyDescent="0.25">
      <c r="G56" s="13">
        <f t="shared" ref="G56:H56" si="17">SUM(G47:G55)</f>
        <v>148</v>
      </c>
      <c r="H56" s="15">
        <f t="shared" si="17"/>
        <v>128.94183930750864</v>
      </c>
      <c r="N56" s="13">
        <f t="shared" ref="N56:O56" si="18">SUM(N47:N55)</f>
        <v>564</v>
      </c>
      <c r="O56" s="15">
        <f t="shared" si="18"/>
        <v>542.93000000000006</v>
      </c>
    </row>
    <row r="57" spans="1:16" x14ac:dyDescent="0.25">
      <c r="H57" s="18">
        <f>+H56-G56</f>
        <v>-19.058160692491356</v>
      </c>
      <c r="O57" s="18">
        <f>+O56-N56</f>
        <v>-21.069999999999936</v>
      </c>
    </row>
    <row r="58" spans="1:16" x14ac:dyDescent="0.25">
      <c r="A58" s="66"/>
    </row>
    <row r="59" spans="1:16" x14ac:dyDescent="0.25">
      <c r="A59" s="68" t="s">
        <v>30</v>
      </c>
      <c r="E59" s="20" t="s">
        <v>20</v>
      </c>
      <c r="F59" s="20" t="str" cm="1">
        <f t="array" ref="F59:F68">+O46:O55</f>
        <v>x_max</v>
      </c>
      <c r="G59" s="20" t="s">
        <v>3</v>
      </c>
    </row>
    <row r="60" spans="1:16" x14ac:dyDescent="0.25">
      <c r="A60" s="67"/>
      <c r="C60" s="20" t="s">
        <v>1</v>
      </c>
      <c r="D60" s="28" t="s">
        <v>51</v>
      </c>
      <c r="E60" s="4" cm="1">
        <f t="array" ref="E60:E68">+MMULT(_xlfn.ANCHORARRAY(E36),H47:H55)</f>
        <v>61.003153443048646</v>
      </c>
      <c r="F60" s="4">
        <v>71</v>
      </c>
      <c r="G60" s="40">
        <f>+MIN(F60/E60,1)</f>
        <v>1</v>
      </c>
      <c r="H60" s="18"/>
      <c r="I60" s="18"/>
    </row>
    <row r="61" spans="1:16" x14ac:dyDescent="0.25">
      <c r="C61" s="20" t="s">
        <v>1</v>
      </c>
      <c r="D61" s="25" t="s">
        <v>52</v>
      </c>
      <c r="E61" s="8">
        <v>46.230088306303607</v>
      </c>
      <c r="F61" s="8">
        <v>55</v>
      </c>
      <c r="G61" s="41">
        <f t="shared" ref="G61:G68" si="19">+MIN(F61/E61,1)</f>
        <v>1</v>
      </c>
      <c r="H61" s="18"/>
      <c r="I61" s="18"/>
    </row>
    <row r="62" spans="1:16" x14ac:dyDescent="0.25">
      <c r="C62" s="20" t="s">
        <v>1</v>
      </c>
      <c r="D62" s="25" t="s">
        <v>53</v>
      </c>
      <c r="E62" s="8">
        <v>42.800459607052893</v>
      </c>
      <c r="F62" s="8">
        <v>44.18</v>
      </c>
      <c r="G62" s="41">
        <f t="shared" si="19"/>
        <v>1</v>
      </c>
      <c r="H62" s="18"/>
      <c r="I62" s="18"/>
    </row>
    <row r="63" spans="1:16" x14ac:dyDescent="0.25">
      <c r="C63" s="20" t="s">
        <v>10</v>
      </c>
      <c r="D63" s="25" t="str">
        <f>+D60</f>
        <v>Agr</v>
      </c>
      <c r="E63" s="8">
        <v>72.978821611886588</v>
      </c>
      <c r="F63" s="8">
        <v>73.8</v>
      </c>
      <c r="G63" s="41">
        <f t="shared" si="19"/>
        <v>1</v>
      </c>
      <c r="H63" s="18"/>
      <c r="I63" s="18"/>
    </row>
    <row r="64" spans="1:16" x14ac:dyDescent="0.25">
      <c r="C64" s="20" t="s">
        <v>10</v>
      </c>
      <c r="D64" s="25" t="str">
        <f t="shared" ref="D64:D68" si="20">+D61</f>
        <v>Ind</v>
      </c>
      <c r="E64" s="8">
        <v>43.581201316351539</v>
      </c>
      <c r="F64" s="8">
        <v>47.5</v>
      </c>
      <c r="G64" s="41">
        <f t="shared" si="19"/>
        <v>1</v>
      </c>
      <c r="H64" s="18"/>
      <c r="I64" s="18"/>
    </row>
    <row r="65" spans="1:22" x14ac:dyDescent="0.25">
      <c r="C65" s="20" t="s">
        <v>10</v>
      </c>
      <c r="D65" s="25" t="str">
        <f t="shared" si="20"/>
        <v>Serv</v>
      </c>
      <c r="E65" s="8">
        <v>50.69190352615243</v>
      </c>
      <c r="F65" s="8">
        <v>50.050000000000004</v>
      </c>
      <c r="G65" s="41">
        <f t="shared" si="19"/>
        <v>0.98733715876695649</v>
      </c>
      <c r="H65" s="18"/>
      <c r="I65" s="18"/>
    </row>
    <row r="66" spans="1:22" x14ac:dyDescent="0.25">
      <c r="C66" s="20" t="s">
        <v>11</v>
      </c>
      <c r="D66" s="25" t="str">
        <f t="shared" si="20"/>
        <v>Agr</v>
      </c>
      <c r="E66" s="8">
        <v>65.466075211921776</v>
      </c>
      <c r="F66" s="8">
        <v>79</v>
      </c>
      <c r="G66" s="41">
        <f t="shared" si="19"/>
        <v>1</v>
      </c>
      <c r="H66" s="18"/>
      <c r="I66" s="18"/>
    </row>
    <row r="67" spans="1:22" x14ac:dyDescent="0.25">
      <c r="C67" s="20" t="s">
        <v>11</v>
      </c>
      <c r="D67" s="25" t="str">
        <f t="shared" si="20"/>
        <v>Ind</v>
      </c>
      <c r="E67" s="8">
        <v>58.774570660642375</v>
      </c>
      <c r="F67" s="8">
        <v>62.4</v>
      </c>
      <c r="G67" s="41">
        <f t="shared" si="19"/>
        <v>1</v>
      </c>
      <c r="H67" s="18"/>
      <c r="I67" s="18"/>
    </row>
    <row r="68" spans="1:22" x14ac:dyDescent="0.25">
      <c r="C68" s="20" t="s">
        <v>11</v>
      </c>
      <c r="D68" s="25" t="str">
        <f t="shared" si="20"/>
        <v>Serv</v>
      </c>
      <c r="E68" s="12">
        <v>51.564393588695609</v>
      </c>
      <c r="F68" s="12">
        <v>60</v>
      </c>
      <c r="G68" s="42">
        <f t="shared" si="19"/>
        <v>1</v>
      </c>
      <c r="H68" s="18"/>
      <c r="I68" s="18"/>
    </row>
    <row r="69" spans="1:22" x14ac:dyDescent="0.25">
      <c r="A69" s="66"/>
    </row>
    <row r="70" spans="1:22" x14ac:dyDescent="0.25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22" x14ac:dyDescent="0.25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22" x14ac:dyDescent="0.25">
      <c r="C72" t="s">
        <v>25</v>
      </c>
      <c r="D72" s="20" t="s">
        <v>4</v>
      </c>
      <c r="E72" s="43" cm="1">
        <f t="array" ref="E72">+MIN(_xlfn._xlws.FILTER($G$60:$G$68,E21:E29&gt;0))</f>
        <v>0.98733715876695649</v>
      </c>
      <c r="F72" s="44" cm="1">
        <f t="array" ref="F72">+MIN(_xlfn._xlws.FILTER($G$60:$G$68,F21:F29&gt;0))</f>
        <v>0.98733715876695649</v>
      </c>
      <c r="G72" s="44" cm="1">
        <f t="array" ref="G72">+MIN(_xlfn._xlws.FILTER($G$60:$G$68,G21:G29&gt;0))</f>
        <v>0.98733715876695649</v>
      </c>
      <c r="H72" s="44" cm="1">
        <f t="array" ref="H72">+MIN(_xlfn._xlws.FILTER($G$60:$G$68,H21:H29&gt;0))</f>
        <v>0.98733715876695649</v>
      </c>
      <c r="I72" s="44" cm="1">
        <f t="array" ref="I72">+MIN(_xlfn._xlws.FILTER($G$60:$G$68,I21:I29&gt;0))</f>
        <v>0.98733715876695649</v>
      </c>
      <c r="J72" s="44" cm="1">
        <f t="array" ref="J72">+MIN(_xlfn._xlws.FILTER($G$60:$G$68,J21:J29&gt;0))</f>
        <v>0.98733715876695649</v>
      </c>
      <c r="K72" s="44" cm="1">
        <f t="array" ref="K72">+MIN(_xlfn._xlws.FILTER($G$60:$G$68,K21:K29&gt;0))</f>
        <v>0.98733715876695649</v>
      </c>
      <c r="L72" s="44" cm="1">
        <f t="array" ref="L72">+MIN(_xlfn._xlws.FILTER($G$60:$G$68,L21:L29&gt;0))</f>
        <v>0.98733715876695649</v>
      </c>
      <c r="M72" s="45" cm="1">
        <f t="array" ref="M72">+MIN(_xlfn._xlws.FILTER($G$60:$G$68,M21:M29&gt;0))</f>
        <v>0.98733715876695649</v>
      </c>
    </row>
    <row r="73" spans="1:22" ht="15.75" thickBot="1" x14ac:dyDescent="0.3">
      <c r="C73" t="s">
        <v>26</v>
      </c>
      <c r="D73" s="49" t="s">
        <v>18</v>
      </c>
      <c r="E73" s="50" cm="1">
        <f t="array" ref="E73:M73">+TRANSPOSE(M47:M55)</f>
        <v>1</v>
      </c>
      <c r="F73" s="51">
        <v>1</v>
      </c>
      <c r="G73" s="51">
        <v>0.94</v>
      </c>
      <c r="H73" s="51">
        <v>0.9</v>
      </c>
      <c r="I73" s="51">
        <v>0.95</v>
      </c>
      <c r="J73" s="51">
        <v>0.91</v>
      </c>
      <c r="K73" s="51">
        <v>1</v>
      </c>
      <c r="L73" s="51">
        <v>0.96</v>
      </c>
      <c r="M73" s="52">
        <v>1</v>
      </c>
    </row>
    <row r="74" spans="1:22" x14ac:dyDescent="0.25">
      <c r="D74" s="22" t="s">
        <v>22</v>
      </c>
      <c r="E74" s="46">
        <f>+MIN(E72:E73)</f>
        <v>0.98733715876695649</v>
      </c>
      <c r="F74" s="47">
        <f t="shared" ref="F74:M74" si="21">+MIN(F72:F73)</f>
        <v>0.98733715876695649</v>
      </c>
      <c r="G74" s="47">
        <f t="shared" si="21"/>
        <v>0.94</v>
      </c>
      <c r="H74" s="47">
        <f t="shared" si="21"/>
        <v>0.9</v>
      </c>
      <c r="I74" s="47">
        <f t="shared" si="21"/>
        <v>0.95</v>
      </c>
      <c r="J74" s="47">
        <f t="shared" si="21"/>
        <v>0.91</v>
      </c>
      <c r="K74" s="47">
        <f t="shared" si="21"/>
        <v>0.98733715876695649</v>
      </c>
      <c r="L74" s="47">
        <f t="shared" si="21"/>
        <v>0.96</v>
      </c>
      <c r="M74" s="48">
        <f t="shared" si="21"/>
        <v>0.98733715876695649</v>
      </c>
    </row>
    <row r="75" spans="1:22" x14ac:dyDescent="0.25">
      <c r="A75" s="66"/>
    </row>
    <row r="76" spans="1:22" ht="15.75" thickBot="1" x14ac:dyDescent="0.3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22" ht="15.75" thickBot="1" x14ac:dyDescent="0.3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22" x14ac:dyDescent="0.25">
      <c r="B78" s="63" cm="1">
        <f t="array" ref="B78:B86">+TRANSPOSE(E74:M74)</f>
        <v>0.98733715876695649</v>
      </c>
      <c r="C78" s="20" t="s">
        <v>1</v>
      </c>
      <c r="D78" s="28" t="s">
        <v>51</v>
      </c>
      <c r="E78" s="1">
        <f>+E5*$B78</f>
        <v>9.8733715876695651</v>
      </c>
      <c r="F78" s="2">
        <f t="shared" ref="F78:M78" si="22">+F5*$B78</f>
        <v>4.9366857938347826</v>
      </c>
      <c r="G78" s="2">
        <f t="shared" si="22"/>
        <v>9.8733715876695651</v>
      </c>
      <c r="H78" s="2">
        <f t="shared" si="22"/>
        <v>0.98733715876695649</v>
      </c>
      <c r="I78" s="2">
        <f t="shared" si="22"/>
        <v>0</v>
      </c>
      <c r="J78" s="2">
        <f t="shared" si="22"/>
        <v>7.8986972701356519</v>
      </c>
      <c r="K78" s="2">
        <f t="shared" si="22"/>
        <v>2.9620114763008694</v>
      </c>
      <c r="L78" s="2">
        <f t="shared" si="22"/>
        <v>6.9113601113686958</v>
      </c>
      <c r="M78" s="3">
        <f t="shared" si="22"/>
        <v>1.974674317533913</v>
      </c>
      <c r="N78" s="18"/>
      <c r="O78" s="18"/>
      <c r="P78" s="18"/>
      <c r="Q78" s="18"/>
      <c r="R78" s="18"/>
      <c r="S78" s="18"/>
      <c r="T78" s="18"/>
      <c r="U78" s="18"/>
      <c r="V78" s="18"/>
    </row>
    <row r="79" spans="1:22" x14ac:dyDescent="0.25">
      <c r="B79" s="30">
        <v>0.98733715876695649</v>
      </c>
      <c r="C79" s="20" t="s">
        <v>1</v>
      </c>
      <c r="D79" s="25" t="s">
        <v>52</v>
      </c>
      <c r="E79" s="5">
        <f t="shared" ref="E79:M86" si="23">+E6*$B79</f>
        <v>7.8986972701356519</v>
      </c>
      <c r="F79" s="6">
        <f t="shared" si="23"/>
        <v>2.9620114763008694</v>
      </c>
      <c r="G79" s="6">
        <f t="shared" si="23"/>
        <v>8.8860344289026081</v>
      </c>
      <c r="H79" s="6">
        <f t="shared" si="23"/>
        <v>3.949348635067826</v>
      </c>
      <c r="I79" s="6">
        <f t="shared" si="23"/>
        <v>1.974674317533913</v>
      </c>
      <c r="J79" s="6">
        <f t="shared" si="23"/>
        <v>9.8733715876695651</v>
      </c>
      <c r="K79" s="6">
        <f t="shared" si="23"/>
        <v>0.98733715876695649</v>
      </c>
      <c r="L79" s="6">
        <f t="shared" si="23"/>
        <v>3.949348635067826</v>
      </c>
      <c r="M79" s="7">
        <f t="shared" si="23"/>
        <v>6.9113601113686958</v>
      </c>
      <c r="N79" s="18"/>
      <c r="O79" s="18"/>
      <c r="P79" s="18"/>
      <c r="Q79" s="18"/>
      <c r="R79" s="18"/>
      <c r="S79" s="18"/>
      <c r="T79" s="18"/>
      <c r="U79" s="18"/>
      <c r="V79" s="18"/>
    </row>
    <row r="80" spans="1:22" x14ac:dyDescent="0.25">
      <c r="B80" s="30">
        <v>0.94</v>
      </c>
      <c r="C80" s="20" t="s">
        <v>1</v>
      </c>
      <c r="D80" s="25" t="s">
        <v>53</v>
      </c>
      <c r="E80" s="5">
        <f t="shared" si="23"/>
        <v>0</v>
      </c>
      <c r="F80" s="6">
        <f t="shared" si="23"/>
        <v>0</v>
      </c>
      <c r="G80" s="6">
        <f t="shared" si="23"/>
        <v>0</v>
      </c>
      <c r="H80" s="6">
        <f t="shared" si="23"/>
        <v>6.58</v>
      </c>
      <c r="I80" s="6">
        <f t="shared" si="23"/>
        <v>3.76</v>
      </c>
      <c r="J80" s="6">
        <f t="shared" si="23"/>
        <v>3.76</v>
      </c>
      <c r="K80" s="6">
        <f t="shared" si="23"/>
        <v>6.58</v>
      </c>
      <c r="L80" s="6">
        <f t="shared" si="23"/>
        <v>3.76</v>
      </c>
      <c r="M80" s="7">
        <f t="shared" si="23"/>
        <v>6.58</v>
      </c>
      <c r="N80" s="18"/>
      <c r="O80" s="18"/>
      <c r="P80" s="18"/>
      <c r="Q80" s="18"/>
      <c r="R80" s="18"/>
      <c r="S80" s="18"/>
      <c r="T80" s="18"/>
      <c r="U80" s="18"/>
      <c r="V80" s="18"/>
    </row>
    <row r="81" spans="1:22" x14ac:dyDescent="0.25">
      <c r="B81" s="30">
        <v>0.9</v>
      </c>
      <c r="C81" s="20" t="s">
        <v>10</v>
      </c>
      <c r="D81" s="25" t="str">
        <f>+D78</f>
        <v>Agr</v>
      </c>
      <c r="E81" s="5">
        <f t="shared" si="23"/>
        <v>8.1</v>
      </c>
      <c r="F81" s="6">
        <f t="shared" si="23"/>
        <v>4.5</v>
      </c>
      <c r="G81" s="6">
        <f t="shared" si="23"/>
        <v>3.6</v>
      </c>
      <c r="H81" s="6">
        <f t="shared" si="23"/>
        <v>6.3</v>
      </c>
      <c r="I81" s="6">
        <f t="shared" si="23"/>
        <v>9</v>
      </c>
      <c r="J81" s="6">
        <f t="shared" si="23"/>
        <v>8.1</v>
      </c>
      <c r="K81" s="6">
        <f t="shared" si="23"/>
        <v>9</v>
      </c>
      <c r="L81" s="6">
        <f t="shared" si="23"/>
        <v>8.1</v>
      </c>
      <c r="M81" s="7">
        <f t="shared" si="23"/>
        <v>8.1</v>
      </c>
      <c r="N81" s="18"/>
      <c r="O81" s="18"/>
      <c r="P81" s="18"/>
      <c r="Q81" s="18"/>
      <c r="R81" s="18"/>
      <c r="S81" s="18"/>
      <c r="T81" s="18"/>
      <c r="U81" s="18"/>
      <c r="V81" s="18"/>
    </row>
    <row r="82" spans="1:22" x14ac:dyDescent="0.25">
      <c r="B82" s="30">
        <v>0.95</v>
      </c>
      <c r="C82" s="20" t="s">
        <v>10</v>
      </c>
      <c r="D82" s="25" t="str">
        <f t="shared" ref="D82:D86" si="24">+D79</f>
        <v>Ind</v>
      </c>
      <c r="E82" s="5">
        <f t="shared" si="23"/>
        <v>3.8</v>
      </c>
      <c r="F82" s="6">
        <f t="shared" si="23"/>
        <v>1.9</v>
      </c>
      <c r="G82" s="6">
        <f t="shared" si="23"/>
        <v>2.8499999999999996</v>
      </c>
      <c r="H82" s="6">
        <f t="shared" si="23"/>
        <v>5.6999999999999993</v>
      </c>
      <c r="I82" s="6">
        <f t="shared" si="23"/>
        <v>6.6499999999999995</v>
      </c>
      <c r="J82" s="6">
        <f t="shared" si="23"/>
        <v>3.8</v>
      </c>
      <c r="K82" s="6">
        <f t="shared" si="23"/>
        <v>8.5499999999999989</v>
      </c>
      <c r="L82" s="6">
        <f t="shared" si="23"/>
        <v>1.9</v>
      </c>
      <c r="M82" s="7">
        <f t="shared" si="23"/>
        <v>7.6</v>
      </c>
      <c r="N82" s="18"/>
      <c r="O82" s="18"/>
      <c r="P82" s="18"/>
      <c r="Q82" s="18"/>
      <c r="R82" s="18"/>
      <c r="S82" s="18"/>
      <c r="T82" s="18"/>
      <c r="U82" s="18"/>
      <c r="V82" s="18"/>
    </row>
    <row r="83" spans="1:22" x14ac:dyDescent="0.25">
      <c r="B83" s="30">
        <v>0.91</v>
      </c>
      <c r="C83" s="20" t="s">
        <v>10</v>
      </c>
      <c r="D83" s="25" t="str">
        <f t="shared" si="24"/>
        <v>Serv</v>
      </c>
      <c r="E83" s="5">
        <f t="shared" si="23"/>
        <v>5.46</v>
      </c>
      <c r="F83" s="6">
        <f t="shared" si="23"/>
        <v>4.55</v>
      </c>
      <c r="G83" s="6">
        <f t="shared" si="23"/>
        <v>3.64</v>
      </c>
      <c r="H83" s="6">
        <f t="shared" si="23"/>
        <v>0.91</v>
      </c>
      <c r="I83" s="6">
        <f t="shared" si="23"/>
        <v>8.19</v>
      </c>
      <c r="J83" s="6">
        <f t="shared" si="23"/>
        <v>1.82</v>
      </c>
      <c r="K83" s="6">
        <f t="shared" si="23"/>
        <v>0.91</v>
      </c>
      <c r="L83" s="6">
        <f t="shared" si="23"/>
        <v>5.46</v>
      </c>
      <c r="M83" s="7">
        <f t="shared" si="23"/>
        <v>0.91</v>
      </c>
      <c r="N83" s="18"/>
      <c r="O83" s="18"/>
      <c r="P83" s="18"/>
      <c r="Q83" s="18"/>
      <c r="R83" s="18"/>
      <c r="S83" s="18"/>
      <c r="T83" s="18"/>
      <c r="U83" s="18"/>
      <c r="V83" s="18"/>
    </row>
    <row r="84" spans="1:22" x14ac:dyDescent="0.25">
      <c r="B84" s="30">
        <v>0.98733715876695649</v>
      </c>
      <c r="C84" s="20" t="s">
        <v>11</v>
      </c>
      <c r="D84" s="25" t="str">
        <f t="shared" si="24"/>
        <v>Agr</v>
      </c>
      <c r="E84" s="5">
        <f t="shared" si="23"/>
        <v>2.9620114763008694</v>
      </c>
      <c r="F84" s="6">
        <f t="shared" si="23"/>
        <v>9.8733715876695651</v>
      </c>
      <c r="G84" s="6">
        <f t="shared" si="23"/>
        <v>7.8986972701356519</v>
      </c>
      <c r="H84" s="6">
        <f t="shared" si="23"/>
        <v>8.8860344289026081</v>
      </c>
      <c r="I84" s="6">
        <f t="shared" si="23"/>
        <v>9.8733715876695651</v>
      </c>
      <c r="J84" s="6">
        <f t="shared" si="23"/>
        <v>0</v>
      </c>
      <c r="K84" s="6">
        <f t="shared" si="23"/>
        <v>6.9113601113686958</v>
      </c>
      <c r="L84" s="6">
        <f t="shared" si="23"/>
        <v>8.8860344289026081</v>
      </c>
      <c r="M84" s="7">
        <f t="shared" si="23"/>
        <v>7.8986972701356519</v>
      </c>
      <c r="N84" s="18"/>
      <c r="O84" s="18"/>
      <c r="P84" s="18"/>
      <c r="Q84" s="18"/>
      <c r="R84" s="18"/>
      <c r="S84" s="18"/>
      <c r="T84" s="18"/>
      <c r="U84" s="18"/>
      <c r="V84" s="18"/>
    </row>
    <row r="85" spans="1:22" x14ac:dyDescent="0.25">
      <c r="B85" s="30">
        <v>0.96</v>
      </c>
      <c r="C85" s="20" t="s">
        <v>11</v>
      </c>
      <c r="D85" s="25" t="str">
        <f t="shared" si="24"/>
        <v>Ind</v>
      </c>
      <c r="E85" s="5">
        <f t="shared" si="23"/>
        <v>0.96</v>
      </c>
      <c r="F85" s="6">
        <f t="shared" si="23"/>
        <v>7.68</v>
      </c>
      <c r="G85" s="6">
        <f t="shared" si="23"/>
        <v>0</v>
      </c>
      <c r="H85" s="6">
        <f t="shared" si="23"/>
        <v>8.64</v>
      </c>
      <c r="I85" s="6">
        <f t="shared" si="23"/>
        <v>0</v>
      </c>
      <c r="J85" s="6">
        <f t="shared" si="23"/>
        <v>0</v>
      </c>
      <c r="K85" s="6">
        <f t="shared" si="23"/>
        <v>7.68</v>
      </c>
      <c r="L85" s="6">
        <f t="shared" si="23"/>
        <v>9.6</v>
      </c>
      <c r="M85" s="7">
        <f t="shared" si="23"/>
        <v>0.96</v>
      </c>
      <c r="N85" s="18"/>
      <c r="O85" s="18"/>
      <c r="P85" s="18"/>
      <c r="Q85" s="18"/>
      <c r="R85" s="18"/>
      <c r="S85" s="18"/>
      <c r="T85" s="18"/>
      <c r="U85" s="18"/>
      <c r="V85" s="18"/>
    </row>
    <row r="86" spans="1:22" x14ac:dyDescent="0.25">
      <c r="B86" s="31">
        <v>0.98733715876695649</v>
      </c>
      <c r="C86" s="20" t="s">
        <v>11</v>
      </c>
      <c r="D86" s="25" t="str">
        <f t="shared" si="24"/>
        <v>Serv</v>
      </c>
      <c r="E86" s="9">
        <f t="shared" si="23"/>
        <v>9.8733715876695651</v>
      </c>
      <c r="F86" s="10">
        <f t="shared" si="23"/>
        <v>1.974674317533913</v>
      </c>
      <c r="G86" s="10">
        <f t="shared" si="23"/>
        <v>3.949348635067826</v>
      </c>
      <c r="H86" s="10">
        <f t="shared" si="23"/>
        <v>9.8733715876695651</v>
      </c>
      <c r="I86" s="10">
        <f t="shared" si="23"/>
        <v>0</v>
      </c>
      <c r="J86" s="10">
        <f t="shared" si="23"/>
        <v>0</v>
      </c>
      <c r="K86" s="10">
        <f t="shared" si="23"/>
        <v>2.9620114763008694</v>
      </c>
      <c r="L86" s="10">
        <f t="shared" si="23"/>
        <v>0</v>
      </c>
      <c r="M86" s="11">
        <f t="shared" si="23"/>
        <v>6.9113601113686958</v>
      </c>
      <c r="N86" s="18"/>
      <c r="O86" s="18"/>
      <c r="P86" s="18"/>
      <c r="Q86" s="18"/>
      <c r="R86" s="18"/>
      <c r="S86" s="18"/>
      <c r="T86" s="18"/>
      <c r="U86" s="18"/>
      <c r="V86" s="18"/>
    </row>
    <row r="87" spans="1:22" x14ac:dyDescent="0.25">
      <c r="N87" s="19">
        <f>+SUM(E78:M86)</f>
        <v>397.48340880078962</v>
      </c>
    </row>
    <row r="88" spans="1:22" x14ac:dyDescent="0.25">
      <c r="D88" s="20" t="str" cm="1">
        <f t="array" ref="D88:M89">+TRANSPOSE(E59:F68)</f>
        <v>x_md</v>
      </c>
      <c r="E88" s="43">
        <v>61.003153443048646</v>
      </c>
      <c r="F88" s="44">
        <v>46.230088306303607</v>
      </c>
      <c r="G88" s="44">
        <v>42.800459607052893</v>
      </c>
      <c r="H88" s="44">
        <v>72.978821611886588</v>
      </c>
      <c r="I88" s="44">
        <v>43.581201316351539</v>
      </c>
      <c r="J88" s="44">
        <v>50.69190352615243</v>
      </c>
      <c r="K88" s="44">
        <v>65.466075211921776</v>
      </c>
      <c r="L88" s="44">
        <v>58.774570660642375</v>
      </c>
      <c r="M88" s="45">
        <v>51.564393588695609</v>
      </c>
    </row>
    <row r="89" spans="1:22" ht="15.75" thickBot="1" x14ac:dyDescent="0.3">
      <c r="D89" s="49" t="str">
        <v>x_max</v>
      </c>
      <c r="E89" s="50">
        <v>71</v>
      </c>
      <c r="F89" s="51">
        <v>55</v>
      </c>
      <c r="G89" s="51">
        <v>44.18</v>
      </c>
      <c r="H89" s="51">
        <v>73.8</v>
      </c>
      <c r="I89" s="51">
        <v>47.5</v>
      </c>
      <c r="J89" s="51">
        <v>50.050000000000004</v>
      </c>
      <c r="K89" s="51">
        <v>79</v>
      </c>
      <c r="L89" s="51">
        <v>62.4</v>
      </c>
      <c r="M89" s="52">
        <v>60</v>
      </c>
    </row>
    <row r="90" spans="1:22" x14ac:dyDescent="0.25">
      <c r="D90" s="22" t="s">
        <v>60</v>
      </c>
      <c r="E90" s="46">
        <f>+MIN(E88:E89)</f>
        <v>61.003153443048646</v>
      </c>
      <c r="F90" s="47">
        <f t="shared" ref="F90:M90" si="25">+MIN(F88:F89)</f>
        <v>46.230088306303607</v>
      </c>
      <c r="G90" s="47">
        <f t="shared" si="25"/>
        <v>42.800459607052893</v>
      </c>
      <c r="H90" s="47">
        <f t="shared" si="25"/>
        <v>72.978821611886588</v>
      </c>
      <c r="I90" s="47">
        <f t="shared" si="25"/>
        <v>43.581201316351539</v>
      </c>
      <c r="J90" s="47">
        <f t="shared" si="25"/>
        <v>50.050000000000004</v>
      </c>
      <c r="K90" s="47">
        <f t="shared" si="25"/>
        <v>65.466075211921776</v>
      </c>
      <c r="L90" s="47">
        <f t="shared" si="25"/>
        <v>58.774570660642375</v>
      </c>
      <c r="M90" s="48">
        <f t="shared" si="25"/>
        <v>51.564393588695609</v>
      </c>
      <c r="N90" s="19">
        <f>+SUM(E90:M90)</f>
        <v>492.44876374590308</v>
      </c>
    </row>
    <row r="91" spans="1:22" x14ac:dyDescent="0.25">
      <c r="A91" s="66"/>
    </row>
    <row r="92" spans="1:22" ht="15.75" thickBot="1" x14ac:dyDescent="0.3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22" ht="75.75" thickBot="1" x14ac:dyDescent="0.3">
      <c r="A93" s="67"/>
      <c r="C93" s="98" t="s">
        <v>54</v>
      </c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22" x14ac:dyDescent="0.25">
      <c r="C94" s="20" t="s">
        <v>1</v>
      </c>
      <c r="D94" s="28" t="s">
        <v>51</v>
      </c>
      <c r="E94" s="1">
        <f>+E21*E$88</f>
        <v>8.5919934426829077</v>
      </c>
      <c r="F94" s="2">
        <f t="shared" ref="F94:M94" si="26">+F21*F$88</f>
        <v>4.202735300573055</v>
      </c>
      <c r="G94" s="2">
        <f t="shared" si="26"/>
        <v>9.1064807674580628</v>
      </c>
      <c r="H94" s="2">
        <f t="shared" si="26"/>
        <v>0.8899856294132511</v>
      </c>
      <c r="I94" s="2">
        <f t="shared" si="26"/>
        <v>0</v>
      </c>
      <c r="J94" s="2">
        <f t="shared" si="26"/>
        <v>7.3733677856221709</v>
      </c>
      <c r="K94" s="2">
        <f t="shared" si="26"/>
        <v>2.4860534890603208</v>
      </c>
      <c r="L94" s="2">
        <f t="shared" si="26"/>
        <v>6.3295691480691794</v>
      </c>
      <c r="M94" s="3">
        <f t="shared" si="26"/>
        <v>1.7188131196231868</v>
      </c>
      <c r="N94" s="19"/>
      <c r="O94" s="19"/>
      <c r="P94" s="19"/>
      <c r="Q94" s="19"/>
      <c r="R94" s="19"/>
      <c r="S94" s="19"/>
      <c r="T94" s="19"/>
      <c r="U94" s="19"/>
      <c r="V94" s="19"/>
    </row>
    <row r="95" spans="1:22" x14ac:dyDescent="0.25">
      <c r="C95" s="20" t="s">
        <v>1</v>
      </c>
      <c r="D95" s="25" t="s">
        <v>52</v>
      </c>
      <c r="E95" s="5">
        <f t="shared" ref="E95:M102" si="27">+E22*E$88</f>
        <v>6.8735947541463265</v>
      </c>
      <c r="F95" s="6">
        <f t="shared" si="27"/>
        <v>2.521641180343833</v>
      </c>
      <c r="G95" s="6">
        <f t="shared" si="27"/>
        <v>8.1958326907122565</v>
      </c>
      <c r="H95" s="6">
        <f t="shared" si="27"/>
        <v>3.5599425176530044</v>
      </c>
      <c r="I95" s="6">
        <f t="shared" si="27"/>
        <v>1.7432480526540617</v>
      </c>
      <c r="J95" s="6">
        <f t="shared" si="27"/>
        <v>9.2167097320277147</v>
      </c>
      <c r="K95" s="6">
        <f t="shared" si="27"/>
        <v>0.82868449635344021</v>
      </c>
      <c r="L95" s="6">
        <f t="shared" si="27"/>
        <v>3.6168966560395308</v>
      </c>
      <c r="M95" s="7">
        <f t="shared" si="27"/>
        <v>6.0158459186811548</v>
      </c>
      <c r="N95" s="19"/>
      <c r="O95" s="19"/>
      <c r="P95" s="19"/>
      <c r="Q95" s="19"/>
      <c r="R95" s="19"/>
      <c r="S95" s="19"/>
      <c r="T95" s="19"/>
      <c r="U95" s="19"/>
      <c r="V95" s="19"/>
    </row>
    <row r="96" spans="1:22" x14ac:dyDescent="0.25">
      <c r="C96" s="20" t="s">
        <v>1</v>
      </c>
      <c r="D96" s="25" t="s">
        <v>53</v>
      </c>
      <c r="E96" s="5">
        <f t="shared" si="27"/>
        <v>0</v>
      </c>
      <c r="F96" s="6">
        <f t="shared" si="27"/>
        <v>0</v>
      </c>
      <c r="G96" s="6">
        <f t="shared" si="27"/>
        <v>0</v>
      </c>
      <c r="H96" s="6">
        <f t="shared" si="27"/>
        <v>6.2298994058927581</v>
      </c>
      <c r="I96" s="6">
        <f t="shared" si="27"/>
        <v>3.4864961053081234</v>
      </c>
      <c r="J96" s="6">
        <f t="shared" si="27"/>
        <v>3.6866838928110854</v>
      </c>
      <c r="K96" s="6">
        <f t="shared" si="27"/>
        <v>5.8007914744740816</v>
      </c>
      <c r="L96" s="6">
        <f t="shared" si="27"/>
        <v>3.6168966560395308</v>
      </c>
      <c r="M96" s="7">
        <f t="shared" si="27"/>
        <v>6.0158459186811548</v>
      </c>
      <c r="N96" s="19"/>
      <c r="O96" s="19"/>
      <c r="P96" s="19"/>
      <c r="Q96" s="19"/>
      <c r="R96" s="19"/>
      <c r="S96" s="19"/>
      <c r="T96" s="19"/>
      <c r="U96" s="19"/>
      <c r="V96" s="19"/>
    </row>
    <row r="97" spans="3:36" x14ac:dyDescent="0.25">
      <c r="C97" s="20" t="s">
        <v>10</v>
      </c>
      <c r="D97" s="25" t="str">
        <f>+D94</f>
        <v>Agr</v>
      </c>
      <c r="E97" s="5">
        <f t="shared" si="27"/>
        <v>7.7327940984146171</v>
      </c>
      <c r="F97" s="6">
        <f t="shared" si="27"/>
        <v>4.202735300573055</v>
      </c>
      <c r="G97" s="6">
        <f t="shared" si="27"/>
        <v>3.6425923069832247</v>
      </c>
      <c r="H97" s="6">
        <f t="shared" si="27"/>
        <v>6.2298994058927581</v>
      </c>
      <c r="I97" s="6">
        <f t="shared" si="27"/>
        <v>8.7162402632703078</v>
      </c>
      <c r="J97" s="6">
        <f t="shared" si="27"/>
        <v>8.2950387588249423</v>
      </c>
      <c r="K97" s="6">
        <f t="shared" si="27"/>
        <v>8.2868449635344028</v>
      </c>
      <c r="L97" s="6">
        <f t="shared" si="27"/>
        <v>8.1380174760889439</v>
      </c>
      <c r="M97" s="7">
        <f t="shared" si="27"/>
        <v>7.7346590383043408</v>
      </c>
      <c r="N97" s="19"/>
      <c r="O97" s="19"/>
      <c r="P97" s="19"/>
      <c r="Q97" s="19"/>
      <c r="R97" s="19"/>
      <c r="S97" s="19"/>
      <c r="T97" s="19"/>
      <c r="U97" s="19"/>
      <c r="V97" s="19"/>
    </row>
    <row r="98" spans="3:36" x14ac:dyDescent="0.25">
      <c r="C98" s="20" t="s">
        <v>10</v>
      </c>
      <c r="D98" s="25" t="str">
        <f t="shared" ref="D98:D102" si="28">+D95</f>
        <v>Ind</v>
      </c>
      <c r="E98" s="5">
        <f t="shared" si="27"/>
        <v>3.4367973770731632</v>
      </c>
      <c r="F98" s="6">
        <f t="shared" si="27"/>
        <v>1.681094120229222</v>
      </c>
      <c r="G98" s="6">
        <f t="shared" si="27"/>
        <v>2.7319442302374184</v>
      </c>
      <c r="H98" s="6">
        <f t="shared" si="27"/>
        <v>5.3399137764795057</v>
      </c>
      <c r="I98" s="6">
        <f t="shared" si="27"/>
        <v>6.1013681842892158</v>
      </c>
      <c r="J98" s="6">
        <f t="shared" si="27"/>
        <v>3.6866838928110854</v>
      </c>
      <c r="K98" s="6">
        <f t="shared" si="27"/>
        <v>7.4581604671809618</v>
      </c>
      <c r="L98" s="6">
        <f t="shared" si="27"/>
        <v>1.8084483280197654</v>
      </c>
      <c r="M98" s="7">
        <f t="shared" si="27"/>
        <v>6.8752524784927473</v>
      </c>
      <c r="N98" s="19"/>
      <c r="O98" s="19"/>
      <c r="P98" s="19"/>
      <c r="Q98" s="19"/>
      <c r="R98" s="19"/>
      <c r="S98" s="19"/>
      <c r="T98" s="19"/>
      <c r="U98" s="19"/>
      <c r="V98" s="19"/>
    </row>
    <row r="99" spans="3:36" x14ac:dyDescent="0.25">
      <c r="C99" s="20" t="s">
        <v>10</v>
      </c>
      <c r="D99" s="25" t="str">
        <f t="shared" si="28"/>
        <v>Serv</v>
      </c>
      <c r="E99" s="5">
        <f t="shared" si="27"/>
        <v>5.1551960656097444</v>
      </c>
      <c r="F99" s="6">
        <f t="shared" si="27"/>
        <v>4.202735300573055</v>
      </c>
      <c r="G99" s="6">
        <f t="shared" si="27"/>
        <v>3.6425923069832247</v>
      </c>
      <c r="H99" s="6">
        <f t="shared" si="27"/>
        <v>0.8899856294132511</v>
      </c>
      <c r="I99" s="6">
        <f t="shared" si="27"/>
        <v>7.8446162369432768</v>
      </c>
      <c r="J99" s="6">
        <f t="shared" si="27"/>
        <v>1.8433419464055427</v>
      </c>
      <c r="K99" s="6">
        <f t="shared" si="27"/>
        <v>0.82868449635344021</v>
      </c>
      <c r="L99" s="6">
        <f t="shared" si="27"/>
        <v>5.4253449840592962</v>
      </c>
      <c r="M99" s="7">
        <f t="shared" si="27"/>
        <v>0.85940655981159342</v>
      </c>
      <c r="N99" s="19"/>
      <c r="O99" s="19"/>
      <c r="P99" s="19"/>
      <c r="Q99" s="19"/>
      <c r="R99" s="19"/>
      <c r="S99" s="19"/>
      <c r="T99" s="19"/>
      <c r="U99" s="19"/>
      <c r="V99" s="19"/>
    </row>
    <row r="100" spans="3:36" x14ac:dyDescent="0.25">
      <c r="C100" s="20" t="s">
        <v>11</v>
      </c>
      <c r="D100" s="25" t="str">
        <f t="shared" si="28"/>
        <v>Agr</v>
      </c>
      <c r="E100" s="5">
        <f t="shared" si="27"/>
        <v>2.5775980328048722</v>
      </c>
      <c r="F100" s="6">
        <f t="shared" si="27"/>
        <v>8.40547060114611</v>
      </c>
      <c r="G100" s="6">
        <f t="shared" si="27"/>
        <v>7.2851846139664493</v>
      </c>
      <c r="H100" s="6">
        <f t="shared" si="27"/>
        <v>8.0098706647192603</v>
      </c>
      <c r="I100" s="6">
        <f t="shared" si="27"/>
        <v>8.7162402632703078</v>
      </c>
      <c r="J100" s="6">
        <f t="shared" si="27"/>
        <v>0</v>
      </c>
      <c r="K100" s="6">
        <f t="shared" si="27"/>
        <v>5.8007914744740816</v>
      </c>
      <c r="L100" s="6">
        <f t="shared" si="27"/>
        <v>8.1380174760889439</v>
      </c>
      <c r="M100" s="7">
        <f t="shared" si="27"/>
        <v>6.8752524784927473</v>
      </c>
      <c r="N100" s="19"/>
      <c r="O100" s="19"/>
      <c r="P100" s="19"/>
      <c r="Q100" s="19"/>
      <c r="R100" s="19"/>
      <c r="S100" s="19"/>
      <c r="T100" s="19"/>
      <c r="U100" s="19"/>
      <c r="V100" s="19"/>
    </row>
    <row r="101" spans="3:36" x14ac:dyDescent="0.25">
      <c r="C101" s="20" t="s">
        <v>11</v>
      </c>
      <c r="D101" s="25" t="str">
        <f t="shared" si="28"/>
        <v>Ind</v>
      </c>
      <c r="E101" s="5">
        <f t="shared" si="27"/>
        <v>0.85919934426829081</v>
      </c>
      <c r="F101" s="6">
        <f t="shared" si="27"/>
        <v>6.724376480916888</v>
      </c>
      <c r="G101" s="6">
        <f t="shared" si="27"/>
        <v>0</v>
      </c>
      <c r="H101" s="6">
        <f t="shared" si="27"/>
        <v>8.0098706647192603</v>
      </c>
      <c r="I101" s="6">
        <f t="shared" si="27"/>
        <v>0</v>
      </c>
      <c r="J101" s="6">
        <f t="shared" si="27"/>
        <v>0</v>
      </c>
      <c r="K101" s="6">
        <f t="shared" si="27"/>
        <v>6.6294759708275217</v>
      </c>
      <c r="L101" s="6">
        <f t="shared" si="27"/>
        <v>9.0422416400988279</v>
      </c>
      <c r="M101" s="7">
        <f t="shared" si="27"/>
        <v>0.85940655981159342</v>
      </c>
      <c r="N101" s="19"/>
      <c r="O101" s="19"/>
      <c r="P101" s="19"/>
      <c r="Q101" s="19"/>
      <c r="R101" s="19"/>
      <c r="S101" s="19"/>
      <c r="T101" s="19"/>
      <c r="U101" s="19"/>
      <c r="V101" s="19"/>
    </row>
    <row r="102" spans="3:36" x14ac:dyDescent="0.25">
      <c r="C102" s="20" t="s">
        <v>11</v>
      </c>
      <c r="D102" s="25" t="str">
        <f t="shared" si="28"/>
        <v>Serv</v>
      </c>
      <c r="E102" s="9">
        <f t="shared" si="27"/>
        <v>8.5919934426829077</v>
      </c>
      <c r="F102" s="10">
        <f t="shared" si="27"/>
        <v>1.681094120229222</v>
      </c>
      <c r="G102" s="10">
        <f t="shared" si="27"/>
        <v>3.6425923069832247</v>
      </c>
      <c r="H102" s="10">
        <f t="shared" si="27"/>
        <v>8.8998562941325101</v>
      </c>
      <c r="I102" s="10">
        <f t="shared" si="27"/>
        <v>0</v>
      </c>
      <c r="J102" s="10">
        <f t="shared" si="27"/>
        <v>0</v>
      </c>
      <c r="K102" s="10">
        <f t="shared" si="27"/>
        <v>2.4860534890603208</v>
      </c>
      <c r="L102" s="10">
        <f t="shared" si="27"/>
        <v>0</v>
      </c>
      <c r="M102" s="11">
        <f t="shared" si="27"/>
        <v>6.0158459186811548</v>
      </c>
      <c r="N102" s="19"/>
      <c r="O102" s="19"/>
      <c r="P102" s="19"/>
      <c r="Q102" s="19"/>
      <c r="R102" s="19"/>
      <c r="S102" s="19"/>
      <c r="T102" s="19"/>
      <c r="U102" s="19"/>
      <c r="V102" s="19"/>
    </row>
    <row r="103" spans="3:36" x14ac:dyDescent="0.25">
      <c r="N103" s="19">
        <f>+SUM(E94:M102)</f>
        <v>364.14882796454674</v>
      </c>
    </row>
    <row r="104" spans="3:36" ht="15.75" thickBot="1" x14ac:dyDescent="0.3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36" ht="15.75" thickBot="1" x14ac:dyDescent="0.3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36" x14ac:dyDescent="0.25">
      <c r="C106" s="20" t="s">
        <v>1</v>
      </c>
      <c r="D106" s="28" t="s">
        <v>51</v>
      </c>
      <c r="E106" s="1">
        <f>+MAX(E94-E78,0)</f>
        <v>0</v>
      </c>
      <c r="F106" s="2">
        <f t="shared" ref="F106:M106" si="29">+MAX(F94-F78,0)</f>
        <v>0</v>
      </c>
      <c r="G106" s="2">
        <f t="shared" si="29"/>
        <v>0</v>
      </c>
      <c r="H106" s="2">
        <f t="shared" si="29"/>
        <v>0</v>
      </c>
      <c r="I106" s="2">
        <f t="shared" si="29"/>
        <v>0</v>
      </c>
      <c r="J106" s="2">
        <f t="shared" si="29"/>
        <v>0</v>
      </c>
      <c r="K106" s="2">
        <f t="shared" si="29"/>
        <v>0</v>
      </c>
      <c r="L106" s="2">
        <f t="shared" si="29"/>
        <v>0</v>
      </c>
      <c r="M106" s="3">
        <f t="shared" si="29"/>
        <v>0</v>
      </c>
      <c r="N106" s="53">
        <f>+SUM(E106:M106)</f>
        <v>0</v>
      </c>
      <c r="O106" s="18"/>
      <c r="P106" s="18"/>
      <c r="Q106" s="18"/>
      <c r="R106" s="18"/>
      <c r="S106" s="18"/>
      <c r="T106" s="18"/>
      <c r="U106" s="18"/>
      <c r="V106" s="18"/>
      <c r="W106" s="18"/>
      <c r="X106" s="16"/>
      <c r="Y106" s="16"/>
      <c r="Z106" s="16"/>
      <c r="AA106" s="16"/>
      <c r="AB106" s="16"/>
      <c r="AC106" s="16"/>
      <c r="AD106" s="16"/>
      <c r="AE106" s="16"/>
      <c r="AF106" s="16"/>
      <c r="AG106" s="18"/>
      <c r="AH106" s="18"/>
      <c r="AI106" s="18"/>
      <c r="AJ106" s="18"/>
    </row>
    <row r="107" spans="3:36" x14ac:dyDescent="0.25">
      <c r="C107" s="20" t="s">
        <v>1</v>
      </c>
      <c r="D107" s="25" t="s">
        <v>52</v>
      </c>
      <c r="E107" s="5">
        <f t="shared" ref="E107:M114" si="30">+MAX(E95-E79,0)</f>
        <v>0</v>
      </c>
      <c r="F107" s="6">
        <f t="shared" si="30"/>
        <v>0</v>
      </c>
      <c r="G107" s="6">
        <f t="shared" si="30"/>
        <v>0</v>
      </c>
      <c r="H107" s="6">
        <f t="shared" si="30"/>
        <v>0</v>
      </c>
      <c r="I107" s="6">
        <f t="shared" si="30"/>
        <v>0</v>
      </c>
      <c r="J107" s="6">
        <f t="shared" si="30"/>
        <v>0</v>
      </c>
      <c r="K107" s="6">
        <f t="shared" si="30"/>
        <v>0</v>
      </c>
      <c r="L107" s="6">
        <f t="shared" si="30"/>
        <v>0</v>
      </c>
      <c r="M107" s="7">
        <f t="shared" si="30"/>
        <v>0</v>
      </c>
      <c r="N107" s="8">
        <f t="shared" ref="N107:N114" si="31">+SUM(E107:M107)</f>
        <v>0</v>
      </c>
      <c r="O107" s="18"/>
      <c r="P107" s="18"/>
      <c r="Q107" s="18"/>
      <c r="R107" s="18"/>
      <c r="S107" s="18"/>
      <c r="T107" s="18"/>
      <c r="U107" s="18"/>
      <c r="V107" s="18"/>
      <c r="W107" s="18"/>
      <c r="X107" s="16"/>
      <c r="Y107" s="16"/>
      <c r="Z107" s="16"/>
      <c r="AA107" s="16"/>
      <c r="AB107" s="16"/>
      <c r="AC107" s="16"/>
      <c r="AD107" s="16"/>
      <c r="AE107" s="16"/>
      <c r="AF107" s="16"/>
      <c r="AG107" s="18"/>
      <c r="AH107" s="18"/>
      <c r="AI107" s="18"/>
      <c r="AJ107" s="18"/>
    </row>
    <row r="108" spans="3:36" x14ac:dyDescent="0.25">
      <c r="C108" s="20" t="s">
        <v>1</v>
      </c>
      <c r="D108" s="25" t="s">
        <v>53</v>
      </c>
      <c r="E108" s="5">
        <f t="shared" si="30"/>
        <v>0</v>
      </c>
      <c r="F108" s="6">
        <f t="shared" si="30"/>
        <v>0</v>
      </c>
      <c r="G108" s="6">
        <f t="shared" si="30"/>
        <v>0</v>
      </c>
      <c r="H108" s="6">
        <f t="shared" si="30"/>
        <v>0</v>
      </c>
      <c r="I108" s="6">
        <f t="shared" si="30"/>
        <v>0</v>
      </c>
      <c r="J108" s="6">
        <f t="shared" si="30"/>
        <v>0</v>
      </c>
      <c r="K108" s="6">
        <f t="shared" si="30"/>
        <v>0</v>
      </c>
      <c r="L108" s="6">
        <f t="shared" si="30"/>
        <v>0</v>
      </c>
      <c r="M108" s="7">
        <f t="shared" si="30"/>
        <v>0</v>
      </c>
      <c r="N108" s="8">
        <f t="shared" si="31"/>
        <v>0</v>
      </c>
      <c r="O108" s="18"/>
      <c r="P108" s="18"/>
      <c r="Q108" s="18"/>
      <c r="R108" s="18"/>
      <c r="S108" s="18"/>
      <c r="T108" s="18"/>
      <c r="U108" s="18"/>
      <c r="V108" s="18"/>
      <c r="W108" s="18"/>
      <c r="X108" s="16"/>
      <c r="Y108" s="16"/>
      <c r="Z108" s="16"/>
      <c r="AA108" s="16"/>
      <c r="AB108" s="16"/>
      <c r="AC108" s="16"/>
      <c r="AD108" s="16"/>
      <c r="AE108" s="16"/>
      <c r="AF108" s="16"/>
      <c r="AG108" s="18"/>
      <c r="AH108" s="18"/>
      <c r="AI108" s="18"/>
      <c r="AJ108" s="18"/>
    </row>
    <row r="109" spans="3:36" x14ac:dyDescent="0.25">
      <c r="C109" s="20" t="s">
        <v>10</v>
      </c>
      <c r="D109" s="25" t="str">
        <f>+D106</f>
        <v>Agr</v>
      </c>
      <c r="E109" s="5">
        <f t="shared" si="30"/>
        <v>0</v>
      </c>
      <c r="F109" s="6">
        <f t="shared" si="30"/>
        <v>0</v>
      </c>
      <c r="G109" s="6">
        <f t="shared" si="30"/>
        <v>4.2592306983224582E-2</v>
      </c>
      <c r="H109" s="6">
        <f t="shared" si="30"/>
        <v>0</v>
      </c>
      <c r="I109" s="6">
        <f t="shared" si="30"/>
        <v>0</v>
      </c>
      <c r="J109" s="6">
        <f t="shared" si="30"/>
        <v>0.1950387588249427</v>
      </c>
      <c r="K109" s="6">
        <f t="shared" si="30"/>
        <v>0</v>
      </c>
      <c r="L109" s="6">
        <f t="shared" si="30"/>
        <v>3.8017476088944235E-2</v>
      </c>
      <c r="M109" s="7">
        <f t="shared" si="30"/>
        <v>0</v>
      </c>
      <c r="N109" s="8">
        <f t="shared" si="31"/>
        <v>0.27564854189711152</v>
      </c>
      <c r="O109" s="18"/>
      <c r="P109" s="18"/>
      <c r="Q109" s="18"/>
      <c r="R109" s="18"/>
      <c r="S109" s="18"/>
      <c r="T109" s="18"/>
      <c r="U109" s="18"/>
      <c r="V109" s="18"/>
      <c r="W109" s="18"/>
      <c r="X109" s="16"/>
      <c r="Y109" s="16"/>
      <c r="Z109" s="16"/>
      <c r="AA109" s="16"/>
      <c r="AB109" s="16"/>
      <c r="AC109" s="16"/>
      <c r="AD109" s="16"/>
      <c r="AE109" s="16"/>
      <c r="AF109" s="16"/>
      <c r="AG109" s="18"/>
      <c r="AH109" s="18"/>
      <c r="AI109" s="18"/>
      <c r="AJ109" s="18"/>
    </row>
    <row r="110" spans="3:36" x14ac:dyDescent="0.25">
      <c r="C110" s="20" t="s">
        <v>10</v>
      </c>
      <c r="D110" s="25" t="str">
        <f t="shared" ref="D110:D114" si="32">+D107</f>
        <v>Ind</v>
      </c>
      <c r="E110" s="5">
        <f t="shared" si="30"/>
        <v>0</v>
      </c>
      <c r="F110" s="6">
        <f t="shared" si="30"/>
        <v>0</v>
      </c>
      <c r="G110" s="6">
        <f t="shared" si="30"/>
        <v>0</v>
      </c>
      <c r="H110" s="6">
        <f t="shared" si="30"/>
        <v>0</v>
      </c>
      <c r="I110" s="6">
        <f t="shared" si="30"/>
        <v>0</v>
      </c>
      <c r="J110" s="6">
        <f t="shared" si="30"/>
        <v>0</v>
      </c>
      <c r="K110" s="6">
        <f t="shared" si="30"/>
        <v>0</v>
      </c>
      <c r="L110" s="6">
        <f t="shared" si="30"/>
        <v>0</v>
      </c>
      <c r="M110" s="7">
        <f t="shared" si="30"/>
        <v>0</v>
      </c>
      <c r="N110" s="8">
        <f t="shared" si="31"/>
        <v>0</v>
      </c>
      <c r="O110" s="18"/>
      <c r="P110" s="18"/>
      <c r="Q110" s="18"/>
      <c r="R110" s="18"/>
      <c r="S110" s="18"/>
      <c r="T110" s="18"/>
      <c r="U110" s="18"/>
      <c r="V110" s="18"/>
      <c r="W110" s="18"/>
      <c r="X110" s="16"/>
      <c r="Y110" s="16"/>
      <c r="Z110" s="16"/>
      <c r="AA110" s="16"/>
      <c r="AB110" s="16"/>
      <c r="AC110" s="16"/>
      <c r="AD110" s="16"/>
      <c r="AE110" s="16"/>
      <c r="AF110" s="16"/>
      <c r="AG110" s="18"/>
      <c r="AH110" s="18"/>
      <c r="AI110" s="18"/>
      <c r="AJ110" s="18"/>
    </row>
    <row r="111" spans="3:36" x14ac:dyDescent="0.25">
      <c r="C111" s="20" t="s">
        <v>10</v>
      </c>
      <c r="D111" s="25" t="str">
        <f t="shared" si="32"/>
        <v>Serv</v>
      </c>
      <c r="E111" s="5">
        <f t="shared" si="30"/>
        <v>0</v>
      </c>
      <c r="F111" s="6">
        <f t="shared" si="30"/>
        <v>0</v>
      </c>
      <c r="G111" s="6">
        <f t="shared" si="30"/>
        <v>2.592306983224546E-3</v>
      </c>
      <c r="H111" s="6">
        <f t="shared" si="30"/>
        <v>0</v>
      </c>
      <c r="I111" s="6">
        <f t="shared" si="30"/>
        <v>0</v>
      </c>
      <c r="J111" s="6">
        <f t="shared" si="30"/>
        <v>2.3341946405542657E-2</v>
      </c>
      <c r="K111" s="6">
        <f t="shared" si="30"/>
        <v>0</v>
      </c>
      <c r="L111" s="6">
        <f t="shared" si="30"/>
        <v>0</v>
      </c>
      <c r="M111" s="7">
        <f t="shared" si="30"/>
        <v>0</v>
      </c>
      <c r="N111" s="8">
        <f t="shared" si="31"/>
        <v>2.5934253388767203E-2</v>
      </c>
      <c r="O111" s="18"/>
      <c r="P111" s="18"/>
      <c r="Q111" s="18"/>
      <c r="R111" s="18"/>
      <c r="S111" s="18"/>
      <c r="T111" s="18"/>
      <c r="U111" s="18"/>
      <c r="V111" s="18"/>
      <c r="W111" s="18"/>
      <c r="X111" s="16"/>
      <c r="Y111" s="16"/>
      <c r="Z111" s="16"/>
      <c r="AA111" s="16"/>
      <c r="AB111" s="16"/>
      <c r="AC111" s="16"/>
      <c r="AD111" s="16"/>
      <c r="AE111" s="16"/>
      <c r="AF111" s="16"/>
      <c r="AG111" s="18"/>
      <c r="AH111" s="18"/>
      <c r="AI111" s="18"/>
      <c r="AJ111" s="18"/>
    </row>
    <row r="112" spans="3:36" x14ac:dyDescent="0.25">
      <c r="C112" s="20" t="s">
        <v>11</v>
      </c>
      <c r="D112" s="25" t="str">
        <f t="shared" si="32"/>
        <v>Agr</v>
      </c>
      <c r="E112" s="5">
        <f t="shared" si="30"/>
        <v>0</v>
      </c>
      <c r="F112" s="6">
        <f t="shared" si="30"/>
        <v>0</v>
      </c>
      <c r="G112" s="6">
        <f t="shared" si="30"/>
        <v>0</v>
      </c>
      <c r="H112" s="6">
        <f t="shared" si="30"/>
        <v>0</v>
      </c>
      <c r="I112" s="6">
        <f t="shared" si="30"/>
        <v>0</v>
      </c>
      <c r="J112" s="6">
        <f t="shared" si="30"/>
        <v>0</v>
      </c>
      <c r="K112" s="6">
        <f t="shared" si="30"/>
        <v>0</v>
      </c>
      <c r="L112" s="6">
        <f t="shared" si="30"/>
        <v>0</v>
      </c>
      <c r="M112" s="7">
        <f t="shared" si="30"/>
        <v>0</v>
      </c>
      <c r="N112" s="8">
        <f t="shared" si="31"/>
        <v>0</v>
      </c>
      <c r="O112" s="18"/>
      <c r="P112" s="18"/>
      <c r="Q112" s="18"/>
      <c r="R112" s="18"/>
      <c r="S112" s="18"/>
      <c r="T112" s="18"/>
      <c r="U112" s="18"/>
      <c r="V112" s="18"/>
      <c r="W112" s="18"/>
      <c r="X112" s="16"/>
      <c r="Y112" s="16"/>
      <c r="Z112" s="16"/>
      <c r="AA112" s="16"/>
      <c r="AB112" s="16"/>
      <c r="AC112" s="16"/>
      <c r="AD112" s="16"/>
      <c r="AE112" s="16"/>
      <c r="AF112" s="16"/>
      <c r="AG112" s="18"/>
      <c r="AH112" s="18"/>
      <c r="AI112" s="18"/>
      <c r="AJ112" s="18"/>
    </row>
    <row r="113" spans="1:36" x14ac:dyDescent="0.25">
      <c r="C113" s="20" t="s">
        <v>11</v>
      </c>
      <c r="D113" s="25" t="str">
        <f t="shared" si="32"/>
        <v>Ind</v>
      </c>
      <c r="E113" s="5">
        <f t="shared" si="30"/>
        <v>0</v>
      </c>
      <c r="F113" s="6">
        <f t="shared" si="30"/>
        <v>0</v>
      </c>
      <c r="G113" s="6">
        <f t="shared" si="30"/>
        <v>0</v>
      </c>
      <c r="H113" s="6">
        <f t="shared" si="30"/>
        <v>0</v>
      </c>
      <c r="I113" s="6">
        <f t="shared" si="30"/>
        <v>0</v>
      </c>
      <c r="J113" s="6">
        <f t="shared" si="30"/>
        <v>0</v>
      </c>
      <c r="K113" s="6">
        <f t="shared" si="30"/>
        <v>0</v>
      </c>
      <c r="L113" s="6">
        <f t="shared" si="30"/>
        <v>0</v>
      </c>
      <c r="M113" s="7">
        <f t="shared" si="30"/>
        <v>0</v>
      </c>
      <c r="N113" s="8">
        <f t="shared" si="31"/>
        <v>0</v>
      </c>
      <c r="O113" s="18"/>
      <c r="P113" s="18"/>
      <c r="Q113" s="18"/>
      <c r="R113" s="18"/>
      <c r="S113" s="18"/>
      <c r="T113" s="18"/>
      <c r="U113" s="18"/>
      <c r="V113" s="18"/>
      <c r="W113" s="18"/>
      <c r="X113" s="16"/>
      <c r="Y113" s="16"/>
      <c r="Z113" s="16"/>
      <c r="AA113" s="16"/>
      <c r="AB113" s="16"/>
      <c r="AC113" s="16"/>
      <c r="AD113" s="16"/>
      <c r="AE113" s="16"/>
      <c r="AF113" s="16"/>
      <c r="AG113" s="18"/>
      <c r="AH113" s="18"/>
      <c r="AI113" s="18"/>
      <c r="AJ113" s="18"/>
    </row>
    <row r="114" spans="1:36" x14ac:dyDescent="0.25">
      <c r="C114" s="20" t="s">
        <v>11</v>
      </c>
      <c r="D114" s="25" t="str">
        <f t="shared" si="32"/>
        <v>Serv</v>
      </c>
      <c r="E114" s="9">
        <f t="shared" si="30"/>
        <v>0</v>
      </c>
      <c r="F114" s="10">
        <f t="shared" si="30"/>
        <v>0</v>
      </c>
      <c r="G114" s="10">
        <f t="shared" si="30"/>
        <v>0</v>
      </c>
      <c r="H114" s="10">
        <f t="shared" si="30"/>
        <v>0</v>
      </c>
      <c r="I114" s="10">
        <f t="shared" si="30"/>
        <v>0</v>
      </c>
      <c r="J114" s="10">
        <f t="shared" si="30"/>
        <v>0</v>
      </c>
      <c r="K114" s="10">
        <f t="shared" si="30"/>
        <v>0</v>
      </c>
      <c r="L114" s="10">
        <f t="shared" si="30"/>
        <v>0</v>
      </c>
      <c r="M114" s="11">
        <f t="shared" si="30"/>
        <v>0</v>
      </c>
      <c r="N114" s="12">
        <f t="shared" si="31"/>
        <v>0</v>
      </c>
      <c r="O114" s="18"/>
      <c r="P114" s="18"/>
      <c r="Q114" s="18"/>
      <c r="R114" s="18"/>
      <c r="S114" s="18"/>
      <c r="T114" s="18"/>
      <c r="U114" s="18"/>
      <c r="V114" s="18"/>
      <c r="W114" s="18"/>
      <c r="X114" s="16"/>
      <c r="Y114" s="16"/>
      <c r="Z114" s="16"/>
      <c r="AA114" s="16"/>
      <c r="AB114" s="16"/>
      <c r="AC114" s="16"/>
      <c r="AD114" s="16"/>
      <c r="AE114" s="16"/>
      <c r="AF114" s="16"/>
      <c r="AG114" s="18"/>
      <c r="AH114" s="18"/>
      <c r="AI114" s="18"/>
      <c r="AJ114" s="18"/>
    </row>
    <row r="115" spans="1:36" x14ac:dyDescent="0.25">
      <c r="C115" s="57"/>
      <c r="D115" s="57"/>
      <c r="E115" s="13">
        <f t="shared" ref="E115:M115" si="33">SUM(E105:E114)</f>
        <v>0</v>
      </c>
      <c r="F115" s="14">
        <f t="shared" si="33"/>
        <v>0</v>
      </c>
      <c r="G115" s="14">
        <f t="shared" si="33"/>
        <v>4.5184613966449128E-2</v>
      </c>
      <c r="H115" s="14">
        <f t="shared" si="33"/>
        <v>0</v>
      </c>
      <c r="I115" s="14">
        <f t="shared" si="33"/>
        <v>0</v>
      </c>
      <c r="J115" s="14">
        <f t="shared" si="33"/>
        <v>0.21838070523048536</v>
      </c>
      <c r="K115" s="14">
        <f t="shared" si="33"/>
        <v>0</v>
      </c>
      <c r="L115" s="14">
        <f t="shared" si="33"/>
        <v>3.8017476088944235E-2</v>
      </c>
      <c r="M115" s="15">
        <f t="shared" si="33"/>
        <v>0</v>
      </c>
      <c r="N115" s="19">
        <f>+SUM(E106:M114)</f>
        <v>0.30158279528587872</v>
      </c>
    </row>
    <row r="116" spans="1:36" x14ac:dyDescent="0.25">
      <c r="A116" s="66"/>
    </row>
    <row r="117" spans="1:36" x14ac:dyDescent="0.25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  <c r="N117" s="57" t="s">
        <v>56</v>
      </c>
      <c r="O117" t="str" cm="1">
        <f t="array" ref="O117:Q117">+TRANSPOSE(_xlfn.UNIQUE($D$118:$D$126))</f>
        <v>Agr</v>
      </c>
      <c r="P117" t="str">
        <v>Ind</v>
      </c>
      <c r="Q117" t="str">
        <v>Serv</v>
      </c>
      <c r="R117" s="100" t="s">
        <v>58</v>
      </c>
    </row>
    <row r="118" spans="1:36" x14ac:dyDescent="0.25">
      <c r="A118" s="67"/>
      <c r="C118" s="20" t="s">
        <v>1</v>
      </c>
      <c r="D118" s="20" t="s">
        <v>51</v>
      </c>
      <c r="E118" s="53">
        <f>+MAX(F60-H47-SUM(E78:M78),0)</f>
        <v>5.2783359361735052</v>
      </c>
      <c r="F118" s="53" cm="1">
        <f t="array" ref="F118">+IFERROR(E118/_xlfn.XLOOKUP(D118,_xlfn.ANCHORARRAY($I$118),$K$118:$K$120,,0),1)</f>
        <v>19.148789613926908</v>
      </c>
      <c r="G118" s="53" cm="1">
        <f t="array" ref="G118">+E118/_xlfn.XLOOKUP(D118,_xlfn.ANCHORARRAY($I$118),$J$118:$J$120,,0)</f>
        <v>0.46175190178760317</v>
      </c>
      <c r="I118" s="54" t="str" cm="1">
        <f t="array" ref="I118:I120">+_xlfn.UNIQUE(D118:D126)</f>
        <v>Agr</v>
      </c>
      <c r="J118" s="58">
        <f>+SUMIF($D$118:$D$126,I118,$E$118:$E$126)</f>
        <v>11.431108168129292</v>
      </c>
      <c r="K118" s="40">
        <f>+SUMIF($D$106:$D$114,I118,$N$106:$N$114)</f>
        <v>0.27564854189711152</v>
      </c>
      <c r="L118" s="40">
        <f>+IFERROR(MIN(1,J118/K118),1)</f>
        <v>1</v>
      </c>
      <c r="M118" s="18"/>
      <c r="N118" t="str" cm="1">
        <f t="array" ref="N118:N120">+_xlfn.UNIQUE($C$118:$C$126)</f>
        <v>A</v>
      </c>
      <c r="O118" s="16">
        <f>+SUMIFS($E$118:$E$126,$C$118:$C$126,$N118,$D$118:$D$126,O$117)</f>
        <v>5.2783359361735052</v>
      </c>
      <c r="P118" s="16">
        <f t="shared" ref="P118:Q118" si="34">+SUMIFS($E$118:$E$126,$C$118:$C$126,$N118,$D$118:$D$126,P$117)</f>
        <v>3.9501240714937964</v>
      </c>
      <c r="Q118" s="16">
        <f t="shared" si="34"/>
        <v>0</v>
      </c>
      <c r="S118" s="99" cm="1">
        <f t="array" ref="S118:S120">+O118:O120/O121</f>
        <v>0.46175190178760317</v>
      </c>
      <c r="T118" s="99" cm="1">
        <f t="array" ref="T118:T120">+P118:P120/P121</f>
        <v>0.88397636663679546</v>
      </c>
      <c r="U118" s="99" cm="1">
        <f t="array" ref="U118:U120">+Q118:Q120/Q121</f>
        <v>0</v>
      </c>
    </row>
    <row r="119" spans="1:36" x14ac:dyDescent="0.25">
      <c r="C119" s="20" t="s">
        <v>1</v>
      </c>
      <c r="D119" s="20" t="s">
        <v>52</v>
      </c>
      <c r="E119" s="8">
        <f>+MAX(F61-H48-SUM(E79:M79),0)</f>
        <v>3.9501240714937964</v>
      </c>
      <c r="F119" s="8" cm="1">
        <f t="array" ref="F119">+IFERROR(E119/_xlfn.XLOOKUP(D119,_xlfn.ANCHORARRAY($I$118),$K$118:$K$120,,0),1)</f>
        <v>1</v>
      </c>
      <c r="G119" s="8" cm="1">
        <f t="array" ref="G119">+E119/_xlfn.XLOOKUP(D119,_xlfn.ANCHORARRAY($I$118),$J$118:$J$120,,0)</f>
        <v>0.88397636663679546</v>
      </c>
      <c r="I119" s="55" t="str">
        <v>Ind</v>
      </c>
      <c r="J119" s="59">
        <f t="shared" ref="J119:J120" si="35">+SUMIF($D$118:$D$126,I119,$E$118:$E$126)</f>
        <v>4.4685856099553476</v>
      </c>
      <c r="K119" s="41">
        <f t="shared" ref="K119:K120" si="36">+SUMIF($D$106:$D$114,I119,$N$106:$N$114)</f>
        <v>0</v>
      </c>
      <c r="L119" s="40">
        <f t="shared" ref="L119:L120" si="37">+IFERROR(MIN(1,J119/K119),1)</f>
        <v>1</v>
      </c>
      <c r="M119" s="18"/>
      <c r="N119" t="str">
        <v>B</v>
      </c>
      <c r="O119" s="16">
        <f t="shared" ref="O119:Q120" si="38">+SUMIFS($E$118:$E$126,$C$118:$C$126,$N119,$D$118:$D$126,O$117)</f>
        <v>0</v>
      </c>
      <c r="P119" s="16">
        <f t="shared" si="38"/>
        <v>0.28846153846154721</v>
      </c>
      <c r="Q119" s="16">
        <f t="shared" si="38"/>
        <v>0</v>
      </c>
      <c r="S119" s="99">
        <v>0</v>
      </c>
      <c r="T119" s="99">
        <v>6.4553208473593429E-2</v>
      </c>
      <c r="U119" s="99">
        <v>0</v>
      </c>
    </row>
    <row r="120" spans="1:36" x14ac:dyDescent="0.25">
      <c r="C120" s="20" t="s">
        <v>1</v>
      </c>
      <c r="D120" s="20" t="s">
        <v>53</v>
      </c>
      <c r="E120" s="8">
        <f>+MAX(F62-H49-SUM(E80:M80),0)</f>
        <v>0</v>
      </c>
      <c r="F120" s="8" cm="1">
        <f t="array" ref="F120">+IFERROR(E120/_xlfn.XLOOKUP(D120,_xlfn.ANCHORARRAY($I$118),$K$118:$K$120,,0),1)</f>
        <v>0</v>
      </c>
      <c r="G120" s="8" cm="1">
        <f t="array" ref="G120">+E120/_xlfn.XLOOKUP(D120,_xlfn.ANCHORARRAY($I$118),$J$118:$J$120,,0)</f>
        <v>0</v>
      </c>
      <c r="I120" s="56" t="str">
        <v>Serv</v>
      </c>
      <c r="J120" s="60">
        <f t="shared" si="35"/>
        <v>4.2089042674633106</v>
      </c>
      <c r="K120" s="42">
        <f t="shared" si="36"/>
        <v>2.5934253388767203E-2</v>
      </c>
      <c r="L120" s="40">
        <f t="shared" si="37"/>
        <v>1</v>
      </c>
      <c r="M120" s="18"/>
      <c r="N120" t="str">
        <v>C</v>
      </c>
      <c r="O120" s="16">
        <f t="shared" si="38"/>
        <v>6.1527722319557867</v>
      </c>
      <c r="P120" s="16">
        <f t="shared" si="38"/>
        <v>0.23000000000000398</v>
      </c>
      <c r="Q120" s="16">
        <f t="shared" si="38"/>
        <v>4.2089042674633106</v>
      </c>
      <c r="S120" s="99">
        <v>0.53824809821239683</v>
      </c>
      <c r="T120" s="99">
        <v>5.1470424889611156E-2</v>
      </c>
      <c r="U120" s="99">
        <v>1</v>
      </c>
    </row>
    <row r="121" spans="1:36" x14ac:dyDescent="0.25">
      <c r="C121" s="20" t="s">
        <v>10</v>
      </c>
      <c r="D121" s="20" t="str">
        <f>+D118</f>
        <v>Agr</v>
      </c>
      <c r="E121" s="8">
        <f>+MAX(F63-H50-SUM(E81:M81),0)</f>
        <v>0</v>
      </c>
      <c r="F121" s="8" cm="1">
        <f t="array" ref="F121">+IFERROR(E121/_xlfn.XLOOKUP(D121,_xlfn.ANCHORARRAY($I$118),$K$118:$K$120,,0),1)</f>
        <v>0</v>
      </c>
      <c r="G121" s="8" cm="1">
        <f t="array" ref="G121">+E121/_xlfn.XLOOKUP(D121,_xlfn.ANCHORARRAY($I$118),$J$118:$J$120,,0)</f>
        <v>0</v>
      </c>
      <c r="H121" s="18"/>
      <c r="N121" t="s">
        <v>57</v>
      </c>
      <c r="O121" s="19">
        <f>SUM(O118:O120)</f>
        <v>11.431108168129292</v>
      </c>
      <c r="P121" s="19">
        <f t="shared" ref="P121:Q121" si="39">SUM(P118:P120)</f>
        <v>4.4685856099553476</v>
      </c>
      <c r="Q121" s="19">
        <f t="shared" si="39"/>
        <v>4.2089042674633106</v>
      </c>
    </row>
    <row r="122" spans="1:36" x14ac:dyDescent="0.25">
      <c r="C122" s="20" t="s">
        <v>10</v>
      </c>
      <c r="D122" s="20" t="str">
        <f t="shared" ref="D122:D126" si="40">+D119</f>
        <v>Ind</v>
      </c>
      <c r="E122" s="8">
        <f t="shared" ref="E122:E126" si="41">+MAX(F64-H51-SUM(E82:M82),0)</f>
        <v>0.28846153846154721</v>
      </c>
      <c r="F122" s="8" cm="1">
        <f t="array" ref="F122">+IFERROR(E122/_xlfn.XLOOKUP(D122,_xlfn.ANCHORARRAY($I$118),$K$118:$K$120,,0),1)</f>
        <v>1</v>
      </c>
      <c r="G122" s="8" cm="1">
        <f t="array" ref="G122">+E122/_xlfn.XLOOKUP(D122,_xlfn.ANCHORARRAY($I$118),$J$118:$J$120,,0)</f>
        <v>6.4553208473593429E-2</v>
      </c>
      <c r="I122" s="20" t="s">
        <v>39</v>
      </c>
    </row>
    <row r="123" spans="1:36" x14ac:dyDescent="0.25">
      <c r="C123" s="20" t="s">
        <v>10</v>
      </c>
      <c r="D123" s="20" t="str">
        <f t="shared" si="40"/>
        <v>Serv</v>
      </c>
      <c r="E123" s="8">
        <f t="shared" si="41"/>
        <v>0</v>
      </c>
      <c r="F123" s="8" cm="1">
        <f t="array" ref="F123">+IFERROR(E123/_xlfn.XLOOKUP(D123,_xlfn.ANCHORARRAY($I$118),$K$118:$K$120,,0),1)</f>
        <v>0</v>
      </c>
      <c r="G123" s="8" cm="1">
        <f t="array" ref="G123">+E123/_xlfn.XLOOKUP(D123,_xlfn.ANCHORARRAY($I$118),$J$118:$J$120,,0)</f>
        <v>0</v>
      </c>
      <c r="I123" s="69">
        <v>1</v>
      </c>
    </row>
    <row r="124" spans="1:36" x14ac:dyDescent="0.25">
      <c r="C124" s="20" t="s">
        <v>11</v>
      </c>
      <c r="D124" s="20" t="str">
        <f t="shared" si="40"/>
        <v>Agr</v>
      </c>
      <c r="E124" s="8">
        <f t="shared" si="41"/>
        <v>6.1527722319557867</v>
      </c>
      <c r="F124" s="8" cm="1">
        <f t="array" ref="F124">+IFERROR(E124/_xlfn.XLOOKUP(D124,_xlfn.ANCHORARRAY($I$118),$K$118:$K$120,,0),1)</f>
        <v>22.321076649309351</v>
      </c>
      <c r="G124" s="8" cm="1">
        <f t="array" ref="G124">+E124/_xlfn.XLOOKUP(D124,_xlfn.ANCHORARRAY($I$118),$J$118:$J$120,,0)</f>
        <v>0.53824809821239683</v>
      </c>
    </row>
    <row r="125" spans="1:36" x14ac:dyDescent="0.25">
      <c r="C125" s="20" t="s">
        <v>11</v>
      </c>
      <c r="D125" s="20" t="str">
        <f t="shared" si="40"/>
        <v>Ind</v>
      </c>
      <c r="E125" s="8">
        <f t="shared" si="41"/>
        <v>0.23000000000000398</v>
      </c>
      <c r="F125" s="8" cm="1">
        <f t="array" ref="F125">+IFERROR(E125/_xlfn.XLOOKUP(D125,_xlfn.ANCHORARRAY($I$118),$K$118:$K$120,,0),1)</f>
        <v>1</v>
      </c>
      <c r="G125" s="8" cm="1">
        <f t="array" ref="G125">+E125/_xlfn.XLOOKUP(D125,_xlfn.ANCHORARRAY($I$118),$J$118:$J$120,,0)</f>
        <v>5.1470424889611156E-2</v>
      </c>
    </row>
    <row r="126" spans="1:36" x14ac:dyDescent="0.25">
      <c r="C126" s="20" t="s">
        <v>11</v>
      </c>
      <c r="D126" s="20" t="str">
        <f t="shared" si="40"/>
        <v>Serv</v>
      </c>
      <c r="E126" s="12">
        <f t="shared" si="41"/>
        <v>4.2089042674633106</v>
      </c>
      <c r="F126" s="12" cm="1">
        <f t="array" ref="F126">+IFERROR(E126/_xlfn.XLOOKUP(D126,_xlfn.ANCHORARRAY($I$118),$K$118:$K$120,,0),1)</f>
        <v>162.29132199681121</v>
      </c>
      <c r="G126" s="12" cm="1">
        <f t="array" ref="G126">+E126/_xlfn.XLOOKUP(D126,_xlfn.ANCHORARRAY($I$118),$J$118:$J$120,,0)</f>
        <v>1</v>
      </c>
    </row>
    <row r="127" spans="1:36" x14ac:dyDescent="0.25">
      <c r="E127" s="19">
        <f>SUM(E118:E126)</f>
        <v>20.10859804554795</v>
      </c>
      <c r="G127" s="19">
        <f>SUM(G118:G126)</f>
        <v>3</v>
      </c>
    </row>
    <row r="128" spans="1:36" ht="15.75" thickBot="1" x14ac:dyDescent="0.3">
      <c r="A128" s="64"/>
      <c r="E128" s="19"/>
      <c r="G128" s="19"/>
    </row>
    <row r="129" spans="1:24" ht="15.75" thickBot="1" x14ac:dyDescent="0.3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  <c r="O129" s="109" t="s">
        <v>59</v>
      </c>
      <c r="P129" s="110" t="s">
        <v>1</v>
      </c>
      <c r="Q129" s="110" t="s">
        <v>1</v>
      </c>
      <c r="R129" s="110" t="s">
        <v>1</v>
      </c>
      <c r="S129" s="110" t="s">
        <v>10</v>
      </c>
      <c r="T129" s="110" t="s">
        <v>10</v>
      </c>
      <c r="U129" s="110" t="s">
        <v>10</v>
      </c>
      <c r="V129" s="110" t="s">
        <v>11</v>
      </c>
      <c r="W129" s="110" t="s">
        <v>11</v>
      </c>
      <c r="X129" s="111" t="s">
        <v>11</v>
      </c>
    </row>
    <row r="130" spans="1:24" ht="15.75" thickBot="1" x14ac:dyDescent="0.3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  <c r="O130" s="112" t="s">
        <v>55</v>
      </c>
      <c r="P130" s="49" t="s">
        <v>51</v>
      </c>
      <c r="Q130" s="49" t="s">
        <v>52</v>
      </c>
      <c r="R130" s="49" t="s">
        <v>53</v>
      </c>
      <c r="S130" s="49" t="s">
        <v>51</v>
      </c>
      <c r="T130" s="49" t="s">
        <v>52</v>
      </c>
      <c r="U130" s="49" t="s">
        <v>53</v>
      </c>
      <c r="V130" s="49" t="s">
        <v>51</v>
      </c>
      <c r="W130" s="49" t="s">
        <v>52</v>
      </c>
      <c r="X130" s="113" t="s">
        <v>53</v>
      </c>
    </row>
    <row r="131" spans="1:24" ht="15.75" thickBot="1" x14ac:dyDescent="0.3">
      <c r="D131" s="28" t="str" cm="1">
        <f t="array" ref="D131:D133">+_xlfn.UNIQUE(D118:D126)</f>
        <v>Agr</v>
      </c>
      <c r="E131" s="1">
        <f t="shared" ref="E131:M133" si="42">+SUMIF($D$106:$D$114,$D131,E$106:E$114)</f>
        <v>0</v>
      </c>
      <c r="F131" s="2">
        <f t="shared" si="42"/>
        <v>0</v>
      </c>
      <c r="G131" s="2">
        <f t="shared" si="42"/>
        <v>4.2592306983224582E-2</v>
      </c>
      <c r="H131" s="2">
        <f t="shared" si="42"/>
        <v>0</v>
      </c>
      <c r="I131" s="2">
        <f t="shared" si="42"/>
        <v>0</v>
      </c>
      <c r="J131" s="2">
        <f t="shared" si="42"/>
        <v>0.1950387588249427</v>
      </c>
      <c r="K131" s="2">
        <f t="shared" si="42"/>
        <v>0</v>
      </c>
      <c r="L131" s="2">
        <f t="shared" si="42"/>
        <v>3.8017476088944235E-2</v>
      </c>
      <c r="M131" s="3">
        <f t="shared" si="42"/>
        <v>0</v>
      </c>
      <c r="O131" s="104">
        <f>+$L118*$I$123</f>
        <v>1</v>
      </c>
      <c r="P131" s="105">
        <f>+$O131*E131</f>
        <v>0</v>
      </c>
      <c r="Q131" s="105">
        <f t="shared" ref="Q131:X131" si="43">+$O131*F131</f>
        <v>0</v>
      </c>
      <c r="R131" s="105">
        <f t="shared" si="43"/>
        <v>4.2592306983224582E-2</v>
      </c>
      <c r="S131" s="105">
        <f t="shared" si="43"/>
        <v>0</v>
      </c>
      <c r="T131" s="105">
        <f t="shared" si="43"/>
        <v>0</v>
      </c>
      <c r="U131" s="105">
        <f t="shared" si="43"/>
        <v>0.1950387588249427</v>
      </c>
      <c r="V131" s="105">
        <f t="shared" si="43"/>
        <v>0</v>
      </c>
      <c r="W131" s="105">
        <f t="shared" si="43"/>
        <v>3.8017476088944235E-2</v>
      </c>
      <c r="X131" s="106">
        <f t="shared" si="43"/>
        <v>0</v>
      </c>
    </row>
    <row r="132" spans="1:24" x14ac:dyDescent="0.25">
      <c r="D132" s="25" t="str">
        <v>Ind</v>
      </c>
      <c r="E132" s="5">
        <f t="shared" si="42"/>
        <v>0</v>
      </c>
      <c r="F132" s="6">
        <f t="shared" si="42"/>
        <v>0</v>
      </c>
      <c r="G132" s="6">
        <f t="shared" si="42"/>
        <v>0</v>
      </c>
      <c r="H132" s="6">
        <f t="shared" si="42"/>
        <v>0</v>
      </c>
      <c r="I132" s="6">
        <f t="shared" si="42"/>
        <v>0</v>
      </c>
      <c r="J132" s="6">
        <f t="shared" si="42"/>
        <v>0</v>
      </c>
      <c r="K132" s="6">
        <f t="shared" si="42"/>
        <v>0</v>
      </c>
      <c r="L132" s="6">
        <f t="shared" si="42"/>
        <v>0</v>
      </c>
      <c r="M132" s="7">
        <f t="shared" si="42"/>
        <v>0</v>
      </c>
      <c r="P132" s="108" cm="1">
        <f t="array" ref="P132:X134">+MMULT(_xlfn.ANCHORARRAY(S118),$P$131:$X$131)</f>
        <v>0</v>
      </c>
      <c r="Q132" s="108">
        <v>0</v>
      </c>
      <c r="R132" s="108">
        <v>1.9667078751025361E-2</v>
      </c>
      <c r="S132" s="108">
        <v>0</v>
      </c>
      <c r="T132" s="108">
        <v>0</v>
      </c>
      <c r="U132" s="108">
        <v>9.0059517809710971E-2</v>
      </c>
      <c r="V132" s="108">
        <v>0</v>
      </c>
      <c r="W132" s="108">
        <v>1.7554641885234732E-2</v>
      </c>
      <c r="X132" s="108">
        <v>0</v>
      </c>
    </row>
    <row r="133" spans="1:24" x14ac:dyDescent="0.25">
      <c r="D133" s="25" t="str">
        <v>Serv</v>
      </c>
      <c r="E133" s="9">
        <f t="shared" si="42"/>
        <v>0</v>
      </c>
      <c r="F133" s="10">
        <f t="shared" si="42"/>
        <v>0</v>
      </c>
      <c r="G133" s="10">
        <f t="shared" si="42"/>
        <v>2.592306983224546E-3</v>
      </c>
      <c r="H133" s="10">
        <f t="shared" si="42"/>
        <v>0</v>
      </c>
      <c r="I133" s="10">
        <f t="shared" si="42"/>
        <v>0</v>
      </c>
      <c r="J133" s="10">
        <f t="shared" si="42"/>
        <v>2.3341946405542657E-2</v>
      </c>
      <c r="K133" s="10">
        <f t="shared" si="42"/>
        <v>0</v>
      </c>
      <c r="L133" s="10">
        <f t="shared" si="42"/>
        <v>0</v>
      </c>
      <c r="M133" s="11">
        <f t="shared" si="42"/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</row>
    <row r="134" spans="1:24" ht="15.75" thickBot="1" x14ac:dyDescent="0.3">
      <c r="P134" s="107">
        <v>0</v>
      </c>
      <c r="Q134" s="107">
        <v>0</v>
      </c>
      <c r="R134" s="107">
        <v>2.2925228232199221E-2</v>
      </c>
      <c r="S134" s="107">
        <v>0</v>
      </c>
      <c r="T134" s="107">
        <v>0</v>
      </c>
      <c r="U134" s="107">
        <v>0.10497924101523173</v>
      </c>
      <c r="V134" s="107">
        <v>0</v>
      </c>
      <c r="W134" s="107">
        <v>2.0462834203709503E-2</v>
      </c>
      <c r="X134" s="107">
        <v>0</v>
      </c>
    </row>
    <row r="135" spans="1:24" ht="15.75" thickBot="1" x14ac:dyDescent="0.3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  <c r="O135" s="104">
        <f>+$L119*$I$123</f>
        <v>1</v>
      </c>
      <c r="P135" s="105">
        <f t="shared" ref="P135:X135" si="44">+$O135*E132</f>
        <v>0</v>
      </c>
      <c r="Q135" s="105">
        <f t="shared" si="44"/>
        <v>0</v>
      </c>
      <c r="R135" s="105">
        <f t="shared" si="44"/>
        <v>0</v>
      </c>
      <c r="S135" s="105">
        <f t="shared" si="44"/>
        <v>0</v>
      </c>
      <c r="T135" s="105">
        <f t="shared" si="44"/>
        <v>0</v>
      </c>
      <c r="U135" s="105">
        <f t="shared" si="44"/>
        <v>0</v>
      </c>
      <c r="V135" s="105">
        <f t="shared" si="44"/>
        <v>0</v>
      </c>
      <c r="W135" s="105">
        <f t="shared" si="44"/>
        <v>0</v>
      </c>
      <c r="X135" s="106">
        <f t="shared" si="44"/>
        <v>0</v>
      </c>
    </row>
    <row r="136" spans="1:24" ht="15.75" thickBot="1" x14ac:dyDescent="0.3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  <c r="P136" s="103" cm="1">
        <f t="array" ref="P136:X138">+MMULT(_xlfn.ANCHORARRAY(T118),$P$135:$X$135)</f>
        <v>0</v>
      </c>
      <c r="Q136" s="103">
        <v>0</v>
      </c>
      <c r="R136" s="103">
        <v>0</v>
      </c>
      <c r="S136" s="103">
        <v>0</v>
      </c>
      <c r="T136" s="103">
        <v>0</v>
      </c>
      <c r="U136" s="103">
        <v>0</v>
      </c>
      <c r="V136" s="103">
        <v>0</v>
      </c>
      <c r="W136" s="103">
        <v>0</v>
      </c>
      <c r="X136" s="103">
        <v>0</v>
      </c>
    </row>
    <row r="137" spans="1:24" x14ac:dyDescent="0.25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0</v>
      </c>
      <c r="F137" s="2" cm="1">
        <f t="array" ref="F137">+$I$123*$G118*_xlfn.XLOOKUP($D137,_xlfn.ANCHORARRAY($I$118),$L$118:$L$120,,0)*_xlfn.XLOOKUP($D137,$D$131:$D$133,F$131:F$133,,0)</f>
        <v>0</v>
      </c>
      <c r="G137" s="2" cm="1">
        <f t="array" ref="G137">+$I$123*$G118*_xlfn.XLOOKUP($D137,_xlfn.ANCHORARRAY($I$118),$L$118:$L$120,,0)*_xlfn.XLOOKUP($D137,$D$131:$D$133,G$131:G$133,,0)</f>
        <v>1.9667078751025361E-2</v>
      </c>
      <c r="H137" s="2" cm="1">
        <f t="array" ref="H137">+$I$123*$G118*_xlfn.XLOOKUP($D137,_xlfn.ANCHORARRAY($I$118),$L$118:$L$120,,0)*_xlfn.XLOOKUP($D137,$D$131:$D$133,H$131:H$133,,0)</f>
        <v>0</v>
      </c>
      <c r="I137" s="2" cm="1">
        <f t="array" ref="I137">+$I$123*$G118*_xlfn.XLOOKUP($D137,_xlfn.ANCHORARRAY($I$118),$L$118:$L$120,,0)*_xlfn.XLOOKUP($D137,$D$131:$D$133,I$131:I$133,,0)</f>
        <v>0</v>
      </c>
      <c r="J137" s="2" cm="1">
        <f t="array" ref="J137">+$I$123*$G118*_xlfn.XLOOKUP($D137,_xlfn.ANCHORARRAY($I$118),$L$118:$L$120,,0)*_xlfn.XLOOKUP($D137,$D$131:$D$133,J$131:J$133,,0)</f>
        <v>9.0059517809710971E-2</v>
      </c>
      <c r="K137" s="2" cm="1">
        <f t="array" ref="K137">+$I$123*$G118*_xlfn.XLOOKUP($D137,_xlfn.ANCHORARRAY($I$118),$L$118:$L$120,,0)*_xlfn.XLOOKUP($D137,$D$131:$D$133,K$131:K$133,,0)</f>
        <v>0</v>
      </c>
      <c r="L137" s="2" cm="1">
        <f t="array" ref="L137">+$I$123*$G118*_xlfn.XLOOKUP($D137,_xlfn.ANCHORARRAY($I$118),$L$118:$L$120,,0)*_xlfn.XLOOKUP($D137,$D$131:$D$133,L$131:L$133,,0)</f>
        <v>1.7554641885234732E-2</v>
      </c>
      <c r="M137" s="3" cm="1">
        <f t="array" ref="M137">+$I$123*$G118*_xlfn.XLOOKUP($D137,_xlfn.ANCHORARRAY($I$118),$L$118:$L$120,,0)*_xlfn.XLOOKUP($D137,$D$131:$D$133,M$131:M$133,,0)</f>
        <v>0</v>
      </c>
      <c r="P137" s="101">
        <v>0</v>
      </c>
      <c r="Q137" s="101">
        <v>0</v>
      </c>
      <c r="R137" s="101">
        <v>0</v>
      </c>
      <c r="S137" s="101">
        <v>0</v>
      </c>
      <c r="T137" s="101">
        <v>0</v>
      </c>
      <c r="U137" s="101">
        <v>0</v>
      </c>
      <c r="V137" s="101">
        <v>0</v>
      </c>
      <c r="W137" s="101">
        <v>0</v>
      </c>
      <c r="X137" s="101">
        <v>0</v>
      </c>
    </row>
    <row r="138" spans="1:24" ht="15.75" thickBot="1" x14ac:dyDescent="0.3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0</v>
      </c>
      <c r="F138" s="6" cm="1">
        <f t="array" ref="F138">+$I$123*$G119*_xlfn.XLOOKUP($D138,_xlfn.ANCHORARRAY($I$118),$L$118:$L$120,,0)*_xlfn.XLOOKUP($D138,$D$131:$D$133,F$131:F$133,,0)</f>
        <v>0</v>
      </c>
      <c r="G138" s="6" cm="1">
        <f t="array" ref="G138">+$I$123*$G119*_xlfn.XLOOKUP($D138,_xlfn.ANCHORARRAY($I$118),$L$118:$L$120,,0)*_xlfn.XLOOKUP($D138,$D$131:$D$133,G$131:G$133,,0)</f>
        <v>0</v>
      </c>
      <c r="H138" s="6" cm="1">
        <f t="array" ref="H138">+$I$123*$G119*_xlfn.XLOOKUP($D138,_xlfn.ANCHORARRAY($I$118),$L$118:$L$120,,0)*_xlfn.XLOOKUP($D138,$D$131:$D$133,H$131:H$133,,0)</f>
        <v>0</v>
      </c>
      <c r="I138" s="6" cm="1">
        <f t="array" ref="I138">+$I$123*$G119*_xlfn.XLOOKUP($D138,_xlfn.ANCHORARRAY($I$118),$L$118:$L$120,,0)*_xlfn.XLOOKUP($D138,$D$131:$D$133,I$131:I$133,,0)</f>
        <v>0</v>
      </c>
      <c r="J138" s="6" cm="1">
        <f t="array" ref="J138">+$I$123*$G119*_xlfn.XLOOKUP($D138,_xlfn.ANCHORARRAY($I$118),$L$118:$L$120,,0)*_xlfn.XLOOKUP($D138,$D$131:$D$133,J$131:J$133,,0)</f>
        <v>0</v>
      </c>
      <c r="K138" s="6" cm="1">
        <f t="array" ref="K138">+$I$123*$G119*_xlfn.XLOOKUP($D138,_xlfn.ANCHORARRAY($I$118),$L$118:$L$120,,0)*_xlfn.XLOOKUP($D138,$D$131:$D$133,K$131:K$133,,0)</f>
        <v>0</v>
      </c>
      <c r="L138" s="6" cm="1">
        <f t="array" ref="L138">+$I$123*$G119*_xlfn.XLOOKUP($D138,_xlfn.ANCHORARRAY($I$118),$L$118:$L$120,,0)*_xlfn.XLOOKUP($D138,$D$131:$D$133,L$131:L$133,,0)</f>
        <v>0</v>
      </c>
      <c r="M138" s="7" cm="1">
        <f t="array" ref="M138">+$I$123*$G119*_xlfn.XLOOKUP($D138,_xlfn.ANCHORARRAY($I$118),$L$118:$L$120,,0)*_xlfn.XLOOKUP($D138,$D$131:$D$133,M$131:M$133,,0)</f>
        <v>0</v>
      </c>
      <c r="N138" s="18"/>
      <c r="P138" s="101">
        <v>0</v>
      </c>
      <c r="Q138" s="101">
        <v>0</v>
      </c>
      <c r="R138" s="101">
        <v>0</v>
      </c>
      <c r="S138" s="101">
        <v>0</v>
      </c>
      <c r="T138" s="101">
        <v>0</v>
      </c>
      <c r="U138" s="101">
        <v>0</v>
      </c>
      <c r="V138" s="101">
        <v>0</v>
      </c>
      <c r="W138" s="101">
        <v>0</v>
      </c>
      <c r="X138" s="101">
        <v>0</v>
      </c>
    </row>
    <row r="139" spans="1:24" ht="15.75" thickBot="1" x14ac:dyDescent="0.3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0</v>
      </c>
      <c r="F139" s="6" cm="1">
        <f t="array" ref="F139">+$I$123*$G120*_xlfn.XLOOKUP($D139,_xlfn.ANCHORARRAY($I$118),$L$118:$L$120,,0)*_xlfn.XLOOKUP($D139,$D$131:$D$133,F$131:F$133,,0)</f>
        <v>0</v>
      </c>
      <c r="G139" s="6" cm="1">
        <f t="array" ref="G139">+$I$123*$G120*_xlfn.XLOOKUP($D139,_xlfn.ANCHORARRAY($I$118),$L$118:$L$120,,0)*_xlfn.XLOOKUP($D139,$D$131:$D$133,G$131:G$133,,0)</f>
        <v>0</v>
      </c>
      <c r="H139" s="6" cm="1">
        <f t="array" ref="H139">+$I$123*$G120*_xlfn.XLOOKUP($D139,_xlfn.ANCHORARRAY($I$118),$L$118:$L$120,,0)*_xlfn.XLOOKUP($D139,$D$131:$D$133,H$131:H$133,,0)</f>
        <v>0</v>
      </c>
      <c r="I139" s="6" cm="1">
        <f t="array" ref="I139">+$I$123*$G120*_xlfn.XLOOKUP($D139,_xlfn.ANCHORARRAY($I$118),$L$118:$L$120,,0)*_xlfn.XLOOKUP($D139,$D$131:$D$133,I$131:I$133,,0)</f>
        <v>0</v>
      </c>
      <c r="J139" s="6" cm="1">
        <f t="array" ref="J139">+$I$123*$G120*_xlfn.XLOOKUP($D139,_xlfn.ANCHORARRAY($I$118),$L$118:$L$120,,0)*_xlfn.XLOOKUP($D139,$D$131:$D$133,J$131:J$133,,0)</f>
        <v>0</v>
      </c>
      <c r="K139" s="6" cm="1">
        <f t="array" ref="K139">+$I$123*$G120*_xlfn.XLOOKUP($D139,_xlfn.ANCHORARRAY($I$118),$L$118:$L$120,,0)*_xlfn.XLOOKUP($D139,$D$131:$D$133,K$131:K$133,,0)</f>
        <v>0</v>
      </c>
      <c r="L139" s="6" cm="1">
        <f t="array" ref="L139">+$I$123*$G120*_xlfn.XLOOKUP($D139,_xlfn.ANCHORARRAY($I$118),$L$118:$L$120,,0)*_xlfn.XLOOKUP($D139,$D$131:$D$133,L$131:L$133,,0)</f>
        <v>0</v>
      </c>
      <c r="M139" s="7" cm="1">
        <f t="array" ref="M139">+$I$123*$G120*_xlfn.XLOOKUP($D139,_xlfn.ANCHORARRAY($I$118),$L$118:$L$120,,0)*_xlfn.XLOOKUP($D139,$D$131:$D$133,M$131:M$133,,0)</f>
        <v>0</v>
      </c>
      <c r="N139" s="18"/>
      <c r="O139" s="104">
        <f>+$L120*$I$123</f>
        <v>1</v>
      </c>
      <c r="P139" s="105">
        <f t="shared" ref="P139:X139" si="45">+$O139*E133</f>
        <v>0</v>
      </c>
      <c r="Q139" s="105">
        <f t="shared" si="45"/>
        <v>0</v>
      </c>
      <c r="R139" s="105">
        <f t="shared" si="45"/>
        <v>2.592306983224546E-3</v>
      </c>
      <c r="S139" s="105">
        <f t="shared" si="45"/>
        <v>0</v>
      </c>
      <c r="T139" s="105">
        <f t="shared" si="45"/>
        <v>0</v>
      </c>
      <c r="U139" s="105">
        <f t="shared" si="45"/>
        <v>2.3341946405542657E-2</v>
      </c>
      <c r="V139" s="105">
        <f t="shared" si="45"/>
        <v>0</v>
      </c>
      <c r="W139" s="105">
        <f t="shared" si="45"/>
        <v>0</v>
      </c>
      <c r="X139" s="106">
        <f t="shared" si="45"/>
        <v>0</v>
      </c>
    </row>
    <row r="140" spans="1:24" x14ac:dyDescent="0.25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</v>
      </c>
      <c r="F140" s="6" cm="1">
        <f t="array" ref="F140">+$I$123*$G121*_xlfn.XLOOKUP($D140,_xlfn.ANCHORARRAY($I$118),$L$118:$L$120,,0)*_xlfn.XLOOKUP($D140,$D$131:$D$133,F$131:F$133,,0)</f>
        <v>0</v>
      </c>
      <c r="G140" s="6" cm="1">
        <f t="array" ref="G140">+$I$123*$G121*_xlfn.XLOOKUP($D140,_xlfn.ANCHORARRAY($I$118),$L$118:$L$120,,0)*_xlfn.XLOOKUP($D140,$D$131:$D$133,G$131:G$133,,0)</f>
        <v>0</v>
      </c>
      <c r="H140" s="6" cm="1">
        <f t="array" ref="H140">+$I$123*$G121*_xlfn.XLOOKUP($D140,_xlfn.ANCHORARRAY($I$118),$L$118:$L$120,,0)*_xlfn.XLOOKUP($D140,$D$131:$D$133,H$131:H$133,,0)</f>
        <v>0</v>
      </c>
      <c r="I140" s="6" cm="1">
        <f t="array" ref="I140">+$I$123*$G121*_xlfn.XLOOKUP($D140,_xlfn.ANCHORARRAY($I$118),$L$118:$L$120,,0)*_xlfn.XLOOKUP($D140,$D$131:$D$133,I$131:I$133,,0)</f>
        <v>0</v>
      </c>
      <c r="J140" s="6" cm="1">
        <f t="array" ref="J140">+$I$123*$G121*_xlfn.XLOOKUP($D140,_xlfn.ANCHORARRAY($I$118),$L$118:$L$120,,0)*_xlfn.XLOOKUP($D140,$D$131:$D$133,J$131:J$133,,0)</f>
        <v>0</v>
      </c>
      <c r="K140" s="6" cm="1">
        <f t="array" ref="K140">+$I$123*$G121*_xlfn.XLOOKUP($D140,_xlfn.ANCHORARRAY($I$118),$L$118:$L$120,,0)*_xlfn.XLOOKUP($D140,$D$131:$D$133,K$131:K$133,,0)</f>
        <v>0</v>
      </c>
      <c r="L140" s="6" cm="1">
        <f t="array" ref="L140">+$I$123*$G121*_xlfn.XLOOKUP($D140,_xlfn.ANCHORARRAY($I$118),$L$118:$L$120,,0)*_xlfn.XLOOKUP($D140,$D$131:$D$133,L$131:L$133,,0)</f>
        <v>0</v>
      </c>
      <c r="M140" s="7" cm="1">
        <f t="array" ref="M140">+$I$123*$G121*_xlfn.XLOOKUP($D140,_xlfn.ANCHORARRAY($I$118),$L$118:$L$120,,0)*_xlfn.XLOOKUP($D140,$D$131:$D$133,M$131:M$133,,0)</f>
        <v>0</v>
      </c>
      <c r="N140" s="18"/>
      <c r="P140" s="103" cm="1">
        <f t="array" ref="P140:X142">+MMULT(_xlfn.ANCHORARRAY(U118),$P$139:$X$139)</f>
        <v>0</v>
      </c>
      <c r="Q140" s="103">
        <v>0</v>
      </c>
      <c r="R140" s="103">
        <v>0</v>
      </c>
      <c r="S140" s="103">
        <v>0</v>
      </c>
      <c r="T140" s="103">
        <v>0</v>
      </c>
      <c r="U140" s="103">
        <v>0</v>
      </c>
      <c r="V140" s="103">
        <v>0</v>
      </c>
      <c r="W140" s="103">
        <v>0</v>
      </c>
      <c r="X140" s="103">
        <v>0</v>
      </c>
    </row>
    <row r="141" spans="1:24" x14ac:dyDescent="0.25">
      <c r="C141" s="20" t="s">
        <v>10</v>
      </c>
      <c r="D141" s="25" t="str">
        <f t="shared" ref="D141:D145" si="46">+D138</f>
        <v>Ind</v>
      </c>
      <c r="E141" s="5" cm="1">
        <f t="array" ref="E141">+$I$123*$G122*_xlfn.XLOOKUP($D141,_xlfn.ANCHORARRAY($I$118),$L$118:$L$120,,0)*_xlfn.XLOOKUP($D141,$D$131:$D$133,E$131:E$133,,0)</f>
        <v>0</v>
      </c>
      <c r="F141" s="6" cm="1">
        <f t="array" ref="F141">+$I$123*$G122*_xlfn.XLOOKUP($D141,_xlfn.ANCHORARRAY($I$118),$L$118:$L$120,,0)*_xlfn.XLOOKUP($D141,$D$131:$D$133,F$131:F$133,,0)</f>
        <v>0</v>
      </c>
      <c r="G141" s="6" cm="1">
        <f t="array" ref="G141">+$I$123*$G122*_xlfn.XLOOKUP($D141,_xlfn.ANCHORARRAY($I$118),$L$118:$L$120,,0)*_xlfn.XLOOKUP($D141,$D$131:$D$133,G$131:G$133,,0)</f>
        <v>0</v>
      </c>
      <c r="H141" s="6" cm="1">
        <f t="array" ref="H141">+$I$123*$G122*_xlfn.XLOOKUP($D141,_xlfn.ANCHORARRAY($I$118),$L$118:$L$120,,0)*_xlfn.XLOOKUP($D141,$D$131:$D$133,H$131:H$133,,0)</f>
        <v>0</v>
      </c>
      <c r="I141" s="6" cm="1">
        <f t="array" ref="I141">+$I$123*$G122*_xlfn.XLOOKUP($D141,_xlfn.ANCHORARRAY($I$118),$L$118:$L$120,,0)*_xlfn.XLOOKUP($D141,$D$131:$D$133,I$131:I$133,,0)</f>
        <v>0</v>
      </c>
      <c r="J141" s="6" cm="1">
        <f t="array" ref="J141">+$I$123*$G122*_xlfn.XLOOKUP($D141,_xlfn.ANCHORARRAY($I$118),$L$118:$L$120,,0)*_xlfn.XLOOKUP($D141,$D$131:$D$133,J$131:J$133,,0)</f>
        <v>0</v>
      </c>
      <c r="K141" s="6" cm="1">
        <f t="array" ref="K141">+$I$123*$G122*_xlfn.XLOOKUP($D141,_xlfn.ANCHORARRAY($I$118),$L$118:$L$120,,0)*_xlfn.XLOOKUP($D141,$D$131:$D$133,K$131:K$133,,0)</f>
        <v>0</v>
      </c>
      <c r="L141" s="6" cm="1">
        <f t="array" ref="L141">+$I$123*$G122*_xlfn.XLOOKUP($D141,_xlfn.ANCHORARRAY($I$118),$L$118:$L$120,,0)*_xlfn.XLOOKUP($D141,$D$131:$D$133,L$131:L$133,,0)</f>
        <v>0</v>
      </c>
      <c r="M141" s="7" cm="1">
        <f t="array" ref="M141">+$I$123*$G122*_xlfn.XLOOKUP($D141,_xlfn.ANCHORARRAY($I$118),$L$118:$L$120,,0)*_xlfn.XLOOKUP($D141,$D$131:$D$133,M$131:M$133,,0)</f>
        <v>0</v>
      </c>
      <c r="N141" s="18"/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</row>
    <row r="142" spans="1:24" x14ac:dyDescent="0.25">
      <c r="C142" s="20" t="s">
        <v>10</v>
      </c>
      <c r="D142" s="25" t="str">
        <f t="shared" si="46"/>
        <v>Serv</v>
      </c>
      <c r="E142" s="5" cm="1">
        <f t="array" ref="E142">+$I$123*$G123*_xlfn.XLOOKUP($D142,_xlfn.ANCHORARRAY($I$118),$L$118:$L$120,,0)*_xlfn.XLOOKUP($D142,$D$131:$D$133,E$131:E$133,,0)</f>
        <v>0</v>
      </c>
      <c r="F142" s="6" cm="1">
        <f t="array" ref="F142">+$I$123*$G123*_xlfn.XLOOKUP($D142,_xlfn.ANCHORARRAY($I$118),$L$118:$L$120,,0)*_xlfn.XLOOKUP($D142,$D$131:$D$133,F$131:F$133,,0)</f>
        <v>0</v>
      </c>
      <c r="G142" s="6" cm="1">
        <f t="array" ref="G142">+$I$123*$G123*_xlfn.XLOOKUP($D142,_xlfn.ANCHORARRAY($I$118),$L$118:$L$120,,0)*_xlfn.XLOOKUP($D142,$D$131:$D$133,G$131:G$133,,0)</f>
        <v>0</v>
      </c>
      <c r="H142" s="6" cm="1">
        <f t="array" ref="H142">+$I$123*$G123*_xlfn.XLOOKUP($D142,_xlfn.ANCHORARRAY($I$118),$L$118:$L$120,,0)*_xlfn.XLOOKUP($D142,$D$131:$D$133,H$131:H$133,,0)</f>
        <v>0</v>
      </c>
      <c r="I142" s="6" cm="1">
        <f t="array" ref="I142">+$I$123*$G123*_xlfn.XLOOKUP($D142,_xlfn.ANCHORARRAY($I$118),$L$118:$L$120,,0)*_xlfn.XLOOKUP($D142,$D$131:$D$133,I$131:I$133,,0)</f>
        <v>0</v>
      </c>
      <c r="J142" s="6" cm="1">
        <f t="array" ref="J142">+$I$123*$G123*_xlfn.XLOOKUP($D142,_xlfn.ANCHORARRAY($I$118),$L$118:$L$120,,0)*_xlfn.XLOOKUP($D142,$D$131:$D$133,J$131:J$133,,0)</f>
        <v>0</v>
      </c>
      <c r="K142" s="6" cm="1">
        <f t="array" ref="K142">+$I$123*$G123*_xlfn.XLOOKUP($D142,_xlfn.ANCHORARRAY($I$118),$L$118:$L$120,,0)*_xlfn.XLOOKUP($D142,$D$131:$D$133,K$131:K$133,,0)</f>
        <v>0</v>
      </c>
      <c r="L142" s="6" cm="1">
        <f t="array" ref="L142">+$I$123*$G123*_xlfn.XLOOKUP($D142,_xlfn.ANCHORARRAY($I$118),$L$118:$L$120,,0)*_xlfn.XLOOKUP($D142,$D$131:$D$133,L$131:L$133,,0)</f>
        <v>0</v>
      </c>
      <c r="M142" s="7" cm="1">
        <f t="array" ref="M142">+$I$123*$G123*_xlfn.XLOOKUP($D142,_xlfn.ANCHORARRAY($I$118),$L$118:$L$120,,0)*_xlfn.XLOOKUP($D142,$D$131:$D$133,M$131:M$133,,0)</f>
        <v>0</v>
      </c>
      <c r="N142" s="18"/>
      <c r="P142" s="101">
        <v>0</v>
      </c>
      <c r="Q142" s="101">
        <v>0</v>
      </c>
      <c r="R142" s="101">
        <v>2.592306983224546E-3</v>
      </c>
      <c r="S142" s="101">
        <v>0</v>
      </c>
      <c r="T142" s="101">
        <v>0</v>
      </c>
      <c r="U142" s="101">
        <v>2.3341946405542657E-2</v>
      </c>
      <c r="V142" s="101">
        <v>0</v>
      </c>
      <c r="W142" s="101">
        <v>0</v>
      </c>
      <c r="X142" s="101">
        <v>0</v>
      </c>
    </row>
    <row r="143" spans="1:24" x14ac:dyDescent="0.25">
      <c r="C143" s="20" t="s">
        <v>11</v>
      </c>
      <c r="D143" s="25" t="str">
        <f t="shared" si="46"/>
        <v>Agr</v>
      </c>
      <c r="E143" s="5" cm="1">
        <f t="array" ref="E143">+$I$123*$G124*_xlfn.XLOOKUP($D143,_xlfn.ANCHORARRAY($I$118),$L$118:$L$120,,0)*_xlfn.XLOOKUP($D143,$D$131:$D$133,E$131:E$133,,0)</f>
        <v>0</v>
      </c>
      <c r="F143" s="6" cm="1">
        <f t="array" ref="F143">+$I$123*$G124*_xlfn.XLOOKUP($D143,_xlfn.ANCHORARRAY($I$118),$L$118:$L$120,,0)*_xlfn.XLOOKUP($D143,$D$131:$D$133,F$131:F$133,,0)</f>
        <v>0</v>
      </c>
      <c r="G143" s="6" cm="1">
        <f t="array" ref="G143">+$I$123*$G124*_xlfn.XLOOKUP($D143,_xlfn.ANCHORARRAY($I$118),$L$118:$L$120,,0)*_xlfn.XLOOKUP($D143,$D$131:$D$133,G$131:G$133,,0)</f>
        <v>2.2925228232199221E-2</v>
      </c>
      <c r="H143" s="6" cm="1">
        <f t="array" ref="H143">+$I$123*$G124*_xlfn.XLOOKUP($D143,_xlfn.ANCHORARRAY($I$118),$L$118:$L$120,,0)*_xlfn.XLOOKUP($D143,$D$131:$D$133,H$131:H$133,,0)</f>
        <v>0</v>
      </c>
      <c r="I143" s="6" cm="1">
        <f t="array" ref="I143">+$I$123*$G124*_xlfn.XLOOKUP($D143,_xlfn.ANCHORARRAY($I$118),$L$118:$L$120,,0)*_xlfn.XLOOKUP($D143,$D$131:$D$133,I$131:I$133,,0)</f>
        <v>0</v>
      </c>
      <c r="J143" s="6" cm="1">
        <f t="array" ref="J143">+$I$123*$G124*_xlfn.XLOOKUP($D143,_xlfn.ANCHORARRAY($I$118),$L$118:$L$120,,0)*_xlfn.XLOOKUP($D143,$D$131:$D$133,J$131:J$133,,0)</f>
        <v>0.10497924101523173</v>
      </c>
      <c r="K143" s="6" cm="1">
        <f t="array" ref="K143">+$I$123*$G124*_xlfn.XLOOKUP($D143,_xlfn.ANCHORARRAY($I$118),$L$118:$L$120,,0)*_xlfn.XLOOKUP($D143,$D$131:$D$133,K$131:K$133,,0)</f>
        <v>0</v>
      </c>
      <c r="L143" s="6" cm="1">
        <f t="array" ref="L143">+$I$123*$G124*_xlfn.XLOOKUP($D143,_xlfn.ANCHORARRAY($I$118),$L$118:$L$120,,0)*_xlfn.XLOOKUP($D143,$D$131:$D$133,L$131:L$133,,0)</f>
        <v>2.0462834203709503E-2</v>
      </c>
      <c r="M143" s="7" cm="1">
        <f t="array" ref="M143">+$I$123*$G124*_xlfn.XLOOKUP($D143,_xlfn.ANCHORARRAY($I$118),$L$118:$L$120,,0)*_xlfn.XLOOKUP($D143,$D$131:$D$133,M$131:M$133,,0)</f>
        <v>0</v>
      </c>
      <c r="N143" s="18"/>
    </row>
    <row r="144" spans="1:24" x14ac:dyDescent="0.25">
      <c r="C144" s="20" t="s">
        <v>11</v>
      </c>
      <c r="D144" s="25" t="str">
        <f t="shared" si="46"/>
        <v>Ind</v>
      </c>
      <c r="E144" s="5" cm="1">
        <f t="array" ref="E144">+$I$123*$G125*_xlfn.XLOOKUP($D144,_xlfn.ANCHORARRAY($I$118),$L$118:$L$120,,0)*_xlfn.XLOOKUP($D144,$D$131:$D$133,E$131:E$133,,0)</f>
        <v>0</v>
      </c>
      <c r="F144" s="6" cm="1">
        <f t="array" ref="F144">+$I$123*$G125*_xlfn.XLOOKUP($D144,_xlfn.ANCHORARRAY($I$118),$L$118:$L$120,,0)*_xlfn.XLOOKUP($D144,$D$131:$D$133,F$131:F$133,,0)</f>
        <v>0</v>
      </c>
      <c r="G144" s="6" cm="1">
        <f t="array" ref="G144">+$I$123*$G125*_xlfn.XLOOKUP($D144,_xlfn.ANCHORARRAY($I$118),$L$118:$L$120,,0)*_xlfn.XLOOKUP($D144,$D$131:$D$133,G$131:G$133,,0)</f>
        <v>0</v>
      </c>
      <c r="H144" s="6" cm="1">
        <f t="array" ref="H144">+$I$123*$G125*_xlfn.XLOOKUP($D144,_xlfn.ANCHORARRAY($I$118),$L$118:$L$120,,0)*_xlfn.XLOOKUP($D144,$D$131:$D$133,H$131:H$133,,0)</f>
        <v>0</v>
      </c>
      <c r="I144" s="6" cm="1">
        <f t="array" ref="I144">+$I$123*$G125*_xlfn.XLOOKUP($D144,_xlfn.ANCHORARRAY($I$118),$L$118:$L$120,,0)*_xlfn.XLOOKUP($D144,$D$131:$D$133,I$131:I$133,,0)</f>
        <v>0</v>
      </c>
      <c r="J144" s="6" cm="1">
        <f t="array" ref="J144">+$I$123*$G125*_xlfn.XLOOKUP($D144,_xlfn.ANCHORARRAY($I$118),$L$118:$L$120,,0)*_xlfn.XLOOKUP($D144,$D$131:$D$133,J$131:J$133,,0)</f>
        <v>0</v>
      </c>
      <c r="K144" s="6" cm="1">
        <f t="array" ref="K144">+$I$123*$G125*_xlfn.XLOOKUP($D144,_xlfn.ANCHORARRAY($I$118),$L$118:$L$120,,0)*_xlfn.XLOOKUP($D144,$D$131:$D$133,K$131:K$133,,0)</f>
        <v>0</v>
      </c>
      <c r="L144" s="6" cm="1">
        <f t="array" ref="L144">+$I$123*$G125*_xlfn.XLOOKUP($D144,_xlfn.ANCHORARRAY($I$118),$L$118:$L$120,,0)*_xlfn.XLOOKUP($D144,$D$131:$D$133,L$131:L$133,,0)</f>
        <v>0</v>
      </c>
      <c r="M144" s="7" cm="1">
        <f t="array" ref="M144">+$I$123*$G125*_xlfn.XLOOKUP($D144,_xlfn.ANCHORARRAY($I$118),$L$118:$L$120,,0)*_xlfn.XLOOKUP($D144,$D$131:$D$133,M$131:M$133,,0)</f>
        <v>0</v>
      </c>
      <c r="N144" s="18"/>
    </row>
    <row r="145" spans="3:23" x14ac:dyDescent="0.25">
      <c r="C145" s="20" t="s">
        <v>11</v>
      </c>
      <c r="D145" s="25" t="str">
        <f t="shared" si="46"/>
        <v>Serv</v>
      </c>
      <c r="E145" s="9" cm="1">
        <f t="array" ref="E145">+$I$123*$G126*_xlfn.XLOOKUP($D145,_xlfn.ANCHORARRAY($I$118),$L$118:$L$120,,0)*_xlfn.XLOOKUP($D145,$D$131:$D$133,E$131:E$133,,0)</f>
        <v>0</v>
      </c>
      <c r="F145" s="10" cm="1">
        <f t="array" ref="F145">+$I$123*$G126*_xlfn.XLOOKUP($D145,_xlfn.ANCHORARRAY($I$118),$L$118:$L$120,,0)*_xlfn.XLOOKUP($D145,$D$131:$D$133,F$131:F$133,,0)</f>
        <v>0</v>
      </c>
      <c r="G145" s="10" cm="1">
        <f t="array" ref="G145">+$I$123*$G126*_xlfn.XLOOKUP($D145,_xlfn.ANCHORARRAY($I$118),$L$118:$L$120,,0)*_xlfn.XLOOKUP($D145,$D$131:$D$133,G$131:G$133,,0)</f>
        <v>2.592306983224546E-3</v>
      </c>
      <c r="H145" s="10" cm="1">
        <f t="array" ref="H145">+$I$123*$G126*_xlfn.XLOOKUP($D145,_xlfn.ANCHORARRAY($I$118),$L$118:$L$120,,0)*_xlfn.XLOOKUP($D145,$D$131:$D$133,H$131:H$133,,0)</f>
        <v>0</v>
      </c>
      <c r="I145" s="10" cm="1">
        <f t="array" ref="I145">+$I$123*$G126*_xlfn.XLOOKUP($D145,_xlfn.ANCHORARRAY($I$118),$L$118:$L$120,,0)*_xlfn.XLOOKUP($D145,$D$131:$D$133,I$131:I$133,,0)</f>
        <v>0</v>
      </c>
      <c r="J145" s="10" cm="1">
        <f t="array" ref="J145">+$I$123*$G126*_xlfn.XLOOKUP($D145,_xlfn.ANCHORARRAY($I$118),$L$118:$L$120,,0)*_xlfn.XLOOKUP($D145,$D$131:$D$133,J$131:J$133,,0)</f>
        <v>2.3341946405542657E-2</v>
      </c>
      <c r="K145" s="10" cm="1">
        <f t="array" ref="K145">+$I$123*$G126*_xlfn.XLOOKUP($D145,_xlfn.ANCHORARRAY($I$118),$L$118:$L$120,,0)*_xlfn.XLOOKUP($D145,$D$131:$D$133,K$131:K$133,,0)</f>
        <v>0</v>
      </c>
      <c r="L145" s="10" cm="1">
        <f t="array" ref="L145">+$I$123*$G126*_xlfn.XLOOKUP($D145,_xlfn.ANCHORARRAY($I$118),$L$118:$L$120,,0)*_xlfn.XLOOKUP($D145,$D$131:$D$133,L$131:L$133,,0)</f>
        <v>0</v>
      </c>
      <c r="M145" s="11" cm="1">
        <f t="array" ref="M145">+$I$123*$G126*_xlfn.XLOOKUP($D145,_xlfn.ANCHORARRAY($I$118),$L$118:$L$120,,0)*_xlfn.XLOOKUP($D145,$D$131:$D$133,M$131:M$133,,0)</f>
        <v>0</v>
      </c>
      <c r="N145" s="18"/>
    </row>
    <row r="146" spans="3:23" x14ac:dyDescent="0.25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3" x14ac:dyDescent="0.25">
      <c r="O147" s="19"/>
    </row>
    <row r="148" spans="3:23" ht="15.75" thickBot="1" x14ac:dyDescent="0.3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3" ht="15.75" thickBot="1" x14ac:dyDescent="0.3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3" x14ac:dyDescent="0.25">
      <c r="C150" s="20" t="s">
        <v>1</v>
      </c>
      <c r="D150" s="28" t="s">
        <v>51</v>
      </c>
      <c r="E150" s="1">
        <f>+MIN(E78,E94)+E137</f>
        <v>8.5919934426829077</v>
      </c>
      <c r="F150" s="2">
        <f t="shared" ref="F150:M150" si="47">+MIN(F78,F94)+F137</f>
        <v>4.202735300573055</v>
      </c>
      <c r="G150" s="2">
        <f t="shared" si="47"/>
        <v>9.1261478462090881</v>
      </c>
      <c r="H150" s="2">
        <f t="shared" si="47"/>
        <v>0.8899856294132511</v>
      </c>
      <c r="I150" s="2">
        <f t="shared" si="47"/>
        <v>0</v>
      </c>
      <c r="J150" s="2">
        <f t="shared" si="47"/>
        <v>7.4634273034318817</v>
      </c>
      <c r="K150" s="2">
        <f t="shared" si="47"/>
        <v>2.4860534890603208</v>
      </c>
      <c r="L150" s="2">
        <f t="shared" si="47"/>
        <v>6.3471237899544137</v>
      </c>
      <c r="M150" s="3">
        <f t="shared" si="47"/>
        <v>1.7188131196231868</v>
      </c>
      <c r="N150" s="19">
        <f>+E150-E5</f>
        <v>-1.4080065573170923</v>
      </c>
      <c r="O150" s="19">
        <f t="shared" ref="O150:V158" si="48">+F150-F5</f>
        <v>-0.797264699426945</v>
      </c>
      <c r="P150" s="19">
        <f t="shared" si="48"/>
        <v>-0.87385215379091186</v>
      </c>
      <c r="Q150" s="19">
        <f t="shared" si="48"/>
        <v>-0.1100143705867489</v>
      </c>
      <c r="R150" s="19">
        <f t="shared" si="48"/>
        <v>0</v>
      </c>
      <c r="S150" s="19">
        <f t="shared" si="48"/>
        <v>-0.53657269656811835</v>
      </c>
      <c r="T150" s="19">
        <f t="shared" si="48"/>
        <v>-0.51394651093967925</v>
      </c>
      <c r="U150" s="19">
        <f t="shared" si="48"/>
        <v>-0.65287621004558627</v>
      </c>
      <c r="V150" s="19">
        <f t="shared" si="48"/>
        <v>-0.28118688037681316</v>
      </c>
      <c r="W150" s="16">
        <f>+SUM(N150:V150)</f>
        <v>-5.1737200790518951</v>
      </c>
    </row>
    <row r="151" spans="3:23" x14ac:dyDescent="0.25">
      <c r="C151" s="20" t="s">
        <v>1</v>
      </c>
      <c r="D151" s="25" t="s">
        <v>52</v>
      </c>
      <c r="E151" s="5">
        <f t="shared" ref="E151:M158" si="49">+MIN(E79,E95)+E138</f>
        <v>6.8735947541463265</v>
      </c>
      <c r="F151" s="6">
        <f t="shared" si="49"/>
        <v>2.521641180343833</v>
      </c>
      <c r="G151" s="6">
        <f t="shared" si="49"/>
        <v>8.1958326907122565</v>
      </c>
      <c r="H151" s="6">
        <f t="shared" si="49"/>
        <v>3.5599425176530044</v>
      </c>
      <c r="I151" s="6">
        <f t="shared" si="49"/>
        <v>1.7432480526540617</v>
      </c>
      <c r="J151" s="6">
        <f t="shared" si="49"/>
        <v>9.2167097320277147</v>
      </c>
      <c r="K151" s="6">
        <f t="shared" si="49"/>
        <v>0.82868449635344021</v>
      </c>
      <c r="L151" s="6">
        <f t="shared" si="49"/>
        <v>3.6168966560395308</v>
      </c>
      <c r="M151" s="7">
        <f t="shared" si="49"/>
        <v>6.0158459186811548</v>
      </c>
      <c r="N151" s="19">
        <f t="shared" ref="N151:N158" si="50">+E151-E6</f>
        <v>-1.1264052458536735</v>
      </c>
      <c r="O151" s="19">
        <f t="shared" si="48"/>
        <v>-0.478358819656167</v>
      </c>
      <c r="P151" s="19">
        <f t="shared" si="48"/>
        <v>-0.80416730928774349</v>
      </c>
      <c r="Q151" s="19">
        <f t="shared" si="48"/>
        <v>-0.4400574823469956</v>
      </c>
      <c r="R151" s="19">
        <f t="shared" si="48"/>
        <v>-0.25675194734593831</v>
      </c>
      <c r="S151" s="19">
        <f t="shared" si="48"/>
        <v>-0.78329026797228529</v>
      </c>
      <c r="T151" s="19">
        <f t="shared" si="48"/>
        <v>-0.17131550364655979</v>
      </c>
      <c r="U151" s="19">
        <f t="shared" si="48"/>
        <v>-0.38310334396046919</v>
      </c>
      <c r="V151" s="19">
        <f t="shared" si="48"/>
        <v>-0.98415408131884519</v>
      </c>
      <c r="W151" s="16">
        <f t="shared" ref="W151:W158" si="51">+SUM(N151:V151)</f>
        <v>-5.4276040013886773</v>
      </c>
    </row>
    <row r="152" spans="3:23" x14ac:dyDescent="0.25">
      <c r="C152" s="20" t="s">
        <v>1</v>
      </c>
      <c r="D152" s="25" t="s">
        <v>53</v>
      </c>
      <c r="E152" s="5">
        <f t="shared" si="49"/>
        <v>0</v>
      </c>
      <c r="F152" s="6">
        <f t="shared" si="49"/>
        <v>0</v>
      </c>
      <c r="G152" s="6">
        <f t="shared" si="49"/>
        <v>0</v>
      </c>
      <c r="H152" s="6">
        <f t="shared" si="49"/>
        <v>6.2298994058927581</v>
      </c>
      <c r="I152" s="6">
        <f t="shared" si="49"/>
        <v>3.4864961053081234</v>
      </c>
      <c r="J152" s="6">
        <f t="shared" si="49"/>
        <v>3.6866838928110854</v>
      </c>
      <c r="K152" s="6">
        <f t="shared" si="49"/>
        <v>5.8007914744740816</v>
      </c>
      <c r="L152" s="6">
        <f t="shared" si="49"/>
        <v>3.6168966560395308</v>
      </c>
      <c r="M152" s="7">
        <f t="shared" si="49"/>
        <v>6.0158459186811548</v>
      </c>
      <c r="N152" s="19">
        <f t="shared" si="50"/>
        <v>0</v>
      </c>
      <c r="O152" s="19">
        <f t="shared" si="48"/>
        <v>0</v>
      </c>
      <c r="P152" s="19">
        <f t="shared" si="48"/>
        <v>0</v>
      </c>
      <c r="Q152" s="19">
        <f t="shared" si="48"/>
        <v>-0.77010059410724185</v>
      </c>
      <c r="R152" s="19">
        <f t="shared" si="48"/>
        <v>-0.51350389469187663</v>
      </c>
      <c r="S152" s="19">
        <f t="shared" si="48"/>
        <v>-0.31331610718891456</v>
      </c>
      <c r="T152" s="19">
        <f t="shared" si="48"/>
        <v>-1.1992085255259184</v>
      </c>
      <c r="U152" s="19">
        <f t="shared" si="48"/>
        <v>-0.38310334396046919</v>
      </c>
      <c r="V152" s="19">
        <f t="shared" si="48"/>
        <v>-0.98415408131884519</v>
      </c>
      <c r="W152" s="16">
        <f t="shared" si="51"/>
        <v>-4.1633865467932658</v>
      </c>
    </row>
    <row r="153" spans="3:23" x14ac:dyDescent="0.25">
      <c r="C153" s="20" t="s">
        <v>10</v>
      </c>
      <c r="D153" s="25" t="str">
        <f>+D150</f>
        <v>Agr</v>
      </c>
      <c r="E153" s="5">
        <f t="shared" si="49"/>
        <v>7.7327940984146171</v>
      </c>
      <c r="F153" s="6">
        <f t="shared" si="49"/>
        <v>4.202735300573055</v>
      </c>
      <c r="G153" s="6">
        <f t="shared" si="49"/>
        <v>3.6</v>
      </c>
      <c r="H153" s="6">
        <f t="shared" si="49"/>
        <v>6.2298994058927581</v>
      </c>
      <c r="I153" s="6">
        <f t="shared" si="49"/>
        <v>8.7162402632703078</v>
      </c>
      <c r="J153" s="6">
        <f t="shared" si="49"/>
        <v>8.1</v>
      </c>
      <c r="K153" s="6">
        <f t="shared" si="49"/>
        <v>8.2868449635344028</v>
      </c>
      <c r="L153" s="6">
        <f t="shared" si="49"/>
        <v>8.1</v>
      </c>
      <c r="M153" s="7">
        <f t="shared" si="49"/>
        <v>7.7346590383043408</v>
      </c>
      <c r="N153" s="19">
        <f t="shared" si="50"/>
        <v>-1.2672059015853829</v>
      </c>
      <c r="O153" s="19">
        <f t="shared" si="48"/>
        <v>-0.797264699426945</v>
      </c>
      <c r="P153" s="19">
        <f t="shared" si="48"/>
        <v>-0.39999999999999991</v>
      </c>
      <c r="Q153" s="19">
        <f t="shared" si="48"/>
        <v>-0.77010059410724185</v>
      </c>
      <c r="R153" s="19">
        <f t="shared" si="48"/>
        <v>-1.2837597367296922</v>
      </c>
      <c r="S153" s="19">
        <f t="shared" si="48"/>
        <v>-0.90000000000000036</v>
      </c>
      <c r="T153" s="19">
        <f t="shared" si="48"/>
        <v>-1.7131550364655972</v>
      </c>
      <c r="U153" s="19">
        <f t="shared" si="48"/>
        <v>-0.90000000000000036</v>
      </c>
      <c r="V153" s="19">
        <f t="shared" si="48"/>
        <v>-1.2653409616956592</v>
      </c>
      <c r="W153" s="16">
        <f t="shared" si="51"/>
        <v>-9.2968269300105177</v>
      </c>
    </row>
    <row r="154" spans="3:23" x14ac:dyDescent="0.25">
      <c r="C154" s="20" t="s">
        <v>10</v>
      </c>
      <c r="D154" s="25" t="str">
        <f t="shared" ref="D154:D158" si="52">+D151</f>
        <v>Ind</v>
      </c>
      <c r="E154" s="5">
        <f t="shared" si="49"/>
        <v>3.4367973770731632</v>
      </c>
      <c r="F154" s="6">
        <f t="shared" si="49"/>
        <v>1.681094120229222</v>
      </c>
      <c r="G154" s="6">
        <f t="shared" si="49"/>
        <v>2.7319442302374184</v>
      </c>
      <c r="H154" s="6">
        <f t="shared" si="49"/>
        <v>5.3399137764795057</v>
      </c>
      <c r="I154" s="6">
        <f t="shared" si="49"/>
        <v>6.1013681842892158</v>
      </c>
      <c r="J154" s="6">
        <f t="shared" si="49"/>
        <v>3.6866838928110854</v>
      </c>
      <c r="K154" s="6">
        <f t="shared" si="49"/>
        <v>7.4581604671809618</v>
      </c>
      <c r="L154" s="6">
        <f t="shared" si="49"/>
        <v>1.8084483280197654</v>
      </c>
      <c r="M154" s="7">
        <f t="shared" si="49"/>
        <v>6.8752524784927473</v>
      </c>
      <c r="N154" s="19">
        <f t="shared" si="50"/>
        <v>-0.56320262292683676</v>
      </c>
      <c r="O154" s="19">
        <f t="shared" si="48"/>
        <v>-0.318905879770778</v>
      </c>
      <c r="P154" s="19">
        <f t="shared" si="48"/>
        <v>-0.26805576976258161</v>
      </c>
      <c r="Q154" s="19">
        <f t="shared" si="48"/>
        <v>-0.66008622352049429</v>
      </c>
      <c r="R154" s="19">
        <f t="shared" si="48"/>
        <v>-0.89863181571078421</v>
      </c>
      <c r="S154" s="19">
        <f t="shared" si="48"/>
        <v>-0.31331610718891456</v>
      </c>
      <c r="T154" s="19">
        <f t="shared" si="48"/>
        <v>-1.5418395328190382</v>
      </c>
      <c r="U154" s="19">
        <f t="shared" si="48"/>
        <v>-0.19155167198023459</v>
      </c>
      <c r="V154" s="19">
        <f t="shared" si="48"/>
        <v>-1.1247475215072527</v>
      </c>
      <c r="W154" s="16">
        <f t="shared" si="51"/>
        <v>-5.8803371451869149</v>
      </c>
    </row>
    <row r="155" spans="3:23" x14ac:dyDescent="0.25">
      <c r="C155" s="20" t="s">
        <v>10</v>
      </c>
      <c r="D155" s="25" t="str">
        <f t="shared" si="52"/>
        <v>Serv</v>
      </c>
      <c r="E155" s="5">
        <f t="shared" si="49"/>
        <v>5.1551960656097444</v>
      </c>
      <c r="F155" s="6">
        <f t="shared" si="49"/>
        <v>4.202735300573055</v>
      </c>
      <c r="G155" s="6">
        <f t="shared" si="49"/>
        <v>3.64</v>
      </c>
      <c r="H155" s="6">
        <f t="shared" si="49"/>
        <v>0.8899856294132511</v>
      </c>
      <c r="I155" s="6">
        <f t="shared" si="49"/>
        <v>7.8446162369432768</v>
      </c>
      <c r="J155" s="6">
        <f t="shared" si="49"/>
        <v>1.82</v>
      </c>
      <c r="K155" s="6">
        <f t="shared" si="49"/>
        <v>0.82868449635344021</v>
      </c>
      <c r="L155" s="6">
        <f t="shared" si="49"/>
        <v>5.4253449840592962</v>
      </c>
      <c r="M155" s="7">
        <f t="shared" si="49"/>
        <v>0.85940655981159342</v>
      </c>
      <c r="N155" s="19">
        <f t="shared" si="50"/>
        <v>-0.84480393439025558</v>
      </c>
      <c r="O155" s="19">
        <f t="shared" si="48"/>
        <v>-0.797264699426945</v>
      </c>
      <c r="P155" s="19">
        <f t="shared" si="48"/>
        <v>-0.35999999999999988</v>
      </c>
      <c r="Q155" s="19">
        <f t="shared" si="48"/>
        <v>-0.1100143705867489</v>
      </c>
      <c r="R155" s="19">
        <f t="shared" si="48"/>
        <v>-1.1553837630567232</v>
      </c>
      <c r="S155" s="19">
        <f t="shared" si="48"/>
        <v>-0.17999999999999994</v>
      </c>
      <c r="T155" s="19">
        <f t="shared" si="48"/>
        <v>-0.17131550364655979</v>
      </c>
      <c r="U155" s="19">
        <f t="shared" si="48"/>
        <v>-0.57465501594070378</v>
      </c>
      <c r="V155" s="19">
        <f t="shared" si="48"/>
        <v>-0.14059344018840658</v>
      </c>
      <c r="W155" s="16">
        <f t="shared" si="51"/>
        <v>-4.3340307272363425</v>
      </c>
    </row>
    <row r="156" spans="3:23" x14ac:dyDescent="0.25">
      <c r="C156" s="20" t="s">
        <v>11</v>
      </c>
      <c r="D156" s="25" t="str">
        <f t="shared" si="52"/>
        <v>Agr</v>
      </c>
      <c r="E156" s="5">
        <f t="shared" si="49"/>
        <v>2.5775980328048722</v>
      </c>
      <c r="F156" s="6">
        <f t="shared" si="49"/>
        <v>8.40547060114611</v>
      </c>
      <c r="G156" s="6">
        <f t="shared" si="49"/>
        <v>7.3081098421986486</v>
      </c>
      <c r="H156" s="6">
        <f t="shared" si="49"/>
        <v>8.0098706647192603</v>
      </c>
      <c r="I156" s="6">
        <f t="shared" si="49"/>
        <v>8.7162402632703078</v>
      </c>
      <c r="J156" s="6">
        <f t="shared" si="49"/>
        <v>0.10497924101523173</v>
      </c>
      <c r="K156" s="6">
        <f t="shared" si="49"/>
        <v>5.8007914744740816</v>
      </c>
      <c r="L156" s="6">
        <f t="shared" si="49"/>
        <v>8.1584803102926529</v>
      </c>
      <c r="M156" s="7">
        <f t="shared" si="49"/>
        <v>6.8752524784927473</v>
      </c>
      <c r="N156" s="19">
        <f t="shared" si="50"/>
        <v>-0.42240196719512779</v>
      </c>
      <c r="O156" s="19">
        <f t="shared" si="48"/>
        <v>-1.59452939885389</v>
      </c>
      <c r="P156" s="19">
        <f t="shared" si="48"/>
        <v>-0.69189015780135144</v>
      </c>
      <c r="Q156" s="19">
        <f t="shared" si="48"/>
        <v>-0.99012933528073965</v>
      </c>
      <c r="R156" s="19">
        <f t="shared" si="48"/>
        <v>-1.2837597367296922</v>
      </c>
      <c r="S156" s="19">
        <f t="shared" si="48"/>
        <v>0.10497924101523173</v>
      </c>
      <c r="T156" s="19">
        <f t="shared" si="48"/>
        <v>-1.1992085255259184</v>
      </c>
      <c r="U156" s="19">
        <f t="shared" si="48"/>
        <v>-0.84151968970734714</v>
      </c>
      <c r="V156" s="19">
        <f t="shared" si="48"/>
        <v>-1.1247475215072527</v>
      </c>
      <c r="W156" s="16">
        <f t="shared" si="51"/>
        <v>-8.0432070915860869</v>
      </c>
    </row>
    <row r="157" spans="3:23" x14ac:dyDescent="0.25">
      <c r="C157" s="20" t="s">
        <v>11</v>
      </c>
      <c r="D157" s="25" t="str">
        <f t="shared" si="52"/>
        <v>Ind</v>
      </c>
      <c r="E157" s="5">
        <f t="shared" si="49"/>
        <v>0.85919934426829081</v>
      </c>
      <c r="F157" s="6">
        <f t="shared" si="49"/>
        <v>6.724376480916888</v>
      </c>
      <c r="G157" s="6">
        <f t="shared" si="49"/>
        <v>0</v>
      </c>
      <c r="H157" s="6">
        <f t="shared" si="49"/>
        <v>8.0098706647192603</v>
      </c>
      <c r="I157" s="6">
        <f t="shared" si="49"/>
        <v>0</v>
      </c>
      <c r="J157" s="6">
        <f t="shared" si="49"/>
        <v>0</v>
      </c>
      <c r="K157" s="6">
        <f t="shared" si="49"/>
        <v>6.6294759708275217</v>
      </c>
      <c r="L157" s="6">
        <f t="shared" si="49"/>
        <v>9.0422416400988279</v>
      </c>
      <c r="M157" s="7">
        <f t="shared" si="49"/>
        <v>0.85940655981159342</v>
      </c>
      <c r="N157" s="19">
        <f t="shared" si="50"/>
        <v>-0.14080065573170919</v>
      </c>
      <c r="O157" s="19">
        <f t="shared" si="48"/>
        <v>-1.275623519083112</v>
      </c>
      <c r="P157" s="19">
        <f t="shared" si="48"/>
        <v>0</v>
      </c>
      <c r="Q157" s="19">
        <f t="shared" si="48"/>
        <v>-0.99012933528073965</v>
      </c>
      <c r="R157" s="19">
        <f t="shared" si="48"/>
        <v>0</v>
      </c>
      <c r="S157" s="19">
        <f t="shared" si="48"/>
        <v>0</v>
      </c>
      <c r="T157" s="19">
        <f t="shared" si="48"/>
        <v>-1.3705240291724783</v>
      </c>
      <c r="U157" s="19">
        <f t="shared" si="48"/>
        <v>-0.95775835990117208</v>
      </c>
      <c r="V157" s="19">
        <f t="shared" si="48"/>
        <v>-0.14059344018840658</v>
      </c>
      <c r="W157" s="16">
        <f t="shared" si="51"/>
        <v>-4.875429339357618</v>
      </c>
    </row>
    <row r="158" spans="3:23" x14ac:dyDescent="0.25">
      <c r="C158" s="20" t="s">
        <v>11</v>
      </c>
      <c r="D158" s="25" t="str">
        <f t="shared" si="52"/>
        <v>Serv</v>
      </c>
      <c r="E158" s="9">
        <f t="shared" si="49"/>
        <v>8.5919934426829077</v>
      </c>
      <c r="F158" s="10">
        <f t="shared" si="49"/>
        <v>1.681094120229222</v>
      </c>
      <c r="G158" s="10">
        <f t="shared" si="49"/>
        <v>3.6451846139664492</v>
      </c>
      <c r="H158" s="10">
        <f t="shared" si="49"/>
        <v>8.8998562941325101</v>
      </c>
      <c r="I158" s="10">
        <f t="shared" si="49"/>
        <v>0</v>
      </c>
      <c r="J158" s="10">
        <f t="shared" si="49"/>
        <v>2.3341946405542657E-2</v>
      </c>
      <c r="K158" s="10">
        <f t="shared" si="49"/>
        <v>2.4860534890603208</v>
      </c>
      <c r="L158" s="10">
        <f t="shared" si="49"/>
        <v>0</v>
      </c>
      <c r="M158" s="11">
        <f t="shared" si="49"/>
        <v>6.0158459186811548</v>
      </c>
      <c r="N158" s="19">
        <f t="shared" si="50"/>
        <v>-1.4080065573170923</v>
      </c>
      <c r="O158" s="19">
        <f t="shared" si="48"/>
        <v>-0.318905879770778</v>
      </c>
      <c r="P158" s="19">
        <f t="shared" si="48"/>
        <v>-0.35481538603355078</v>
      </c>
      <c r="Q158" s="19">
        <f t="shared" si="48"/>
        <v>-1.1001437058674899</v>
      </c>
      <c r="R158" s="19">
        <f t="shared" si="48"/>
        <v>0</v>
      </c>
      <c r="S158" s="19">
        <f t="shared" si="48"/>
        <v>2.3341946405542657E-2</v>
      </c>
      <c r="T158" s="19">
        <f t="shared" si="48"/>
        <v>-0.51394651093967925</v>
      </c>
      <c r="U158" s="19">
        <f t="shared" si="48"/>
        <v>0</v>
      </c>
      <c r="V158" s="19">
        <f t="shared" si="48"/>
        <v>-0.98415408131884519</v>
      </c>
      <c r="W158" s="16">
        <f t="shared" si="51"/>
        <v>-4.6566301748418928</v>
      </c>
    </row>
    <row r="159" spans="3:23" x14ac:dyDescent="0.25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364.14882796454674</v>
      </c>
      <c r="O159" s="18"/>
    </row>
    <row r="161" spans="1:23" x14ac:dyDescent="0.25">
      <c r="A161" s="66"/>
    </row>
    <row r="162" spans="1:23" ht="15.75" thickBot="1" x14ac:dyDescent="0.3">
      <c r="A162" s="68" t="s">
        <v>41</v>
      </c>
      <c r="E162" s="20" t="s">
        <v>1</v>
      </c>
      <c r="F162" s="20" t="s">
        <v>1</v>
      </c>
      <c r="G162" s="20" t="s">
        <v>1</v>
      </c>
      <c r="H162" s="20" t="s">
        <v>10</v>
      </c>
      <c r="I162" s="20" t="s">
        <v>10</v>
      </c>
      <c r="J162" s="20" t="s">
        <v>10</v>
      </c>
      <c r="K162" s="20" t="s">
        <v>11</v>
      </c>
      <c r="L162" s="20" t="s">
        <v>11</v>
      </c>
      <c r="M162" s="20" t="s">
        <v>11</v>
      </c>
    </row>
    <row r="163" spans="1:23" ht="15.75" thickBot="1" x14ac:dyDescent="0.3">
      <c r="D163" s="23" t="s">
        <v>42</v>
      </c>
      <c r="E163" s="27" t="s">
        <v>51</v>
      </c>
      <c r="F163" s="26" t="s">
        <v>52</v>
      </c>
      <c r="G163" s="26" t="s">
        <v>53</v>
      </c>
      <c r="H163" s="26" t="s">
        <v>51</v>
      </c>
      <c r="I163" s="26" t="s">
        <v>52</v>
      </c>
      <c r="J163" s="26" t="s">
        <v>53</v>
      </c>
      <c r="K163" s="26" t="s">
        <v>51</v>
      </c>
      <c r="L163" s="26" t="s">
        <v>52</v>
      </c>
      <c r="M163" s="26" t="s">
        <v>53</v>
      </c>
    </row>
    <row r="164" spans="1:23" x14ac:dyDescent="0.25">
      <c r="D164" s="28" t="str" cm="1">
        <f t="array" ref="D164:D166">+_xlfn.UNIQUE($D$150:$D$158)</f>
        <v>Agr</v>
      </c>
      <c r="E164" s="1">
        <f>+SUMIF($D$5:$D$13,$D164,E$5:E$13)</f>
        <v>22</v>
      </c>
      <c r="F164" s="2">
        <f t="shared" ref="F164:M166" si="53">+SUMIF($D$5:$D$13,$D164,F$5:F$13)</f>
        <v>20</v>
      </c>
      <c r="G164" s="2">
        <f t="shared" si="53"/>
        <v>22</v>
      </c>
      <c r="H164" s="2">
        <f t="shared" si="53"/>
        <v>17</v>
      </c>
      <c r="I164" s="2">
        <f t="shared" si="53"/>
        <v>20</v>
      </c>
      <c r="J164" s="2">
        <f t="shared" si="53"/>
        <v>17</v>
      </c>
      <c r="K164" s="2">
        <f t="shared" si="53"/>
        <v>20</v>
      </c>
      <c r="L164" s="2">
        <f t="shared" si="53"/>
        <v>25</v>
      </c>
      <c r="M164" s="3">
        <f t="shared" si="53"/>
        <v>19</v>
      </c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x14ac:dyDescent="0.25">
      <c r="D165" s="25" t="str">
        <v>Ind</v>
      </c>
      <c r="E165" s="5">
        <f t="shared" ref="E165:E166" si="54">+SUMIF($D$5:$D$13,$D165,E$5:E$13)</f>
        <v>13</v>
      </c>
      <c r="F165" s="6">
        <f t="shared" si="53"/>
        <v>13</v>
      </c>
      <c r="G165" s="6">
        <f t="shared" si="53"/>
        <v>12</v>
      </c>
      <c r="H165" s="6">
        <f t="shared" si="53"/>
        <v>19</v>
      </c>
      <c r="I165" s="6">
        <f t="shared" si="53"/>
        <v>9</v>
      </c>
      <c r="J165" s="6">
        <f t="shared" si="53"/>
        <v>14</v>
      </c>
      <c r="K165" s="6">
        <f t="shared" si="53"/>
        <v>18</v>
      </c>
      <c r="L165" s="6">
        <f t="shared" si="53"/>
        <v>16</v>
      </c>
      <c r="M165" s="7">
        <f t="shared" si="53"/>
        <v>16</v>
      </c>
      <c r="O165" s="18"/>
      <c r="P165" s="18"/>
      <c r="Q165" s="18"/>
      <c r="R165" s="18"/>
      <c r="S165" s="18"/>
      <c r="T165" s="18"/>
      <c r="U165" s="18"/>
      <c r="V165" s="18"/>
      <c r="W165" s="18"/>
    </row>
    <row r="166" spans="1:23" x14ac:dyDescent="0.25">
      <c r="D166" s="25" t="str">
        <v>Serv</v>
      </c>
      <c r="E166" s="9">
        <f t="shared" si="54"/>
        <v>16</v>
      </c>
      <c r="F166" s="10">
        <f t="shared" si="53"/>
        <v>7</v>
      </c>
      <c r="G166" s="10">
        <f t="shared" si="53"/>
        <v>8</v>
      </c>
      <c r="H166" s="10">
        <f t="shared" si="53"/>
        <v>18</v>
      </c>
      <c r="I166" s="10">
        <f t="shared" si="53"/>
        <v>13</v>
      </c>
      <c r="J166" s="10">
        <f t="shared" si="53"/>
        <v>6</v>
      </c>
      <c r="K166" s="10">
        <f t="shared" si="53"/>
        <v>11</v>
      </c>
      <c r="L166" s="10">
        <f t="shared" si="53"/>
        <v>10</v>
      </c>
      <c r="M166" s="11">
        <f t="shared" si="53"/>
        <v>15</v>
      </c>
      <c r="O166" s="18"/>
      <c r="P166" s="18"/>
      <c r="Q166" s="18"/>
      <c r="R166" s="18"/>
      <c r="S166" s="18"/>
      <c r="T166" s="18"/>
      <c r="U166" s="18"/>
      <c r="V166" s="18"/>
      <c r="W166" s="18"/>
    </row>
    <row r="167" spans="1:23" x14ac:dyDescent="0.25">
      <c r="D167" s="25" t="s">
        <v>8</v>
      </c>
      <c r="E167" s="70">
        <f>+E15</f>
        <v>71</v>
      </c>
      <c r="F167" s="71">
        <f t="shared" ref="F167:M167" si="55">+F15</f>
        <v>55</v>
      </c>
      <c r="G167" s="71">
        <f t="shared" si="55"/>
        <v>47</v>
      </c>
      <c r="H167" s="71">
        <f t="shared" si="55"/>
        <v>82</v>
      </c>
      <c r="I167" s="71">
        <f t="shared" si="55"/>
        <v>50</v>
      </c>
      <c r="J167" s="71">
        <f t="shared" si="55"/>
        <v>55</v>
      </c>
      <c r="K167" s="71">
        <f t="shared" si="55"/>
        <v>79</v>
      </c>
      <c r="L167" s="71">
        <f t="shared" si="55"/>
        <v>65</v>
      </c>
      <c r="M167" s="72">
        <f t="shared" si="55"/>
        <v>60</v>
      </c>
      <c r="N167" s="19"/>
      <c r="O167" s="18"/>
      <c r="P167" s="18"/>
      <c r="Q167" s="18"/>
      <c r="R167" s="18"/>
      <c r="S167" s="18"/>
      <c r="T167" s="18"/>
      <c r="U167" s="18"/>
      <c r="V167" s="18"/>
      <c r="W167" s="18"/>
    </row>
    <row r="168" spans="1:23" x14ac:dyDescent="0.25">
      <c r="O168" s="18"/>
      <c r="P168" s="18"/>
      <c r="Q168" s="18"/>
      <c r="R168" s="18"/>
      <c r="S168" s="18"/>
      <c r="T168" s="18"/>
      <c r="U168" s="18"/>
      <c r="V168" s="18"/>
      <c r="W168" s="18"/>
    </row>
    <row r="169" spans="1:23" ht="15.75" thickBot="1" x14ac:dyDescent="0.3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  <c r="O169" s="18"/>
      <c r="P169" s="18"/>
      <c r="Q169" s="18"/>
      <c r="R169" s="18"/>
      <c r="S169" s="18"/>
      <c r="T169" s="18"/>
      <c r="U169" s="18"/>
      <c r="V169" s="18"/>
      <c r="W169" s="18"/>
    </row>
    <row r="170" spans="1:23" ht="15.75" thickBot="1" x14ac:dyDescent="0.3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  <c r="O170" s="18"/>
      <c r="P170" s="18"/>
      <c r="Q170" s="18"/>
      <c r="R170" s="18"/>
      <c r="S170" s="18"/>
      <c r="T170" s="18"/>
      <c r="U170" s="18"/>
      <c r="V170" s="18"/>
      <c r="W170" s="18"/>
    </row>
    <row r="171" spans="1:23" x14ac:dyDescent="0.25">
      <c r="D171" s="28" t="str" cm="1">
        <f t="array" ref="D171:D173">+_xlfn.UNIQUE($D$150:$D$158)</f>
        <v>Agr</v>
      </c>
      <c r="E171" s="1">
        <f t="shared" ref="E171:M173" si="56">+E164/E$167</f>
        <v>0.30985915492957744</v>
      </c>
      <c r="F171" s="2">
        <f t="shared" si="56"/>
        <v>0.36363636363636365</v>
      </c>
      <c r="G171" s="2">
        <f t="shared" si="56"/>
        <v>0.46808510638297873</v>
      </c>
      <c r="H171" s="2">
        <f t="shared" si="56"/>
        <v>0.2073170731707317</v>
      </c>
      <c r="I171" s="2">
        <f t="shared" si="56"/>
        <v>0.4</v>
      </c>
      <c r="J171" s="2">
        <f t="shared" si="56"/>
        <v>0.30909090909090908</v>
      </c>
      <c r="K171" s="2">
        <f t="shared" si="56"/>
        <v>0.25316455696202533</v>
      </c>
      <c r="L171" s="2">
        <f t="shared" si="56"/>
        <v>0.38461538461538464</v>
      </c>
      <c r="M171" s="3">
        <f t="shared" si="56"/>
        <v>0.31666666666666665</v>
      </c>
      <c r="O171" s="18"/>
      <c r="P171" s="18"/>
      <c r="Q171" s="18"/>
      <c r="R171" s="18"/>
      <c r="S171" s="18"/>
      <c r="T171" s="18"/>
      <c r="U171" s="18"/>
      <c r="V171" s="18"/>
      <c r="W171" s="18"/>
    </row>
    <row r="172" spans="1:23" x14ac:dyDescent="0.25">
      <c r="D172" s="25" t="str">
        <v>Ind</v>
      </c>
      <c r="E172" s="5">
        <f t="shared" si="56"/>
        <v>0.18309859154929578</v>
      </c>
      <c r="F172" s="6">
        <f t="shared" si="56"/>
        <v>0.23636363636363636</v>
      </c>
      <c r="G172" s="6">
        <f t="shared" si="56"/>
        <v>0.25531914893617019</v>
      </c>
      <c r="H172" s="6">
        <f t="shared" si="56"/>
        <v>0.23170731707317074</v>
      </c>
      <c r="I172" s="6">
        <f t="shared" si="56"/>
        <v>0.18</v>
      </c>
      <c r="J172" s="6">
        <f t="shared" si="56"/>
        <v>0.25454545454545452</v>
      </c>
      <c r="K172" s="6">
        <f t="shared" si="56"/>
        <v>0.22784810126582278</v>
      </c>
      <c r="L172" s="6">
        <f t="shared" si="56"/>
        <v>0.24615384615384617</v>
      </c>
      <c r="M172" s="7">
        <f t="shared" si="56"/>
        <v>0.26666666666666666</v>
      </c>
      <c r="O172" s="18"/>
      <c r="P172" s="18"/>
      <c r="Q172" s="18"/>
      <c r="R172" s="18"/>
      <c r="S172" s="18"/>
      <c r="T172" s="18"/>
      <c r="U172" s="18"/>
      <c r="V172" s="18"/>
      <c r="W172" s="18"/>
    </row>
    <row r="173" spans="1:23" x14ac:dyDescent="0.25">
      <c r="D173" s="25" t="str">
        <v>Serv</v>
      </c>
      <c r="E173" s="9">
        <f t="shared" si="56"/>
        <v>0.22535211267605634</v>
      </c>
      <c r="F173" s="10">
        <f t="shared" si="56"/>
        <v>0.12727272727272726</v>
      </c>
      <c r="G173" s="10">
        <f t="shared" si="56"/>
        <v>0.1702127659574468</v>
      </c>
      <c r="H173" s="10">
        <f t="shared" si="56"/>
        <v>0.21951219512195122</v>
      </c>
      <c r="I173" s="10">
        <f t="shared" si="56"/>
        <v>0.26</v>
      </c>
      <c r="J173" s="10">
        <f t="shared" si="56"/>
        <v>0.10909090909090909</v>
      </c>
      <c r="K173" s="10">
        <f t="shared" si="56"/>
        <v>0.13924050632911392</v>
      </c>
      <c r="L173" s="10">
        <f t="shared" si="56"/>
        <v>0.15384615384615385</v>
      </c>
      <c r="M173" s="11">
        <f t="shared" si="56"/>
        <v>0.25</v>
      </c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3" x14ac:dyDescent="0.25">
      <c r="O174" s="18"/>
      <c r="P174" s="18"/>
      <c r="Q174" s="18"/>
      <c r="R174" s="18"/>
      <c r="S174" s="18"/>
      <c r="T174" s="18"/>
      <c r="U174" s="18"/>
      <c r="V174" s="18"/>
      <c r="W174" s="18"/>
    </row>
    <row r="175" spans="1:23" ht="15.75" thickBot="1" x14ac:dyDescent="0.3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  <c r="O175" s="18"/>
      <c r="P175" s="18"/>
      <c r="Q175" s="18"/>
      <c r="R175" s="18"/>
      <c r="S175" s="18"/>
      <c r="T175" s="18"/>
      <c r="U175" s="18"/>
      <c r="V175" s="18"/>
      <c r="W175" s="18"/>
    </row>
    <row r="176" spans="1:23" ht="15.75" thickBot="1" x14ac:dyDescent="0.3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2:23" x14ac:dyDescent="0.25">
      <c r="D177" s="28" t="str" cm="1">
        <f t="array" ref="D177:D179">+_xlfn.UNIQUE($D$150:$D$158)</f>
        <v>Agr</v>
      </c>
      <c r="E177" s="1">
        <f>+SUMIF($D$150:$D$158,$D177,E$150:E$158)</f>
        <v>18.902385573902396</v>
      </c>
      <c r="F177" s="2">
        <f t="shared" ref="F177:M179" si="57">+SUMIF($D$150:$D$158,$D177,F$150:F$158)</f>
        <v>16.81094120229222</v>
      </c>
      <c r="G177" s="2">
        <f t="shared" si="57"/>
        <v>20.034257688407735</v>
      </c>
      <c r="H177" s="2">
        <f t="shared" si="57"/>
        <v>15.129755700025269</v>
      </c>
      <c r="I177" s="2">
        <f t="shared" si="57"/>
        <v>17.432480526540616</v>
      </c>
      <c r="J177" s="2">
        <f t="shared" si="57"/>
        <v>15.668406544447112</v>
      </c>
      <c r="K177" s="2">
        <f t="shared" si="57"/>
        <v>16.573689927068806</v>
      </c>
      <c r="L177" s="2">
        <f t="shared" si="57"/>
        <v>22.605604100247067</v>
      </c>
      <c r="M177" s="3">
        <f t="shared" si="57"/>
        <v>16.328724636420276</v>
      </c>
      <c r="O177" s="18"/>
      <c r="P177" s="18"/>
      <c r="Q177" s="18"/>
      <c r="R177" s="18"/>
      <c r="S177" s="18"/>
      <c r="T177" s="18"/>
      <c r="U177" s="18"/>
      <c r="V177" s="18"/>
      <c r="W177" s="18"/>
    </row>
    <row r="178" spans="2:23" x14ac:dyDescent="0.25">
      <c r="D178" s="25" t="str">
        <v>Ind</v>
      </c>
      <c r="E178" s="5">
        <f t="shared" ref="E178:E179" si="58">+SUMIF($D$150:$D$158,$D178,E$150:E$158)</f>
        <v>11.169591475487781</v>
      </c>
      <c r="F178" s="6">
        <f t="shared" si="57"/>
        <v>10.927111781489943</v>
      </c>
      <c r="G178" s="6">
        <f t="shared" si="57"/>
        <v>10.927776920949675</v>
      </c>
      <c r="H178" s="6">
        <f t="shared" si="57"/>
        <v>16.90972695885177</v>
      </c>
      <c r="I178" s="6">
        <f t="shared" si="57"/>
        <v>7.8446162369432777</v>
      </c>
      <c r="J178" s="6">
        <f t="shared" si="57"/>
        <v>12.903393624838801</v>
      </c>
      <c r="K178" s="6">
        <f t="shared" si="57"/>
        <v>14.916320934361924</v>
      </c>
      <c r="L178" s="6">
        <f t="shared" si="57"/>
        <v>14.467586624158123</v>
      </c>
      <c r="M178" s="7">
        <f t="shared" si="57"/>
        <v>13.750504956985495</v>
      </c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2:23" x14ac:dyDescent="0.25">
      <c r="D179" s="25" t="str">
        <v>Serv</v>
      </c>
      <c r="E179" s="9">
        <f t="shared" si="58"/>
        <v>13.747189508292653</v>
      </c>
      <c r="F179" s="10">
        <f t="shared" si="57"/>
        <v>5.883829420802277</v>
      </c>
      <c r="G179" s="10">
        <f t="shared" si="57"/>
        <v>7.2851846139664493</v>
      </c>
      <c r="H179" s="10">
        <f t="shared" si="57"/>
        <v>16.019741329438517</v>
      </c>
      <c r="I179" s="10">
        <f t="shared" si="57"/>
        <v>11.3311123422514</v>
      </c>
      <c r="J179" s="10">
        <f t="shared" si="57"/>
        <v>5.5300258392166279</v>
      </c>
      <c r="K179" s="10">
        <f t="shared" si="57"/>
        <v>9.115529459887842</v>
      </c>
      <c r="L179" s="10">
        <f t="shared" si="57"/>
        <v>9.0422416400988261</v>
      </c>
      <c r="M179" s="11">
        <f t="shared" si="57"/>
        <v>12.891098397173902</v>
      </c>
      <c r="O179" s="18"/>
      <c r="P179" s="18"/>
      <c r="Q179" s="18"/>
      <c r="R179" s="18"/>
      <c r="S179" s="18"/>
      <c r="T179" s="18"/>
      <c r="U179" s="18"/>
      <c r="V179" s="18"/>
      <c r="W179" s="18"/>
    </row>
    <row r="180" spans="2:23" x14ac:dyDescent="0.25">
      <c r="O180" s="18"/>
      <c r="P180" s="18"/>
      <c r="Q180" s="18"/>
      <c r="R180" s="18"/>
      <c r="S180" s="18"/>
      <c r="T180" s="18"/>
      <c r="U180" s="18"/>
      <c r="V180" s="18"/>
      <c r="W180" s="18"/>
    </row>
    <row r="181" spans="2:23" x14ac:dyDescent="0.25">
      <c r="E181" s="1">
        <f>+E177/E171</f>
        <v>61.003153443048646</v>
      </c>
      <c r="F181" s="2">
        <f t="shared" ref="F181:M181" si="59">+F177/F171</f>
        <v>46.230088306303607</v>
      </c>
      <c r="G181" s="2">
        <f t="shared" si="59"/>
        <v>42.800459607052886</v>
      </c>
      <c r="H181" s="2">
        <f t="shared" si="59"/>
        <v>72.978821611886602</v>
      </c>
      <c r="I181" s="2">
        <f t="shared" si="59"/>
        <v>43.581201316351539</v>
      </c>
      <c r="J181" s="2">
        <f t="shared" si="59"/>
        <v>50.691903526152423</v>
      </c>
      <c r="K181" s="2">
        <f t="shared" si="59"/>
        <v>65.466075211921776</v>
      </c>
      <c r="L181" s="2">
        <f t="shared" si="59"/>
        <v>58.774570660642368</v>
      </c>
      <c r="M181" s="3">
        <f t="shared" si="59"/>
        <v>51.564393588695609</v>
      </c>
      <c r="N181" s="19">
        <f t="shared" ref="N181:N183" si="60">+SUM(E181:M181)</f>
        <v>493.0906672720555</v>
      </c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2:23" x14ac:dyDescent="0.25">
      <c r="E182" s="5">
        <f t="shared" ref="E182:M183" si="61">+E178/E172</f>
        <v>61.003153443048646</v>
      </c>
      <c r="F182" s="6">
        <f t="shared" si="61"/>
        <v>46.230088306303607</v>
      </c>
      <c r="G182" s="6">
        <f t="shared" si="61"/>
        <v>42.8004596070529</v>
      </c>
      <c r="H182" s="6">
        <f t="shared" si="61"/>
        <v>72.978821611886588</v>
      </c>
      <c r="I182" s="6">
        <f t="shared" si="61"/>
        <v>43.581201316351546</v>
      </c>
      <c r="J182" s="6">
        <f t="shared" si="61"/>
        <v>50.691903526152437</v>
      </c>
      <c r="K182" s="6">
        <f t="shared" si="61"/>
        <v>65.466075211921776</v>
      </c>
      <c r="L182" s="6">
        <f t="shared" si="61"/>
        <v>58.774570660642375</v>
      </c>
      <c r="M182" s="7">
        <f t="shared" si="61"/>
        <v>51.564393588695609</v>
      </c>
      <c r="N182" s="19">
        <f t="shared" si="60"/>
        <v>493.0906672720555</v>
      </c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2:23" x14ac:dyDescent="0.25">
      <c r="E183" s="73">
        <f t="shared" si="61"/>
        <v>61.003153443048646</v>
      </c>
      <c r="F183" s="74">
        <f t="shared" si="61"/>
        <v>46.230088306303607</v>
      </c>
      <c r="G183" s="74">
        <f t="shared" si="61"/>
        <v>42.800459607052893</v>
      </c>
      <c r="H183" s="74">
        <f t="shared" si="61"/>
        <v>72.978821611886573</v>
      </c>
      <c r="I183" s="74">
        <f t="shared" si="61"/>
        <v>43.581201316351539</v>
      </c>
      <c r="J183" s="74">
        <f t="shared" si="61"/>
        <v>50.691903526152423</v>
      </c>
      <c r="K183" s="74">
        <f t="shared" si="61"/>
        <v>65.466075211921776</v>
      </c>
      <c r="L183" s="74">
        <f t="shared" si="61"/>
        <v>58.774570660642368</v>
      </c>
      <c r="M183" s="75">
        <f t="shared" si="61"/>
        <v>51.564393588695609</v>
      </c>
      <c r="N183" s="19">
        <f t="shared" si="60"/>
        <v>493.0906672720555</v>
      </c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2:23" x14ac:dyDescent="0.25">
      <c r="D184" s="25" t="s">
        <v>47</v>
      </c>
      <c r="E184" s="13">
        <f>+MIN(E181:E183)</f>
        <v>61.003153443048646</v>
      </c>
      <c r="F184" s="14">
        <f t="shared" ref="F184:M184" si="62">+MIN(F181:F183)</f>
        <v>46.230088306303607</v>
      </c>
      <c r="G184" s="14">
        <f t="shared" si="62"/>
        <v>42.800459607052886</v>
      </c>
      <c r="H184" s="14">
        <f t="shared" si="62"/>
        <v>72.978821611886573</v>
      </c>
      <c r="I184" s="14">
        <f t="shared" si="62"/>
        <v>43.581201316351539</v>
      </c>
      <c r="J184" s="14">
        <f t="shared" si="62"/>
        <v>50.691903526152423</v>
      </c>
      <c r="K184" s="14">
        <f t="shared" si="62"/>
        <v>65.466075211921776</v>
      </c>
      <c r="L184" s="14">
        <f t="shared" si="62"/>
        <v>58.774570660642368</v>
      </c>
      <c r="M184" s="15">
        <f t="shared" si="62"/>
        <v>51.564393588695609</v>
      </c>
      <c r="N184" s="19">
        <f>+SUM(E184:M184)</f>
        <v>493.0906672720555</v>
      </c>
    </row>
    <row r="185" spans="2:23" x14ac:dyDescent="0.25">
      <c r="E185" s="18"/>
      <c r="F185" s="18"/>
      <c r="G185" s="18"/>
      <c r="H185" s="18"/>
      <c r="I185" s="18"/>
      <c r="J185" s="18"/>
      <c r="K185" s="18"/>
      <c r="L185" s="18"/>
      <c r="M185" s="18"/>
      <c r="N185" s="18">
        <f>+N184-O14</f>
        <v>-70.909332727944502</v>
      </c>
      <c r="O185" s="18" t="s">
        <v>64</v>
      </c>
      <c r="P185" s="18"/>
      <c r="Q185" s="18"/>
      <c r="R185" s="18"/>
      <c r="S185" s="18"/>
      <c r="T185" s="18"/>
      <c r="U185" s="18"/>
      <c r="V185" s="18"/>
      <c r="W185" s="18"/>
    </row>
    <row r="186" spans="2:23" x14ac:dyDescent="0.25">
      <c r="E186" s="18"/>
      <c r="F186" s="18"/>
      <c r="G186" s="18"/>
      <c r="H186" s="18"/>
      <c r="I186" s="18"/>
      <c r="J186" s="18"/>
      <c r="K186" s="18"/>
      <c r="L186" s="18"/>
      <c r="M186" s="18"/>
      <c r="N186" s="18">
        <f>+N185/O57</f>
        <v>3.3654168356879315</v>
      </c>
      <c r="O186" s="18" t="s">
        <v>65</v>
      </c>
      <c r="P186" s="18"/>
      <c r="Q186" s="18"/>
      <c r="R186" s="18"/>
      <c r="S186" s="18"/>
      <c r="T186" s="18"/>
      <c r="U186" s="18"/>
      <c r="V186" s="18"/>
      <c r="W186" s="18"/>
    </row>
    <row r="187" spans="2:23" x14ac:dyDescent="0.25">
      <c r="B187" s="16"/>
      <c r="C187" s="115" t="s">
        <v>61</v>
      </c>
      <c r="D187" s="77" t="s">
        <v>66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  <c r="J187" s="114"/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2:23" x14ac:dyDescent="0.25">
      <c r="B188" s="143">
        <f>+MAX(E188/C188,0)</f>
        <v>6.2687287378880036E-3</v>
      </c>
      <c r="C188" s="5" cm="1">
        <f t="array" ref="C188:C196">+H47:H55</f>
        <v>20.304154760546506</v>
      </c>
      <c r="D188" s="136">
        <f>+MAX(G188-SUM(E150:M150),0)</f>
        <v>20.176873522100543</v>
      </c>
      <c r="E188" s="117">
        <f>+C188-D188</f>
        <v>0.1272812384459634</v>
      </c>
      <c r="F188" s="78">
        <f>+SUM(E150:M150)+C188</f>
        <v>61.130434681494606</v>
      </c>
      <c r="G188" s="79" cm="1">
        <f t="array" ref="G188:G196">+TRANSPOSE(E184:M184)</f>
        <v>61.003153443048646</v>
      </c>
      <c r="H188" s="117">
        <f>+F188-G188</f>
        <v>0.12728123844595984</v>
      </c>
      <c r="I188" s="120" t="b">
        <f>+H188&lt;0.01</f>
        <v>0</v>
      </c>
      <c r="J188" s="16"/>
      <c r="K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2:23" x14ac:dyDescent="0.25">
      <c r="B189" s="143">
        <f t="shared" ref="B189:B196" si="63">+MAX(E189/C189,0)</f>
        <v>4.1280216772603232E-15</v>
      </c>
      <c r="C189" s="5">
        <v>3.6576923076922947</v>
      </c>
      <c r="D189" s="79">
        <f t="shared" ref="D189:D196" si="64">+MAX(G189-SUM(E151:M151),0)</f>
        <v>3.6576923076922796</v>
      </c>
      <c r="E189" s="117">
        <f t="shared" ref="E189:E196" si="65">+C189-D189</f>
        <v>1.5099033134902129E-14</v>
      </c>
      <c r="F189" s="78">
        <f>+SUM(E151:M151)+C189</f>
        <v>46.230088306303621</v>
      </c>
      <c r="G189" s="79">
        <v>46.230088306303607</v>
      </c>
      <c r="H189" s="117">
        <f t="shared" ref="H189:H196" si="66">+F189-G189</f>
        <v>0</v>
      </c>
      <c r="I189" s="120" t="b">
        <f t="shared" ref="I189:I196" si="67">+H189&lt;0.01</f>
        <v>1</v>
      </c>
      <c r="J189" s="16"/>
      <c r="K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2:23" x14ac:dyDescent="0.25">
      <c r="B190" s="143">
        <f t="shared" si="63"/>
        <v>0</v>
      </c>
      <c r="C190" s="5">
        <v>13.963846153846156</v>
      </c>
      <c r="D190" s="79">
        <f t="shared" si="64"/>
        <v>13.963846153846152</v>
      </c>
      <c r="E190" s="117">
        <f t="shared" si="65"/>
        <v>0</v>
      </c>
      <c r="F190" s="78">
        <f t="shared" ref="F190:F196" si="68">+SUM(E152:M152)+C190</f>
        <v>42.800459607052886</v>
      </c>
      <c r="G190" s="79">
        <v>42.800459607052886</v>
      </c>
      <c r="H190" s="117">
        <f t="shared" si="66"/>
        <v>0</v>
      </c>
      <c r="I190" s="120" t="b">
        <f t="shared" si="67"/>
        <v>1</v>
      </c>
      <c r="J190" s="16"/>
      <c r="K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2:23" x14ac:dyDescent="0.25">
      <c r="B191" s="143">
        <f t="shared" si="63"/>
        <v>0</v>
      </c>
      <c r="C191" s="5">
        <v>10</v>
      </c>
      <c r="D191" s="79">
        <f t="shared" si="64"/>
        <v>10.275648541897091</v>
      </c>
      <c r="E191" s="117">
        <f t="shared" si="65"/>
        <v>-0.27564854189709109</v>
      </c>
      <c r="F191" s="78">
        <f t="shared" si="68"/>
        <v>72.703173069989475</v>
      </c>
      <c r="G191" s="79">
        <v>72.978821611886573</v>
      </c>
      <c r="H191" s="117">
        <f t="shared" si="66"/>
        <v>-0.2756485418970982</v>
      </c>
      <c r="I191" s="120" t="b">
        <f t="shared" si="67"/>
        <v>1</v>
      </c>
      <c r="J191" s="16"/>
      <c r="K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2:23" x14ac:dyDescent="0.25">
      <c r="B192" s="143">
        <f t="shared" si="63"/>
        <v>0</v>
      </c>
      <c r="C192" s="5">
        <v>4.4615384615384519</v>
      </c>
      <c r="D192" s="79">
        <f t="shared" si="64"/>
        <v>4.4615384615384528</v>
      </c>
      <c r="E192" s="117">
        <f t="shared" si="65"/>
        <v>0</v>
      </c>
      <c r="F192" s="78">
        <f t="shared" si="68"/>
        <v>43.581201316351539</v>
      </c>
      <c r="G192" s="79">
        <v>43.581201316351539</v>
      </c>
      <c r="H192" s="117">
        <f t="shared" si="66"/>
        <v>0</v>
      </c>
      <c r="I192" s="120" t="b">
        <f t="shared" si="67"/>
        <v>1</v>
      </c>
      <c r="J192" s="16"/>
      <c r="K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2:23" x14ac:dyDescent="0.25">
      <c r="B193" s="143">
        <f t="shared" si="63"/>
        <v>0</v>
      </c>
      <c r="C193" s="5">
        <v>20</v>
      </c>
      <c r="D193" s="79">
        <f t="shared" si="64"/>
        <v>20.025934253388765</v>
      </c>
      <c r="E193" s="117">
        <f t="shared" si="65"/>
        <v>-2.5934253388765427E-2</v>
      </c>
      <c r="F193" s="78">
        <f t="shared" si="68"/>
        <v>50.665969272763661</v>
      </c>
      <c r="G193" s="79">
        <v>50.691903526152423</v>
      </c>
      <c r="H193" s="117">
        <f t="shared" si="66"/>
        <v>-2.5934253388761874E-2</v>
      </c>
      <c r="I193" s="120" t="b">
        <f t="shared" si="67"/>
        <v>1</v>
      </c>
      <c r="J193" s="16"/>
      <c r="K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 spans="2:23" x14ac:dyDescent="0.25">
      <c r="B194" s="143">
        <f t="shared" si="63"/>
        <v>1.5362672025729811E-2</v>
      </c>
      <c r="C194" s="5">
        <v>9.6576496069589961</v>
      </c>
      <c r="D194" s="79">
        <f t="shared" si="64"/>
        <v>9.5092823035078666</v>
      </c>
      <c r="E194" s="117">
        <f t="shared" si="65"/>
        <v>0.14836730345112947</v>
      </c>
      <c r="F194" s="78">
        <f t="shared" si="68"/>
        <v>65.6144425153729</v>
      </c>
      <c r="G194" s="79">
        <v>65.466075211921776</v>
      </c>
      <c r="H194" s="117">
        <f t="shared" si="66"/>
        <v>0.14836730345112414</v>
      </c>
      <c r="I194" s="120" t="b">
        <f t="shared" si="67"/>
        <v>0</v>
      </c>
      <c r="J194" s="16"/>
      <c r="K194" s="18"/>
    </row>
    <row r="195" spans="2:23" x14ac:dyDescent="0.25">
      <c r="B195" s="143">
        <f t="shared" si="63"/>
        <v>0</v>
      </c>
      <c r="C195" s="5">
        <v>26.649999999999991</v>
      </c>
      <c r="D195" s="79">
        <f t="shared" si="64"/>
        <v>26.649999999999984</v>
      </c>
      <c r="E195" s="117">
        <f t="shared" si="65"/>
        <v>0</v>
      </c>
      <c r="F195" s="78">
        <f t="shared" si="68"/>
        <v>58.774570660642375</v>
      </c>
      <c r="G195" s="79">
        <v>58.774570660642368</v>
      </c>
      <c r="H195" s="117">
        <f t="shared" si="66"/>
        <v>0</v>
      </c>
      <c r="I195" s="120" t="b">
        <f t="shared" si="67"/>
        <v>1</v>
      </c>
      <c r="J195" s="16"/>
      <c r="K195" s="18"/>
    </row>
    <row r="196" spans="2:23" x14ac:dyDescent="0.25">
      <c r="B196" s="143">
        <f t="shared" si="63"/>
        <v>1.2808962890659421E-3</v>
      </c>
      <c r="C196" s="9">
        <v>20.246958016926257</v>
      </c>
      <c r="D196" s="79">
        <f t="shared" si="64"/>
        <v>20.221023763537502</v>
      </c>
      <c r="E196" s="118">
        <f t="shared" si="65"/>
        <v>2.5934253388754769E-2</v>
      </c>
      <c r="F196" s="80">
        <f t="shared" si="68"/>
        <v>51.590327842084363</v>
      </c>
      <c r="G196" s="81">
        <v>51.564393588695609</v>
      </c>
      <c r="H196" s="118">
        <f t="shared" si="66"/>
        <v>2.5934253388754769E-2</v>
      </c>
      <c r="I196" s="120" t="b">
        <f t="shared" si="67"/>
        <v>0</v>
      </c>
      <c r="J196" s="16"/>
      <c r="K196" s="18"/>
    </row>
    <row r="198" spans="2:23" ht="15.75" thickBot="1" x14ac:dyDescent="0.3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23" ht="15.75" thickBot="1" x14ac:dyDescent="0.3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23" x14ac:dyDescent="0.25">
      <c r="C200" s="20" t="s">
        <v>1</v>
      </c>
      <c r="D200" s="28" t="s">
        <v>51</v>
      </c>
      <c r="E200" s="1">
        <f>+E150/E$184</f>
        <v>0.14084507042253522</v>
      </c>
      <c r="F200" s="2">
        <f t="shared" ref="F200:M200" si="69">+F150/F$184</f>
        <v>9.0909090909090912E-2</v>
      </c>
      <c r="G200" s="2">
        <f t="shared" si="69"/>
        <v>0.21322546369818032</v>
      </c>
      <c r="H200" s="2">
        <f t="shared" si="69"/>
        <v>1.2195121951219514E-2</v>
      </c>
      <c r="I200" s="2">
        <f t="shared" si="69"/>
        <v>0</v>
      </c>
      <c r="J200" s="2">
        <f t="shared" si="69"/>
        <v>0.14723115101766557</v>
      </c>
      <c r="K200" s="2">
        <f t="shared" si="69"/>
        <v>3.7974683544303799E-2</v>
      </c>
      <c r="L200" s="2">
        <f t="shared" si="69"/>
        <v>0.1079909851932731</v>
      </c>
      <c r="M200" s="3">
        <f t="shared" si="69"/>
        <v>3.3333333333333333E-2</v>
      </c>
    </row>
    <row r="201" spans="2:23" x14ac:dyDescent="0.25">
      <c r="C201" s="20" t="s">
        <v>1</v>
      </c>
      <c r="D201" s="25" t="s">
        <v>52</v>
      </c>
      <c r="E201" s="5">
        <f t="shared" ref="E201:M208" si="70">+E151/E$184</f>
        <v>0.11267605633802817</v>
      </c>
      <c r="F201" s="6">
        <f t="shared" si="70"/>
        <v>5.4545454545454543E-2</v>
      </c>
      <c r="G201" s="6">
        <f t="shared" si="70"/>
        <v>0.19148936170212769</v>
      </c>
      <c r="H201" s="6">
        <f t="shared" si="70"/>
        <v>4.8780487804878057E-2</v>
      </c>
      <c r="I201" s="6">
        <f t="shared" si="70"/>
        <v>0.04</v>
      </c>
      <c r="J201" s="6">
        <f t="shared" si="70"/>
        <v>0.18181818181818185</v>
      </c>
      <c r="K201" s="6">
        <f t="shared" si="70"/>
        <v>1.2658227848101266E-2</v>
      </c>
      <c r="L201" s="6">
        <f t="shared" si="70"/>
        <v>6.1538461538461549E-2</v>
      </c>
      <c r="M201" s="7">
        <f t="shared" si="70"/>
        <v>0.11666666666666668</v>
      </c>
    </row>
    <row r="202" spans="2:23" x14ac:dyDescent="0.25">
      <c r="C202" s="20" t="s">
        <v>1</v>
      </c>
      <c r="D202" s="25" t="s">
        <v>53</v>
      </c>
      <c r="E202" s="5">
        <f t="shared" si="70"/>
        <v>0</v>
      </c>
      <c r="F202" s="6">
        <f t="shared" si="70"/>
        <v>0</v>
      </c>
      <c r="G202" s="6">
        <f t="shared" si="70"/>
        <v>0</v>
      </c>
      <c r="H202" s="6">
        <f t="shared" si="70"/>
        <v>8.5365853658536606E-2</v>
      </c>
      <c r="I202" s="6">
        <f t="shared" si="70"/>
        <v>0.08</v>
      </c>
      <c r="J202" s="6">
        <f t="shared" si="70"/>
        <v>7.2727272727272724E-2</v>
      </c>
      <c r="K202" s="6">
        <f t="shared" si="70"/>
        <v>8.8607594936708861E-2</v>
      </c>
      <c r="L202" s="6">
        <f t="shared" si="70"/>
        <v>6.1538461538461549E-2</v>
      </c>
      <c r="M202" s="7">
        <f t="shared" si="70"/>
        <v>0.11666666666666668</v>
      </c>
    </row>
    <row r="203" spans="2:23" x14ac:dyDescent="0.25">
      <c r="C203" s="20" t="s">
        <v>10</v>
      </c>
      <c r="D203" s="25" t="str">
        <f>+D200</f>
        <v>Agr</v>
      </c>
      <c r="E203" s="5">
        <f t="shared" si="70"/>
        <v>0.12676056338028169</v>
      </c>
      <c r="F203" s="6">
        <f t="shared" si="70"/>
        <v>9.0909090909090912E-2</v>
      </c>
      <c r="G203" s="6">
        <f t="shared" si="70"/>
        <v>8.4111246305560064E-2</v>
      </c>
      <c r="H203" s="6">
        <f t="shared" si="70"/>
        <v>8.5365853658536606E-2</v>
      </c>
      <c r="I203" s="6">
        <f t="shared" si="70"/>
        <v>0.2</v>
      </c>
      <c r="J203" s="6">
        <f t="shared" si="70"/>
        <v>0.15978883088935761</v>
      </c>
      <c r="K203" s="6">
        <f t="shared" si="70"/>
        <v>0.12658227848101267</v>
      </c>
      <c r="L203" s="6">
        <f t="shared" si="70"/>
        <v>0.13781470300767437</v>
      </c>
      <c r="M203" s="7">
        <f t="shared" si="70"/>
        <v>0.15</v>
      </c>
    </row>
    <row r="204" spans="2:23" x14ac:dyDescent="0.25">
      <c r="C204" s="20" t="s">
        <v>10</v>
      </c>
      <c r="D204" s="25" t="str">
        <f t="shared" ref="D204:D208" si="71">+D201</f>
        <v>Ind</v>
      </c>
      <c r="E204" s="5">
        <f t="shared" si="70"/>
        <v>5.6338028169014086E-2</v>
      </c>
      <c r="F204" s="6">
        <f t="shared" si="70"/>
        <v>3.6363636363636362E-2</v>
      </c>
      <c r="G204" s="6">
        <f t="shared" si="70"/>
        <v>6.3829787234042562E-2</v>
      </c>
      <c r="H204" s="6">
        <f t="shared" si="70"/>
        <v>7.3170731707317083E-2</v>
      </c>
      <c r="I204" s="6">
        <f t="shared" si="70"/>
        <v>0.14000000000000001</v>
      </c>
      <c r="J204" s="6">
        <f t="shared" si="70"/>
        <v>7.2727272727272724E-2</v>
      </c>
      <c r="K204" s="6">
        <f t="shared" si="70"/>
        <v>0.11392405063291139</v>
      </c>
      <c r="L204" s="6">
        <f t="shared" si="70"/>
        <v>3.0769230769230774E-2</v>
      </c>
      <c r="M204" s="7">
        <f t="shared" si="70"/>
        <v>0.13333333333333333</v>
      </c>
    </row>
    <row r="205" spans="2:23" x14ac:dyDescent="0.25">
      <c r="C205" s="20" t="s">
        <v>10</v>
      </c>
      <c r="D205" s="25" t="str">
        <f t="shared" si="71"/>
        <v>Serv</v>
      </c>
      <c r="E205" s="5">
        <f t="shared" si="70"/>
        <v>8.4507042253521125E-2</v>
      </c>
      <c r="F205" s="6">
        <f t="shared" si="70"/>
        <v>9.0909090909090912E-2</v>
      </c>
      <c r="G205" s="6">
        <f t="shared" si="70"/>
        <v>8.5045815708955183E-2</v>
      </c>
      <c r="H205" s="6">
        <f t="shared" si="70"/>
        <v>1.2195121951219514E-2</v>
      </c>
      <c r="I205" s="6">
        <f t="shared" si="70"/>
        <v>0.18</v>
      </c>
      <c r="J205" s="6">
        <f t="shared" si="70"/>
        <v>3.590316940970751E-2</v>
      </c>
      <c r="K205" s="6">
        <f t="shared" si="70"/>
        <v>1.2658227848101266E-2</v>
      </c>
      <c r="L205" s="6">
        <f t="shared" si="70"/>
        <v>9.2307692307692313E-2</v>
      </c>
      <c r="M205" s="7">
        <f t="shared" si="70"/>
        <v>1.6666666666666666E-2</v>
      </c>
    </row>
    <row r="206" spans="2:23" x14ac:dyDescent="0.25">
      <c r="C206" s="20" t="s">
        <v>11</v>
      </c>
      <c r="D206" s="25" t="str">
        <f t="shared" si="71"/>
        <v>Agr</v>
      </c>
      <c r="E206" s="5">
        <f t="shared" si="70"/>
        <v>4.2253521126760563E-2</v>
      </c>
      <c r="F206" s="6">
        <f t="shared" si="70"/>
        <v>0.18181818181818182</v>
      </c>
      <c r="G206" s="6">
        <f t="shared" si="70"/>
        <v>0.17074839637923842</v>
      </c>
      <c r="H206" s="6">
        <f t="shared" si="70"/>
        <v>0.10975609756097564</v>
      </c>
      <c r="I206" s="6">
        <f t="shared" si="70"/>
        <v>0.2</v>
      </c>
      <c r="J206" s="6">
        <f t="shared" si="70"/>
        <v>2.0709271838859232E-3</v>
      </c>
      <c r="K206" s="6">
        <f t="shared" si="70"/>
        <v>8.8607594936708861E-2</v>
      </c>
      <c r="L206" s="6">
        <f t="shared" si="70"/>
        <v>0.13880969641443716</v>
      </c>
      <c r="M206" s="7">
        <f t="shared" si="70"/>
        <v>0.13333333333333333</v>
      </c>
    </row>
    <row r="207" spans="2:23" x14ac:dyDescent="0.25">
      <c r="C207" s="20" t="s">
        <v>11</v>
      </c>
      <c r="D207" s="25" t="str">
        <f t="shared" si="71"/>
        <v>Ind</v>
      </c>
      <c r="E207" s="5">
        <f t="shared" si="70"/>
        <v>1.4084507042253521E-2</v>
      </c>
      <c r="F207" s="6">
        <f t="shared" si="70"/>
        <v>0.14545454545454545</v>
      </c>
      <c r="G207" s="6">
        <f t="shared" si="70"/>
        <v>0</v>
      </c>
      <c r="H207" s="6">
        <f t="shared" si="70"/>
        <v>0.10975609756097564</v>
      </c>
      <c r="I207" s="6">
        <f t="shared" si="70"/>
        <v>0</v>
      </c>
      <c r="J207" s="6">
        <f t="shared" si="70"/>
        <v>0</v>
      </c>
      <c r="K207" s="6">
        <f t="shared" si="70"/>
        <v>0.10126582278481013</v>
      </c>
      <c r="L207" s="6">
        <f t="shared" si="70"/>
        <v>0.15384615384615388</v>
      </c>
      <c r="M207" s="7">
        <f t="shared" si="70"/>
        <v>1.6666666666666666E-2</v>
      </c>
    </row>
    <row r="208" spans="2:23" x14ac:dyDescent="0.25">
      <c r="C208" s="20" t="s">
        <v>11</v>
      </c>
      <c r="D208" s="25" t="str">
        <f t="shared" si="71"/>
        <v>Serv</v>
      </c>
      <c r="E208" s="9">
        <f t="shared" si="70"/>
        <v>0.14084507042253522</v>
      </c>
      <c r="F208" s="10">
        <f t="shared" si="70"/>
        <v>3.6363636363636362E-2</v>
      </c>
      <c r="G208" s="10">
        <f t="shared" si="70"/>
        <v>8.5166950248491635E-2</v>
      </c>
      <c r="H208" s="10">
        <f t="shared" si="70"/>
        <v>0.12195121951219513</v>
      </c>
      <c r="I208" s="10">
        <f t="shared" si="70"/>
        <v>0</v>
      </c>
      <c r="J208" s="10">
        <f t="shared" si="70"/>
        <v>4.6046695392885239E-4</v>
      </c>
      <c r="K208" s="10">
        <f t="shared" si="70"/>
        <v>3.7974683544303799E-2</v>
      </c>
      <c r="L208" s="10">
        <f t="shared" si="70"/>
        <v>0</v>
      </c>
      <c r="M208" s="11">
        <f t="shared" si="70"/>
        <v>0.11666666666666668</v>
      </c>
    </row>
    <row r="211" spans="3:13" ht="15.75" thickBot="1" x14ac:dyDescent="0.3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.75" thickBot="1" x14ac:dyDescent="0.3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25">
      <c r="C213" s="20" t="s">
        <v>1</v>
      </c>
      <c r="D213" s="28" t="s">
        <v>51</v>
      </c>
      <c r="E213" s="1" cm="1">
        <f t="array" ref="E213:M221">+MINVERSE(_xlfn.MUNIT(COUNTA($D$213:$D$221))-E200:M208)</f>
        <v>1.3403418509039622</v>
      </c>
      <c r="F213" s="2">
        <v>0.29384781791057341</v>
      </c>
      <c r="G213" s="2">
        <v>0.46190294247883901</v>
      </c>
      <c r="H213" s="2">
        <v>0.2010416964740149</v>
      </c>
      <c r="I213" s="2">
        <v>0.22567454316054039</v>
      </c>
      <c r="J213" s="2">
        <v>0.34588083426555744</v>
      </c>
      <c r="K213" s="2">
        <v>0.21453534770365656</v>
      </c>
      <c r="L213" s="2">
        <v>0.33990267760584564</v>
      </c>
      <c r="M213" s="3">
        <v>0.26392031946386663</v>
      </c>
    </row>
    <row r="214" spans="3:13" x14ac:dyDescent="0.25">
      <c r="C214" s="20" t="s">
        <v>1</v>
      </c>
      <c r="D214" s="25" t="s">
        <v>52</v>
      </c>
      <c r="E214" s="5">
        <v>0.33306551988099897</v>
      </c>
      <c r="F214" s="6">
        <v>1.258909233385008</v>
      </c>
      <c r="G214" s="6">
        <v>0.44908953280435099</v>
      </c>
      <c r="H214" s="6">
        <v>0.24915207545877063</v>
      </c>
      <c r="I214" s="6">
        <v>0.28509970837748927</v>
      </c>
      <c r="J214" s="6">
        <v>0.38555973850389325</v>
      </c>
      <c r="K214" s="6">
        <v>0.19835524611218724</v>
      </c>
      <c r="L214" s="6">
        <v>0.292273763614467</v>
      </c>
      <c r="M214" s="7">
        <v>0.36622574000475905</v>
      </c>
    </row>
    <row r="215" spans="3:13" x14ac:dyDescent="0.25">
      <c r="C215" s="20" t="s">
        <v>1</v>
      </c>
      <c r="D215" s="25" t="s">
        <v>53</v>
      </c>
      <c r="E215" s="5">
        <v>0.16092397879795012</v>
      </c>
      <c r="F215" s="6">
        <v>0.16094432059349151</v>
      </c>
      <c r="G215" s="6">
        <v>1.186547450508521</v>
      </c>
      <c r="H215" s="6">
        <v>0.24263285086951886</v>
      </c>
      <c r="I215" s="6">
        <v>0.27157028306012121</v>
      </c>
      <c r="J215" s="6">
        <v>0.20578419097538092</v>
      </c>
      <c r="K215" s="6">
        <v>0.23310575008905271</v>
      </c>
      <c r="L215" s="6">
        <v>0.22862047557541734</v>
      </c>
      <c r="M215" s="7">
        <v>0.309618848016601</v>
      </c>
    </row>
    <row r="216" spans="3:13" x14ac:dyDescent="0.25">
      <c r="C216" s="20" t="s">
        <v>10</v>
      </c>
      <c r="D216" s="25" t="str">
        <f>+D213</f>
        <v>Agr</v>
      </c>
      <c r="E216" s="5">
        <v>0.4683068715614932</v>
      </c>
      <c r="F216" s="6">
        <v>0.42851262244123534</v>
      </c>
      <c r="G216" s="6">
        <v>0.49794072749855484</v>
      </c>
      <c r="H216" s="6">
        <v>1.4072315919235834</v>
      </c>
      <c r="I216" s="6">
        <v>0.59123364494498154</v>
      </c>
      <c r="J216" s="6">
        <v>0.46890914466755651</v>
      </c>
      <c r="K216" s="6">
        <v>0.42817603565136725</v>
      </c>
      <c r="L216" s="6">
        <v>0.49923941269788702</v>
      </c>
      <c r="M216" s="7">
        <v>0.55113768909717009</v>
      </c>
    </row>
    <row r="217" spans="3:13" x14ac:dyDescent="0.25">
      <c r="C217" s="20" t="s">
        <v>10</v>
      </c>
      <c r="D217" s="25" t="str">
        <f t="shared" ref="D217:D221" si="72">+D214</f>
        <v>Ind</v>
      </c>
      <c r="E217" s="5">
        <v>0.27830737512050513</v>
      </c>
      <c r="F217" s="6">
        <v>0.24823544637929054</v>
      </c>
      <c r="G217" s="6">
        <v>0.33034855172302469</v>
      </c>
      <c r="H217" s="6">
        <v>0.28498025350946271</v>
      </c>
      <c r="I217" s="6">
        <v>1.3996400156615445</v>
      </c>
      <c r="J217" s="6">
        <v>0.26791097333471142</v>
      </c>
      <c r="K217" s="6">
        <v>0.31056542786887092</v>
      </c>
      <c r="L217" s="6">
        <v>0.25508352861459782</v>
      </c>
      <c r="M217" s="7">
        <v>0.4033238314855665</v>
      </c>
    </row>
    <row r="218" spans="3:13" x14ac:dyDescent="0.25">
      <c r="C218" s="20" t="s">
        <v>10</v>
      </c>
      <c r="D218" s="25" t="str">
        <f t="shared" si="72"/>
        <v>Serv</v>
      </c>
      <c r="E218" s="5">
        <v>0.24927189352155596</v>
      </c>
      <c r="F218" s="6">
        <v>0.25250221833803299</v>
      </c>
      <c r="G218" s="6">
        <v>0.28888845205673142</v>
      </c>
      <c r="H218" s="6">
        <v>0.17110717924572164</v>
      </c>
      <c r="I218" s="6">
        <v>0.36887601059448633</v>
      </c>
      <c r="J218" s="6">
        <v>1.2013696618919196</v>
      </c>
      <c r="K218" s="6">
        <v>0.16777114611754257</v>
      </c>
      <c r="L218" s="6">
        <v>0.2710505973530663</v>
      </c>
      <c r="M218" s="7">
        <v>0.21875170954639961</v>
      </c>
    </row>
    <row r="219" spans="3:13" x14ac:dyDescent="0.25">
      <c r="C219" s="20" t="s">
        <v>11</v>
      </c>
      <c r="D219" s="25" t="str">
        <f t="shared" si="72"/>
        <v>Agr</v>
      </c>
      <c r="E219" s="5">
        <v>0.35277657008881802</v>
      </c>
      <c r="F219" s="6">
        <v>0.48151276446943736</v>
      </c>
      <c r="G219" s="6">
        <v>0.54370623462687717</v>
      </c>
      <c r="H219" s="6">
        <v>0.42091237973889339</v>
      </c>
      <c r="I219" s="6">
        <v>0.55401811345244401</v>
      </c>
      <c r="J219" s="6">
        <v>0.30046086373637682</v>
      </c>
      <c r="K219" s="6">
        <v>1.3771656839992383</v>
      </c>
      <c r="L219" s="6">
        <v>0.46698424447893727</v>
      </c>
      <c r="M219" s="7">
        <v>0.52617383093076719</v>
      </c>
    </row>
    <row r="220" spans="3:13" x14ac:dyDescent="0.25">
      <c r="C220" s="20" t="s">
        <v>11</v>
      </c>
      <c r="D220" s="25" t="str">
        <f t="shared" si="72"/>
        <v>Ind</v>
      </c>
      <c r="E220" s="5">
        <v>0.18888904270820636</v>
      </c>
      <c r="F220" s="6">
        <v>0.33833313309853597</v>
      </c>
      <c r="G220" s="6">
        <v>0.2204313111069208</v>
      </c>
      <c r="H220" s="6">
        <v>0.28456328984008972</v>
      </c>
      <c r="I220" s="6">
        <v>0.19929526089908889</v>
      </c>
      <c r="J220" s="6">
        <v>0.1721484485938129</v>
      </c>
      <c r="K220" s="6">
        <v>0.26163357722908531</v>
      </c>
      <c r="L220" s="6">
        <v>1.3618574138876014</v>
      </c>
      <c r="M220" s="7">
        <v>0.22776670511174024</v>
      </c>
    </row>
    <row r="221" spans="3:13" x14ac:dyDescent="0.25">
      <c r="C221" s="20" t="s">
        <v>11</v>
      </c>
      <c r="D221" s="25" t="str">
        <f t="shared" si="72"/>
        <v>Serv</v>
      </c>
      <c r="E221" s="9">
        <v>0.32288985792506614</v>
      </c>
      <c r="F221" s="10">
        <v>0.19418702467155685</v>
      </c>
      <c r="G221" s="10">
        <v>0.29880733965527301</v>
      </c>
      <c r="H221" s="10">
        <v>0.27816964494439961</v>
      </c>
      <c r="I221" s="10">
        <v>0.17953743803775063</v>
      </c>
      <c r="J221" s="10">
        <v>0.16914239526939423</v>
      </c>
      <c r="K221" s="10">
        <v>0.18325284207905262</v>
      </c>
      <c r="L221" s="10">
        <v>0.17741196910899196</v>
      </c>
      <c r="M221" s="11">
        <v>1.3179083712443467</v>
      </c>
    </row>
    <row r="223" spans="3:13" x14ac:dyDescent="0.25">
      <c r="E223" s="16"/>
      <c r="F223" s="16"/>
      <c r="G223" s="18"/>
      <c r="I223" s="16"/>
      <c r="L223" s="16"/>
    </row>
    <row r="224" spans="3:13" x14ac:dyDescent="0.25">
      <c r="E224" s="16"/>
      <c r="F224" s="16"/>
      <c r="G224" s="18"/>
      <c r="I224" s="16"/>
      <c r="L224" s="16"/>
    </row>
    <row r="225" spans="5:12" x14ac:dyDescent="0.25">
      <c r="E225" s="16"/>
      <c r="F225" s="16"/>
      <c r="G225" s="18"/>
      <c r="I225" s="16"/>
      <c r="L225" s="16"/>
    </row>
    <row r="226" spans="5:12" x14ac:dyDescent="0.25">
      <c r="E226" s="16"/>
      <c r="F226" s="16"/>
      <c r="G226" s="18"/>
      <c r="I226" s="16"/>
      <c r="L226" s="16"/>
    </row>
    <row r="227" spans="5:12" x14ac:dyDescent="0.25">
      <c r="E227" s="16"/>
      <c r="F227" s="16"/>
      <c r="G227" s="18"/>
      <c r="I227" s="16"/>
      <c r="L227" s="16"/>
    </row>
    <row r="228" spans="5:12" x14ac:dyDescent="0.25">
      <c r="E228" s="16"/>
      <c r="F228" s="16"/>
      <c r="G228" s="18"/>
      <c r="I228" s="16"/>
      <c r="L228" s="16"/>
    </row>
    <row r="229" spans="5:12" x14ac:dyDescent="0.25">
      <c r="E229" s="16"/>
      <c r="F229" s="16"/>
      <c r="G229" s="18"/>
      <c r="I229" s="16"/>
      <c r="L229" s="16"/>
    </row>
    <row r="230" spans="5:12" x14ac:dyDescent="0.25">
      <c r="E230" s="16"/>
      <c r="F230" s="16"/>
      <c r="G230" s="18"/>
      <c r="I230" s="16"/>
      <c r="L230" s="16"/>
    </row>
    <row r="231" spans="5:12" x14ac:dyDescent="0.25">
      <c r="E231" s="16"/>
      <c r="F231" s="16"/>
      <c r="G231" s="18"/>
      <c r="I231" s="16"/>
      <c r="L231" s="16"/>
    </row>
    <row r="234" spans="5:12" x14ac:dyDescent="0.25">
      <c r="E234" s="16"/>
    </row>
    <row r="235" spans="5:12" x14ac:dyDescent="0.25">
      <c r="E235" s="16"/>
      <c r="F235" s="18"/>
    </row>
    <row r="236" spans="5:12" x14ac:dyDescent="0.25">
      <c r="E236" s="16"/>
      <c r="F236" s="18"/>
    </row>
    <row r="237" spans="5:12" x14ac:dyDescent="0.25">
      <c r="E237" s="16"/>
      <c r="F237" s="18"/>
    </row>
    <row r="238" spans="5:12" x14ac:dyDescent="0.25">
      <c r="E238" s="16"/>
      <c r="F238" s="18"/>
    </row>
    <row r="239" spans="5:12" x14ac:dyDescent="0.25">
      <c r="E239" s="16"/>
      <c r="F239" s="18"/>
    </row>
    <row r="240" spans="5:12" x14ac:dyDescent="0.25">
      <c r="E240" s="16"/>
      <c r="F240" s="18"/>
    </row>
    <row r="241" spans="5:6" x14ac:dyDescent="0.25">
      <c r="E241" s="16"/>
      <c r="F241" s="18"/>
    </row>
    <row r="242" spans="5:6" x14ac:dyDescent="0.25">
      <c r="E242" s="16"/>
      <c r="F242" s="18"/>
    </row>
    <row r="243" spans="5:6" x14ac:dyDescent="0.25">
      <c r="F243" s="18"/>
    </row>
  </sheetData>
  <conditionalFormatting sqref="E88:M88">
    <cfRule type="expression" dxfId="17" priority="2">
      <formula>E88&lt;E89</formula>
    </cfRule>
  </conditionalFormatting>
  <conditionalFormatting sqref="E89:M89">
    <cfRule type="expression" dxfId="16" priority="1">
      <formula>E89&lt;E88</formula>
    </cfRule>
  </conditionalFormatting>
  <conditionalFormatting sqref="E106:M115">
    <cfRule type="expression" dxfId="15" priority="10">
      <formula>E106&lt;0</formula>
    </cfRule>
  </conditionalFormatting>
  <conditionalFormatting sqref="E131:M133">
    <cfRule type="expression" dxfId="14" priority="8">
      <formula>E131&lt;0</formula>
    </cfRule>
  </conditionalFormatting>
  <conditionalFormatting sqref="E137:M145">
    <cfRule type="expression" dxfId="13" priority="9">
      <formula>E137&lt;0</formula>
    </cfRule>
  </conditionalFormatting>
  <conditionalFormatting sqref="N78:V86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50:V158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64:W172">
    <cfRule type="containsText" dxfId="12" priority="3" operator="containsText" text="FALSO">
      <formula>NOT(ISERROR(SEARCH("FALSO",O164)))</formula>
    </cfRule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0:W142 V136:W138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26AB-2268-42B6-A885-55992EF2E9B0}">
  <dimension ref="A3:Y243"/>
  <sheetViews>
    <sheetView showGridLines="0" zoomScaleNormal="100" workbookViewId="0">
      <selection activeCell="E5" sqref="E5"/>
    </sheetView>
  </sheetViews>
  <sheetFormatPr defaultRowHeight="15" x14ac:dyDescent="0.25"/>
  <cols>
    <col min="1" max="1" width="12.7109375" style="65" customWidth="1"/>
    <col min="2" max="23" width="12.7109375" customWidth="1"/>
  </cols>
  <sheetData>
    <row r="3" spans="3:18" ht="15.75" thickBot="1" x14ac:dyDescent="0.3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.75" thickBot="1" x14ac:dyDescent="0.3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67</v>
      </c>
      <c r="O4" s="21" t="s">
        <v>68</v>
      </c>
      <c r="P4" s="57" t="s">
        <v>29</v>
      </c>
      <c r="Q4" s="57" t="s">
        <v>8</v>
      </c>
      <c r="R4" s="57"/>
    </row>
    <row r="5" spans="3:18" x14ac:dyDescent="0.25">
      <c r="C5" s="20" t="s">
        <v>1</v>
      </c>
      <c r="D5" s="28" t="s">
        <v>51</v>
      </c>
      <c r="E5" s="82">
        <f>+IO_sub_model!E150</f>
        <v>9.5560439560439558</v>
      </c>
      <c r="F5" s="83">
        <f>+IO_sub_model!F150</f>
        <v>5.0054945054945064</v>
      </c>
      <c r="G5" s="83">
        <f>+IO_sub_model!G150</f>
        <v>9.5560439560439576</v>
      </c>
      <c r="H5" s="83">
        <f>+IO_sub_model!H150</f>
        <v>1.3296703296703303</v>
      </c>
      <c r="I5" s="83">
        <f>+IO_sub_model!I150</f>
        <v>0.50549450549450559</v>
      </c>
      <c r="J5" s="83">
        <f>+IO_sub_model!J150</f>
        <v>7.6296703296703292</v>
      </c>
      <c r="K5" s="83">
        <f>+IO_sub_model!K150</f>
        <v>3.2054945054945065</v>
      </c>
      <c r="L5" s="83">
        <f>+IO_sub_model!L150</f>
        <v>6.9318681318681312</v>
      </c>
      <c r="M5" s="84">
        <f>+IO_sub_model!M150</f>
        <v>2.2802197802197823</v>
      </c>
      <c r="N5" s="24">
        <f>+O5-SUM(E5:M5)</f>
        <v>20.685384615384606</v>
      </c>
      <c r="O5" s="137" cm="1">
        <f t="array" ref="O5:O13">+TRANSPOSE(_xlfn.ANCHORARRAY(E15))</f>
        <v>66.685384615384606</v>
      </c>
      <c r="P5" s="62" cm="1">
        <f t="array" ref="P5:P13">+MMULT(E21:M29,O5:O13)</f>
        <v>46</v>
      </c>
      <c r="Q5" s="61">
        <f>+P5+N5</f>
        <v>66.685384615384606</v>
      </c>
      <c r="R5" s="61" t="b">
        <f>+Q5=O5</f>
        <v>1</v>
      </c>
    </row>
    <row r="6" spans="3:18" x14ac:dyDescent="0.25">
      <c r="C6" s="20" t="s">
        <v>1</v>
      </c>
      <c r="D6" s="25" t="s">
        <v>52</v>
      </c>
      <c r="E6" s="85">
        <f>+IO_sub_model!E151</f>
        <v>7.6799999999999988</v>
      </c>
      <c r="F6" s="86">
        <f>+IO_sub_model!F151</f>
        <v>3.1799999999999988</v>
      </c>
      <c r="G6" s="86">
        <f>+IO_sub_model!G151</f>
        <v>8.5430769230769226</v>
      </c>
      <c r="H6" s="86">
        <f>+IO_sub_model!H151</f>
        <v>4.3015384615384598</v>
      </c>
      <c r="I6" s="86">
        <f>+IO_sub_model!I151</f>
        <v>2.132307692307692</v>
      </c>
      <c r="J6" s="86">
        <f>+IO_sub_model!J151</f>
        <v>9.5169230769230762</v>
      </c>
      <c r="K6" s="86">
        <f>+IO_sub_model!K151</f>
        <v>1.5646153846153847</v>
      </c>
      <c r="L6" s="86">
        <f>+IO_sub_model!L151</f>
        <v>4.190769230769229</v>
      </c>
      <c r="M6" s="87">
        <f>+IO_sub_model!M151</f>
        <v>6.890769230769231</v>
      </c>
      <c r="N6" s="24">
        <f t="shared" ref="N6:N13" si="0">+O6-SUM(E6:M6)</f>
        <v>3.6576923076923222</v>
      </c>
      <c r="O6" s="138">
        <v>51.657692307692315</v>
      </c>
      <c r="P6" s="62">
        <v>47.999999999999993</v>
      </c>
      <c r="Q6" s="61">
        <f t="shared" ref="Q6:Q13" si="1">+P6+N6</f>
        <v>51.657692307692315</v>
      </c>
      <c r="R6" s="61" t="b">
        <f t="shared" ref="R6:R13" si="2">+Q6=O6</f>
        <v>1</v>
      </c>
    </row>
    <row r="7" spans="3:18" x14ac:dyDescent="0.25">
      <c r="C7" s="20" t="s">
        <v>1</v>
      </c>
      <c r="D7" s="25" t="s">
        <v>53</v>
      </c>
      <c r="E7" s="85">
        <f>+IO_sub_model!E152</f>
        <v>7.3846153846154339E-2</v>
      </c>
      <c r="F7" s="86">
        <f>+IO_sub_model!F152</f>
        <v>3.2307692307692565E-2</v>
      </c>
      <c r="G7" s="86">
        <f>+IO_sub_model!G152</f>
        <v>3.6923076923077273E-2</v>
      </c>
      <c r="H7" s="86">
        <f>+IO_sub_model!H152</f>
        <v>6.3830769230769224</v>
      </c>
      <c r="I7" s="86">
        <f>+IO_sub_model!I152</f>
        <v>3.66</v>
      </c>
      <c r="J7" s="86">
        <f>+IO_sub_model!J152</f>
        <v>3.6276923076923073</v>
      </c>
      <c r="K7" s="86">
        <f>+IO_sub_model!K152</f>
        <v>6.3507692307692301</v>
      </c>
      <c r="L7" s="86">
        <f>+IO_sub_model!L152</f>
        <v>3.6461538461538461</v>
      </c>
      <c r="M7" s="87">
        <f>+IO_sub_model!M152</f>
        <v>6.3692307692307688</v>
      </c>
      <c r="N7" s="24">
        <f t="shared" si="0"/>
        <v>13.963846153846156</v>
      </c>
      <c r="O7" s="138">
        <v>44.143846153846155</v>
      </c>
      <c r="P7" s="62">
        <v>30.18</v>
      </c>
      <c r="Q7" s="61">
        <f t="shared" si="1"/>
        <v>44.143846153846155</v>
      </c>
      <c r="R7" s="61" t="b">
        <f t="shared" si="2"/>
        <v>1</v>
      </c>
    </row>
    <row r="8" spans="3:18" x14ac:dyDescent="0.25">
      <c r="C8" s="20" t="s">
        <v>10</v>
      </c>
      <c r="D8" s="25" t="str">
        <f>+D5</f>
        <v>Agr</v>
      </c>
      <c r="E8" s="85">
        <f>+IO_sub_model!E153</f>
        <v>8.1</v>
      </c>
      <c r="F8" s="86">
        <f>+IO_sub_model!F153</f>
        <v>4.5</v>
      </c>
      <c r="G8" s="86">
        <f>+IO_sub_model!G153</f>
        <v>3.5999999999999996</v>
      </c>
      <c r="H8" s="86">
        <f>+IO_sub_model!H153</f>
        <v>6.2999999999999989</v>
      </c>
      <c r="I8" s="86">
        <f>+IO_sub_model!I153</f>
        <v>9</v>
      </c>
      <c r="J8" s="86">
        <f>+IO_sub_model!J153</f>
        <v>8.1</v>
      </c>
      <c r="K8" s="86">
        <f>+IO_sub_model!K153</f>
        <v>9</v>
      </c>
      <c r="L8" s="86">
        <f>+IO_sub_model!L153</f>
        <v>8.1</v>
      </c>
      <c r="M8" s="87">
        <f>+IO_sub_model!M153</f>
        <v>8.1</v>
      </c>
      <c r="N8" s="24">
        <f t="shared" si="0"/>
        <v>12.216923076923081</v>
      </c>
      <c r="O8" s="138">
        <v>77.016923076923078</v>
      </c>
      <c r="P8" s="62">
        <v>64.8</v>
      </c>
      <c r="Q8" s="61">
        <f t="shared" si="1"/>
        <v>77.016923076923078</v>
      </c>
      <c r="R8" s="61" t="b">
        <f t="shared" si="2"/>
        <v>1</v>
      </c>
    </row>
    <row r="9" spans="3:18" x14ac:dyDescent="0.25">
      <c r="C9" s="20" t="s">
        <v>10</v>
      </c>
      <c r="D9" s="25" t="str">
        <f t="shared" ref="D9:D13" si="3">+D6</f>
        <v>Ind</v>
      </c>
      <c r="E9" s="85">
        <f>+IO_sub_model!E154</f>
        <v>3.7999999999999994</v>
      </c>
      <c r="F9" s="86">
        <f>+IO_sub_model!F154</f>
        <v>1.9999999999999998</v>
      </c>
      <c r="G9" s="86">
        <f>+IO_sub_model!G154</f>
        <v>2.8846153846153846</v>
      </c>
      <c r="H9" s="86">
        <f>+IO_sub_model!H154</f>
        <v>5.6923076923076916</v>
      </c>
      <c r="I9" s="86">
        <f>+IO_sub_model!I154</f>
        <v>6.4384615384615378</v>
      </c>
      <c r="J9" s="86">
        <f>+IO_sub_model!J154</f>
        <v>3.8153846153846147</v>
      </c>
      <c r="K9" s="86">
        <f>+IO_sub_model!K154</f>
        <v>8.3769230769230774</v>
      </c>
      <c r="L9" s="86">
        <f>+IO_sub_model!L154</f>
        <v>2.0461538461538455</v>
      </c>
      <c r="M9" s="87">
        <f>+IO_sub_model!M154</f>
        <v>7.4461538461538463</v>
      </c>
      <c r="N9" s="24">
        <f t="shared" si="0"/>
        <v>4.4615384615384599</v>
      </c>
      <c r="O9" s="138">
        <v>46.96153846153846</v>
      </c>
      <c r="P9" s="62">
        <v>42.5</v>
      </c>
      <c r="Q9" s="61">
        <f t="shared" si="1"/>
        <v>46.96153846153846</v>
      </c>
      <c r="R9" s="61" t="b">
        <f t="shared" si="2"/>
        <v>1</v>
      </c>
    </row>
    <row r="10" spans="3:18" x14ac:dyDescent="0.25">
      <c r="C10" s="20" t="s">
        <v>10</v>
      </c>
      <c r="D10" s="25" t="str">
        <f t="shared" si="3"/>
        <v>Serv</v>
      </c>
      <c r="E10" s="85">
        <f>+IO_sub_model!E155</f>
        <v>5.3999999999999995</v>
      </c>
      <c r="F10" s="86">
        <f>+IO_sub_model!F155</f>
        <v>4.5</v>
      </c>
      <c r="G10" s="86">
        <f>+IO_sub_model!G155</f>
        <v>3.5999999999999996</v>
      </c>
      <c r="H10" s="86">
        <f>+IO_sub_model!H155</f>
        <v>0.89999999999999991</v>
      </c>
      <c r="I10" s="86">
        <f>+IO_sub_model!I155</f>
        <v>8.1</v>
      </c>
      <c r="J10" s="86">
        <f>+IO_sub_model!J155</f>
        <v>1.7999999999999998</v>
      </c>
      <c r="K10" s="86">
        <f>+IO_sub_model!K155</f>
        <v>0.89999999999999991</v>
      </c>
      <c r="L10" s="86">
        <f>+IO_sub_model!L155</f>
        <v>5.3999999999999995</v>
      </c>
      <c r="M10" s="87">
        <f>+IO_sub_model!M155</f>
        <v>0.89999999999999991</v>
      </c>
      <c r="N10" s="24">
        <f t="shared" si="0"/>
        <v>20.157692307692312</v>
      </c>
      <c r="O10" s="138">
        <v>51.657692307692308</v>
      </c>
      <c r="P10" s="62">
        <v>31.499999999999996</v>
      </c>
      <c r="Q10" s="61">
        <f t="shared" si="1"/>
        <v>51.657692307692308</v>
      </c>
      <c r="R10" s="61" t="b">
        <f t="shared" si="2"/>
        <v>1</v>
      </c>
    </row>
    <row r="11" spans="3:18" x14ac:dyDescent="0.25">
      <c r="C11" s="20" t="s">
        <v>11</v>
      </c>
      <c r="D11" s="25" t="str">
        <f t="shared" si="3"/>
        <v>Agr</v>
      </c>
      <c r="E11" s="85">
        <f>+IO_sub_model!E156</f>
        <v>3.4736263736263728</v>
      </c>
      <c r="F11" s="86">
        <f>+IO_sub_model!F156</f>
        <v>9.7032967032967044</v>
      </c>
      <c r="G11" s="86">
        <f>+IO_sub_model!G156</f>
        <v>7.9736263736263746</v>
      </c>
      <c r="H11" s="86">
        <f>+IO_sub_model!H156</f>
        <v>8.6978021978021971</v>
      </c>
      <c r="I11" s="86">
        <f>+IO_sub_model!I156</f>
        <v>9.7032967032967026</v>
      </c>
      <c r="J11" s="86">
        <f>+IO_sub_model!J156</f>
        <v>0.59780219780219768</v>
      </c>
      <c r="K11" s="86">
        <f>+IO_sub_model!K156</f>
        <v>7.0032967032967033</v>
      </c>
      <c r="L11" s="86">
        <f>+IO_sub_model!L156</f>
        <v>8.9791208791208792</v>
      </c>
      <c r="M11" s="87">
        <f>+IO_sub_model!M156</f>
        <v>7.8681318681318704</v>
      </c>
      <c r="N11" s="24">
        <f t="shared" si="0"/>
        <v>10.199230769230766</v>
      </c>
      <c r="O11" s="138">
        <v>74.199230769230766</v>
      </c>
      <c r="P11" s="62">
        <v>64</v>
      </c>
      <c r="Q11" s="61">
        <f t="shared" si="1"/>
        <v>74.199230769230766</v>
      </c>
      <c r="R11" s="61" t="b">
        <f t="shared" si="2"/>
        <v>1</v>
      </c>
    </row>
    <row r="12" spans="3:18" x14ac:dyDescent="0.25">
      <c r="C12" s="20" t="s">
        <v>11</v>
      </c>
      <c r="D12" s="25" t="str">
        <f t="shared" si="3"/>
        <v>Ind</v>
      </c>
      <c r="E12" s="85">
        <f>+IO_sub_model!E157</f>
        <v>1.01</v>
      </c>
      <c r="F12" s="86">
        <f>+IO_sub_model!F157</f>
        <v>7.31</v>
      </c>
      <c r="G12" s="86">
        <f>+IO_sub_model!G157</f>
        <v>0.10153846153846188</v>
      </c>
      <c r="H12" s="86">
        <f>+IO_sub_model!H157</f>
        <v>8.2607692307692311</v>
      </c>
      <c r="I12" s="86">
        <f>+IO_sub_model!I157</f>
        <v>7.615384615384628E-2</v>
      </c>
      <c r="J12" s="86">
        <f>+IO_sub_model!J157</f>
        <v>0.1184615384615384</v>
      </c>
      <c r="K12" s="86">
        <f>+IO_sub_model!K157</f>
        <v>7.3523076923076918</v>
      </c>
      <c r="L12" s="86">
        <f>+IO_sub_model!L157</f>
        <v>9.1353846153846145</v>
      </c>
      <c r="M12" s="87">
        <f>+IO_sub_model!M157</f>
        <v>1.0353846153846158</v>
      </c>
      <c r="N12" s="24">
        <f t="shared" si="0"/>
        <v>26.649999999999991</v>
      </c>
      <c r="O12" s="138">
        <v>61.05</v>
      </c>
      <c r="P12" s="62">
        <v>34.4</v>
      </c>
      <c r="Q12" s="61">
        <f t="shared" si="1"/>
        <v>61.04999999999999</v>
      </c>
      <c r="R12" s="61" t="b">
        <f t="shared" si="2"/>
        <v>1</v>
      </c>
    </row>
    <row r="13" spans="3:18" x14ac:dyDescent="0.25">
      <c r="C13" s="20" t="s">
        <v>11</v>
      </c>
      <c r="D13" s="25" t="str">
        <f t="shared" si="3"/>
        <v>Serv</v>
      </c>
      <c r="E13" s="88">
        <f>+IO_sub_model!E158</f>
        <v>9.5538461538461537</v>
      </c>
      <c r="F13" s="89">
        <f>+IO_sub_model!F158</f>
        <v>2.0423076923076922</v>
      </c>
      <c r="G13" s="89">
        <f>+IO_sub_model!G158</f>
        <v>3.8769230769230769</v>
      </c>
      <c r="H13" s="89">
        <f>+IO_sub_model!H158</f>
        <v>9.6230769230769226</v>
      </c>
      <c r="I13" s="89">
        <f>+IO_sub_model!I158</f>
        <v>0.44999999999999957</v>
      </c>
      <c r="J13" s="89">
        <f>+IO_sub_model!J158</f>
        <v>0.20769230769230757</v>
      </c>
      <c r="K13" s="89">
        <f>+IO_sub_model!K158</f>
        <v>3.0807692307692309</v>
      </c>
      <c r="L13" s="89">
        <f>+IO_sub_model!L158</f>
        <v>0.34615384615384598</v>
      </c>
      <c r="M13" s="90">
        <f>+IO_sub_model!M158</f>
        <v>6.8192307692307699</v>
      </c>
      <c r="N13" s="24">
        <f t="shared" si="0"/>
        <v>20.353846153846149</v>
      </c>
      <c r="O13" s="139">
        <v>56.353846153846149</v>
      </c>
      <c r="P13" s="62">
        <v>36</v>
      </c>
      <c r="Q13" s="61">
        <f t="shared" si="1"/>
        <v>56.353846153846149</v>
      </c>
      <c r="R13" s="61" t="b">
        <f t="shared" si="2"/>
        <v>1</v>
      </c>
    </row>
    <row r="14" spans="3:18" x14ac:dyDescent="0.25">
      <c r="D14" s="22" t="s">
        <v>9</v>
      </c>
      <c r="E14" s="13">
        <f>+E15-SUM(E5:E13)</f>
        <v>18.038021978021973</v>
      </c>
      <c r="F14" s="13">
        <f t="shared" ref="F14:M14" si="4">+F15-SUM(F5:F13)</f>
        <v>13.384285714285717</v>
      </c>
      <c r="G14" s="13">
        <f t="shared" si="4"/>
        <v>3.9710989010989053</v>
      </c>
      <c r="H14" s="13">
        <f t="shared" si="4"/>
        <v>25.528681318681322</v>
      </c>
      <c r="I14" s="13">
        <f t="shared" si="4"/>
        <v>6.8958241758241741</v>
      </c>
      <c r="J14" s="13">
        <f t="shared" si="4"/>
        <v>16.244065934065944</v>
      </c>
      <c r="K14" s="13">
        <f t="shared" si="4"/>
        <v>27.365054945054951</v>
      </c>
      <c r="L14" s="13">
        <f t="shared" si="4"/>
        <v>12.274395604395608</v>
      </c>
      <c r="M14" s="13">
        <f t="shared" si="4"/>
        <v>8.6447252747252676</v>
      </c>
      <c r="N14" s="19">
        <f>+SUM(E5:M13)</f>
        <v>397.37999999999988</v>
      </c>
      <c r="R14" s="18"/>
    </row>
    <row r="15" spans="3:18" x14ac:dyDescent="0.25">
      <c r="D15" s="20" t="s">
        <v>8</v>
      </c>
      <c r="E15" s="130" cm="1">
        <f t="array" ref="E15:M15">+IO_sub_model!E184:M184</f>
        <v>66.685384615384606</v>
      </c>
      <c r="F15" s="131">
        <v>51.657692307692315</v>
      </c>
      <c r="G15" s="131">
        <v>44.143846153846155</v>
      </c>
      <c r="H15" s="131">
        <v>77.016923076923078</v>
      </c>
      <c r="I15" s="131">
        <v>46.96153846153846</v>
      </c>
      <c r="J15" s="131">
        <v>51.657692307692308</v>
      </c>
      <c r="K15" s="131">
        <v>74.199230769230766</v>
      </c>
      <c r="L15" s="131">
        <v>61.05</v>
      </c>
      <c r="M15" s="132">
        <v>56.353846153846149</v>
      </c>
      <c r="R15" s="18"/>
    </row>
    <row r="16" spans="3:18" x14ac:dyDescent="0.25">
      <c r="E16" s="97" cm="1">
        <f t="array" ref="E16:M16">+TRANSPOSE(O5:O13)</f>
        <v>66.685384615384606</v>
      </c>
      <c r="F16" s="97">
        <v>51.657692307692315</v>
      </c>
      <c r="G16" s="97">
        <v>44.143846153846155</v>
      </c>
      <c r="H16" s="97">
        <v>77.016923076923078</v>
      </c>
      <c r="I16" s="97">
        <v>46.96153846153846</v>
      </c>
      <c r="J16" s="97">
        <v>51.657692307692308</v>
      </c>
      <c r="K16" s="97">
        <v>74.199230769230766</v>
      </c>
      <c r="L16" s="97">
        <v>61.05</v>
      </c>
      <c r="M16" s="97">
        <v>56.353846153846149</v>
      </c>
      <c r="R16" s="18"/>
    </row>
    <row r="17" spans="3:18" x14ac:dyDescent="0.25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25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.75" thickBot="1" x14ac:dyDescent="0.3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.75" thickBot="1" x14ac:dyDescent="0.3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25">
      <c r="C21" s="20" t="s">
        <v>1</v>
      </c>
      <c r="D21" s="28" t="s">
        <v>51</v>
      </c>
      <c r="E21" s="82">
        <f>+IO_sub_model!E200</f>
        <v>0.14330042499056586</v>
      </c>
      <c r="F21" s="83">
        <f>+IO_sub_model!F200</f>
        <v>9.6897369624642349E-2</v>
      </c>
      <c r="G21" s="83">
        <f>+IO_sub_model!G200</f>
        <v>0.21647511009213138</v>
      </c>
      <c r="H21" s="83">
        <f>+IO_sub_model!H200</f>
        <v>1.7264651410992881E-2</v>
      </c>
      <c r="I21" s="83">
        <f>+IO_sub_model!I200</f>
        <v>1.0764010764010767E-2</v>
      </c>
      <c r="J21" s="83">
        <f>+IO_sub_model!J200</f>
        <v>0.14769669315123859</v>
      </c>
      <c r="K21" s="83">
        <f>+IO_sub_model!K200</f>
        <v>4.3201182441688787E-2</v>
      </c>
      <c r="L21" s="83">
        <f>+IO_sub_model!L200</f>
        <v>0.11354411354411353</v>
      </c>
      <c r="M21" s="84">
        <f>+IO_sub_model!M200</f>
        <v>4.0462540462540504E-2</v>
      </c>
    </row>
    <row r="22" spans="3:18" x14ac:dyDescent="0.25">
      <c r="C22" s="20" t="s">
        <v>1</v>
      </c>
      <c r="D22" s="25" t="s">
        <v>52</v>
      </c>
      <c r="E22" s="85">
        <f>+IO_sub_model!E201</f>
        <v>0.11516766446343911</v>
      </c>
      <c r="F22" s="86">
        <f>+IO_sub_model!F201</f>
        <v>6.1559079740897894E-2</v>
      </c>
      <c r="G22" s="86">
        <f>+IO_sub_model!G201</f>
        <v>0.19352815097495946</v>
      </c>
      <c r="H22" s="86">
        <f>+IO_sub_model!H201</f>
        <v>5.5851860729909483E-2</v>
      </c>
      <c r="I22" s="86">
        <f>+IO_sub_model!I201</f>
        <v>4.54054054054054E-2</v>
      </c>
      <c r="J22" s="86">
        <f>+IO_sub_model!J201</f>
        <v>0.18423051150323877</v>
      </c>
      <c r="K22" s="86">
        <f>+IO_sub_model!K201</f>
        <v>2.1086679314527419E-2</v>
      </c>
      <c r="L22" s="86">
        <f>+IO_sub_model!L201</f>
        <v>6.8644868644868615E-2</v>
      </c>
      <c r="M22" s="87">
        <f>+IO_sub_model!M201</f>
        <v>0.12227682227682229</v>
      </c>
    </row>
    <row r="23" spans="3:18" x14ac:dyDescent="0.25">
      <c r="C23" s="20" t="s">
        <v>1</v>
      </c>
      <c r="D23" s="25" t="s">
        <v>53</v>
      </c>
      <c r="E23" s="85">
        <f>+IO_sub_model!E202</f>
        <v>1.1073813890715375E-3</v>
      </c>
      <c r="F23" s="86">
        <f>+IO_sub_model!F202</f>
        <v>6.2541880723699392E-4</v>
      </c>
      <c r="G23" s="86">
        <f>+IO_sub_model!G202</f>
        <v>8.3642636834126984E-4</v>
      </c>
      <c r="H23" s="86">
        <f>+IO_sub_model!H202</f>
        <v>8.2878887756936526E-2</v>
      </c>
      <c r="I23" s="86">
        <f>+IO_sub_model!I202</f>
        <v>7.7936117936117946E-2</v>
      </c>
      <c r="J23" s="86">
        <f>+IO_sub_model!J202</f>
        <v>7.0225597498324757E-2</v>
      </c>
      <c r="K23" s="86">
        <f>+IO_sub_model!K202</f>
        <v>8.5590769135072922E-2</v>
      </c>
      <c r="L23" s="86">
        <f>+IO_sub_model!L202</f>
        <v>5.9724059724059725E-2</v>
      </c>
      <c r="M23" s="87">
        <f>+IO_sub_model!M202</f>
        <v>0.11302211302211303</v>
      </c>
    </row>
    <row r="24" spans="3:18" x14ac:dyDescent="0.25">
      <c r="C24" s="20" t="s">
        <v>10</v>
      </c>
      <c r="D24" s="25" t="str">
        <f>+D21</f>
        <v>Agr</v>
      </c>
      <c r="E24" s="85">
        <f>+IO_sub_model!E203</f>
        <v>0.12146589611378344</v>
      </c>
      <c r="F24" s="86">
        <f>+IO_sub_model!F203</f>
        <v>8.7111905293723466E-2</v>
      </c>
      <c r="G24" s="86">
        <f>+IO_sub_model!G203</f>
        <v>8.155157091327303E-2</v>
      </c>
      <c r="H24" s="86">
        <f>+IO_sub_model!H203</f>
        <v>8.1800203751423245E-2</v>
      </c>
      <c r="I24" s="86">
        <f>+IO_sub_model!I203</f>
        <v>0.19164619164619165</v>
      </c>
      <c r="J24" s="86">
        <f>+IO_sub_model!J203</f>
        <v>0.15680142952870224</v>
      </c>
      <c r="K24" s="86">
        <f>+IO_sub_model!K203</f>
        <v>0.12129505800391877</v>
      </c>
      <c r="L24" s="86">
        <f>+IO_sub_model!L203</f>
        <v>0.13267813267813267</v>
      </c>
      <c r="M24" s="87">
        <f>+IO_sub_model!M203</f>
        <v>0.14373464373464373</v>
      </c>
    </row>
    <row r="25" spans="3:18" x14ac:dyDescent="0.25">
      <c r="C25" s="20" t="s">
        <v>10</v>
      </c>
      <c r="D25" s="25" t="str">
        <f t="shared" ref="D25:D29" si="6">+D22</f>
        <v>Ind</v>
      </c>
      <c r="E25" s="85">
        <f>+IO_sub_model!E204</f>
        <v>5.6984000645972477E-2</v>
      </c>
      <c r="F25" s="86">
        <f>+IO_sub_model!F204</f>
        <v>3.871640235276598E-2</v>
      </c>
      <c r="G25" s="86">
        <f>+IO_sub_model!G204</f>
        <v>6.5345810026661094E-2</v>
      </c>
      <c r="H25" s="86">
        <f>+IO_sub_model!H204</f>
        <v>7.3909830007390973E-2</v>
      </c>
      <c r="I25" s="86">
        <f>+IO_sub_model!I204</f>
        <v>0.13710073710073709</v>
      </c>
      <c r="J25" s="86">
        <f>+IO_sub_model!J204</f>
        <v>7.385898294989203E-2</v>
      </c>
      <c r="K25" s="86">
        <f>+IO_sub_model!K204</f>
        <v>0.1128977078344167</v>
      </c>
      <c r="L25" s="86">
        <f>+IO_sub_model!L204</f>
        <v>3.3516033516033508E-2</v>
      </c>
      <c r="M25" s="87">
        <f>+IO_sub_model!M204</f>
        <v>0.13213213213213215</v>
      </c>
    </row>
    <row r="26" spans="3:18" x14ac:dyDescent="0.25">
      <c r="C26" s="20" t="s">
        <v>10</v>
      </c>
      <c r="D26" s="25" t="str">
        <f t="shared" si="6"/>
        <v>Serv</v>
      </c>
      <c r="E26" s="85">
        <f>+IO_sub_model!E205</f>
        <v>8.0977264075855634E-2</v>
      </c>
      <c r="F26" s="86">
        <f>+IO_sub_model!F205</f>
        <v>8.7111905293723466E-2</v>
      </c>
      <c r="G26" s="86">
        <f>+IO_sub_model!G205</f>
        <v>8.155157091327303E-2</v>
      </c>
      <c r="H26" s="86">
        <f>+IO_sub_model!H205</f>
        <v>1.1685743393060465E-2</v>
      </c>
      <c r="I26" s="86">
        <f>+IO_sub_model!I205</f>
        <v>0.17248157248157248</v>
      </c>
      <c r="J26" s="86">
        <f>+IO_sub_model!J205</f>
        <v>3.4844762117489388E-2</v>
      </c>
      <c r="K26" s="86">
        <f>+IO_sub_model!K205</f>
        <v>1.2129505800391875E-2</v>
      </c>
      <c r="L26" s="86">
        <f>+IO_sub_model!L205</f>
        <v>8.8452088452088448E-2</v>
      </c>
      <c r="M26" s="87">
        <f>+IO_sub_model!M205</f>
        <v>1.5970515970515971E-2</v>
      </c>
    </row>
    <row r="27" spans="3:18" x14ac:dyDescent="0.25">
      <c r="C27" s="20" t="s">
        <v>11</v>
      </c>
      <c r="D27" s="25" t="str">
        <f t="shared" si="6"/>
        <v>Agr</v>
      </c>
      <c r="E27" s="85">
        <f>+IO_sub_model!E206</f>
        <v>5.2089770399629552E-2</v>
      </c>
      <c r="F27" s="86">
        <f>+IO_sub_model!F206</f>
        <v>0.18783836965655146</v>
      </c>
      <c r="G27" s="86">
        <f>+IO_sub_model!G206</f>
        <v>0.18062826573464874</v>
      </c>
      <c r="H27" s="86">
        <f>+IO_sub_model!H206</f>
        <v>0.11293364951901536</v>
      </c>
      <c r="I27" s="86">
        <f>+IO_sub_model!I206</f>
        <v>0.20662220662220662</v>
      </c>
      <c r="J27" s="86">
        <f>+IO_sub_model!J206</f>
        <v>1.1572375208738843E-2</v>
      </c>
      <c r="K27" s="86">
        <f>+IO_sub_model!K206</f>
        <v>9.4385031093891861E-2</v>
      </c>
      <c r="L27" s="86">
        <f>+IO_sub_model!L206</f>
        <v>0.14707814707814709</v>
      </c>
      <c r="M27" s="87">
        <f>+IO_sub_model!M206</f>
        <v>0.13962013962013967</v>
      </c>
    </row>
    <row r="28" spans="3:18" x14ac:dyDescent="0.25">
      <c r="C28" s="20" t="s">
        <v>11</v>
      </c>
      <c r="D28" s="25" t="str">
        <f t="shared" si="6"/>
        <v>Ind</v>
      </c>
      <c r="E28" s="85">
        <f>+IO_sub_model!E207</f>
        <v>1.514574754011374E-2</v>
      </c>
      <c r="F28" s="86">
        <f>+IO_sub_model!F207</f>
        <v>0.14150845059935965</v>
      </c>
      <c r="G28" s="86">
        <f>+IO_sub_model!G207</f>
        <v>2.3001725129384782E-3</v>
      </c>
      <c r="H28" s="86">
        <f>+IO_sub_model!H207</f>
        <v>0.1072591438445097</v>
      </c>
      <c r="I28" s="86">
        <f>+IO_sub_model!I207</f>
        <v>1.6216216216216244E-3</v>
      </c>
      <c r="J28" s="86">
        <f>+IO_sub_model!J207</f>
        <v>2.2932022932022921E-3</v>
      </c>
      <c r="K28" s="86">
        <f>+IO_sub_model!K207</f>
        <v>9.9088732000124399E-2</v>
      </c>
      <c r="L28" s="86">
        <f>+IO_sub_model!L207</f>
        <v>0.14963774963774962</v>
      </c>
      <c r="M28" s="87">
        <f>+IO_sub_model!M207</f>
        <v>1.8372918372918382E-2</v>
      </c>
    </row>
    <row r="29" spans="3:18" x14ac:dyDescent="0.25">
      <c r="C29" s="20" t="s">
        <v>11</v>
      </c>
      <c r="D29" s="25" t="str">
        <f t="shared" si="6"/>
        <v>Serv</v>
      </c>
      <c r="E29" s="88">
        <f>+IO_sub_model!E208</f>
        <v>0.14326746721112921</v>
      </c>
      <c r="F29" s="89">
        <f>+IO_sub_model!F208</f>
        <v>3.9535403171766799E-2</v>
      </c>
      <c r="G29" s="89">
        <f>+IO_sub_model!G208</f>
        <v>8.7824768675832499E-2</v>
      </c>
      <c r="H29" s="89">
        <f>+IO_sub_model!H208</f>
        <v>0.12494756397195421</v>
      </c>
      <c r="I29" s="89">
        <f>+IO_sub_model!I208</f>
        <v>9.5823095823095727E-3</v>
      </c>
      <c r="J29" s="89">
        <f>+IO_sub_model!J208</f>
        <v>4.0205494750949269E-3</v>
      </c>
      <c r="K29" s="89">
        <f>+IO_sub_model!K208</f>
        <v>4.1520231393649118E-2</v>
      </c>
      <c r="L29" s="89">
        <f>+IO_sub_model!L208</f>
        <v>5.6700056700056678E-3</v>
      </c>
      <c r="M29" s="90">
        <f>+IO_sub_model!M208</f>
        <v>0.12100737100737102</v>
      </c>
    </row>
    <row r="30" spans="3:18" x14ac:dyDescent="0.25">
      <c r="D30" s="22" t="s">
        <v>9</v>
      </c>
      <c r="E30" s="13">
        <f t="shared" ref="E30:M30" si="7">+E14/E$15</f>
        <v>0.2704943831704395</v>
      </c>
      <c r="F30" s="14">
        <f t="shared" si="7"/>
        <v>0.25909569545933187</v>
      </c>
      <c r="G30" s="14">
        <f t="shared" si="7"/>
        <v>8.9958153787941114E-2</v>
      </c>
      <c r="H30" s="14">
        <f t="shared" si="7"/>
        <v>0.33146846561480714</v>
      </c>
      <c r="I30" s="14">
        <f t="shared" si="7"/>
        <v>0.1468398268398268</v>
      </c>
      <c r="J30" s="14">
        <f t="shared" si="7"/>
        <v>0.31445589627407827</v>
      </c>
      <c r="K30" s="14">
        <f t="shared" si="7"/>
        <v>0.36880510298231828</v>
      </c>
      <c r="L30" s="14">
        <f t="shared" si="7"/>
        <v>0.20105480105480111</v>
      </c>
      <c r="M30" s="15">
        <f t="shared" si="7"/>
        <v>0.15340080340080328</v>
      </c>
    </row>
    <row r="31" spans="3:18" x14ac:dyDescent="0.25">
      <c r="D31" s="20" t="s">
        <v>8</v>
      </c>
      <c r="E31" s="13">
        <f t="shared" ref="E31:M31" si="8">SUM(E21:E30)</f>
        <v>1</v>
      </c>
      <c r="F31" s="14">
        <f t="shared" si="8"/>
        <v>1</v>
      </c>
      <c r="G31" s="14">
        <f t="shared" si="8"/>
        <v>1</v>
      </c>
      <c r="H31" s="14">
        <f t="shared" si="8"/>
        <v>0.99999999999999989</v>
      </c>
      <c r="I31" s="14">
        <f t="shared" si="8"/>
        <v>0.99999999999999989</v>
      </c>
      <c r="J31" s="14">
        <f t="shared" si="8"/>
        <v>1.0000000000000002</v>
      </c>
      <c r="K31" s="14">
        <f t="shared" si="8"/>
        <v>1</v>
      </c>
      <c r="L31" s="14">
        <f t="shared" si="8"/>
        <v>0.99999999999999989</v>
      </c>
      <c r="M31" s="15">
        <f t="shared" si="8"/>
        <v>1</v>
      </c>
    </row>
    <row r="34" spans="3:18" ht="15.75" thickBot="1" x14ac:dyDescent="0.3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3:18" ht="15.75" thickBot="1" x14ac:dyDescent="0.3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3:18" x14ac:dyDescent="0.25">
      <c r="C36" s="20" t="s">
        <v>1</v>
      </c>
      <c r="D36" s="28" t="s">
        <v>51</v>
      </c>
      <c r="E36" s="1" cm="1">
        <f t="array" ref="E36:M44">+MINVERSE(_xlfn.MUNIT(COUNTA($D$36:$D$44))-E21:M29)</f>
        <v>1.3701229885831412</v>
      </c>
      <c r="F36" s="2">
        <v>0.32707625079487668</v>
      </c>
      <c r="G36" s="2">
        <v>0.49880718686141373</v>
      </c>
      <c r="H36" s="2">
        <v>0.23215705885075888</v>
      </c>
      <c r="I36" s="2">
        <v>0.26783277392539656</v>
      </c>
      <c r="J36" s="2">
        <v>0.37169582664639583</v>
      </c>
      <c r="K36" s="2">
        <v>0.24446987096540207</v>
      </c>
      <c r="L36" s="2">
        <v>0.37413489953698043</v>
      </c>
      <c r="M36" s="3">
        <v>0.3043371515530261</v>
      </c>
      <c r="N36" s="16"/>
    </row>
    <row r="37" spans="3:18" x14ac:dyDescent="0.25">
      <c r="C37" s="20" t="s">
        <v>1</v>
      </c>
      <c r="D37" s="25" t="s">
        <v>52</v>
      </c>
      <c r="E37" s="5">
        <v>0.36299783011076048</v>
      </c>
      <c r="F37" s="6">
        <v>1.2945330137127988</v>
      </c>
      <c r="G37" s="6">
        <v>0.48559274972597793</v>
      </c>
      <c r="H37" s="6">
        <v>0.2827787957993505</v>
      </c>
      <c r="I37" s="6">
        <v>0.32261955788703511</v>
      </c>
      <c r="J37" s="6">
        <v>0.4138623136209364</v>
      </c>
      <c r="K37" s="6">
        <v>0.23164286496459788</v>
      </c>
      <c r="L37" s="6">
        <v>0.32972572003579897</v>
      </c>
      <c r="M37" s="7">
        <v>0.40517411822520466</v>
      </c>
      <c r="N37" s="16"/>
    </row>
    <row r="38" spans="3:18" x14ac:dyDescent="0.25">
      <c r="C38" s="20" t="s">
        <v>1</v>
      </c>
      <c r="D38" s="25" t="s">
        <v>53</v>
      </c>
      <c r="E38" s="5">
        <v>0.16725178280888428</v>
      </c>
      <c r="F38" s="6">
        <v>0.16678106277519075</v>
      </c>
      <c r="G38" s="6">
        <v>1.1947517826953029</v>
      </c>
      <c r="H38" s="6">
        <v>0.24442500489225677</v>
      </c>
      <c r="I38" s="6">
        <v>0.27501920384317008</v>
      </c>
      <c r="J38" s="6">
        <v>0.2097801509658713</v>
      </c>
      <c r="K38" s="6">
        <v>0.23441242287725483</v>
      </c>
      <c r="L38" s="6">
        <v>0.23312655883292813</v>
      </c>
      <c r="M38" s="7">
        <v>0.31175197021830103</v>
      </c>
      <c r="N38" s="16"/>
    </row>
    <row r="39" spans="3:18" x14ac:dyDescent="0.25">
      <c r="C39" s="20" t="s">
        <v>10</v>
      </c>
      <c r="D39" s="25" t="str">
        <f>+D36</f>
        <v>Agr</v>
      </c>
      <c r="E39" s="5">
        <v>0.47137769791956774</v>
      </c>
      <c r="F39" s="6">
        <v>0.43424945036390461</v>
      </c>
      <c r="G39" s="6">
        <v>0.50675506945283433</v>
      </c>
      <c r="H39" s="6">
        <v>1.4112997691577653</v>
      </c>
      <c r="I39" s="6">
        <v>0.59312684717430031</v>
      </c>
      <c r="J39" s="6">
        <v>0.4752410512378123</v>
      </c>
      <c r="K39" s="6">
        <v>0.43048602467483893</v>
      </c>
      <c r="L39" s="6">
        <v>0.50475100753322577</v>
      </c>
      <c r="M39" s="7">
        <v>0.55476939383119817</v>
      </c>
      <c r="N39" s="16"/>
    </row>
    <row r="40" spans="3:18" x14ac:dyDescent="0.25">
      <c r="C40" s="20" t="s">
        <v>10</v>
      </c>
      <c r="D40" s="25" t="str">
        <f t="shared" ref="D40:D44" si="9">+D37</f>
        <v>Ind</v>
      </c>
      <c r="E40" s="5">
        <v>0.29495667918574936</v>
      </c>
      <c r="F40" s="6">
        <v>0.26764194478270859</v>
      </c>
      <c r="G40" s="6">
        <v>0.3521557194334507</v>
      </c>
      <c r="H40" s="6">
        <v>0.30045513706657428</v>
      </c>
      <c r="I40" s="6">
        <v>1.414864551877445</v>
      </c>
      <c r="J40" s="6">
        <v>0.2852221821612928</v>
      </c>
      <c r="K40" s="6">
        <v>0.32358529478578718</v>
      </c>
      <c r="L40" s="6">
        <v>0.27680351529868846</v>
      </c>
      <c r="M40" s="7">
        <v>0.42027340647368833</v>
      </c>
      <c r="N40" s="16"/>
    </row>
    <row r="41" spans="3:18" x14ac:dyDescent="0.25">
      <c r="C41" s="20" t="s">
        <v>10</v>
      </c>
      <c r="D41" s="25" t="str">
        <f t="shared" si="9"/>
        <v>Serv</v>
      </c>
      <c r="E41" s="5">
        <v>0.24945907618755295</v>
      </c>
      <c r="F41" s="6">
        <v>0.25330567517534142</v>
      </c>
      <c r="G41" s="6">
        <v>0.29035886661345178</v>
      </c>
      <c r="H41" s="6">
        <v>0.17394741236247344</v>
      </c>
      <c r="I41" s="6">
        <v>0.36560281756689467</v>
      </c>
      <c r="J41" s="6">
        <v>1.2036042186017732</v>
      </c>
      <c r="K41" s="6">
        <v>0.17015618223900728</v>
      </c>
      <c r="L41" s="6">
        <v>0.27180561469343711</v>
      </c>
      <c r="M41" s="7">
        <v>0.22203548587673419</v>
      </c>
      <c r="N41" s="16"/>
    </row>
    <row r="42" spans="3:18" x14ac:dyDescent="0.25">
      <c r="C42" s="20" t="s">
        <v>11</v>
      </c>
      <c r="D42" s="25" t="str">
        <f t="shared" si="9"/>
        <v>Agr</v>
      </c>
      <c r="E42" s="5">
        <v>0.40293345063286862</v>
      </c>
      <c r="F42" s="6">
        <v>0.52902521110070966</v>
      </c>
      <c r="G42" s="6">
        <v>0.60409879631123586</v>
      </c>
      <c r="H42" s="6">
        <v>0.46159412091404489</v>
      </c>
      <c r="I42" s="6">
        <v>0.60669789821081099</v>
      </c>
      <c r="J42" s="6">
        <v>0.34867200867256209</v>
      </c>
      <c r="K42" s="6">
        <v>1.4184627101280476</v>
      </c>
      <c r="L42" s="6">
        <v>0.52033242237752086</v>
      </c>
      <c r="M42" s="7">
        <v>0.57901915263449621</v>
      </c>
      <c r="N42" s="16"/>
    </row>
    <row r="43" spans="3:18" x14ac:dyDescent="0.25">
      <c r="C43" s="20" t="s">
        <v>11</v>
      </c>
      <c r="D43" s="25" t="str">
        <f t="shared" si="9"/>
        <v>Ind</v>
      </c>
      <c r="E43" s="5">
        <v>0.20042537569264549</v>
      </c>
      <c r="F43" s="6">
        <v>0.34409063121383471</v>
      </c>
      <c r="G43" s="6">
        <v>0.23581449290397671</v>
      </c>
      <c r="H43" s="6">
        <v>0.29124892529465257</v>
      </c>
      <c r="I43" s="6">
        <v>0.2130844503383694</v>
      </c>
      <c r="J43" s="6">
        <v>0.18461230033660359</v>
      </c>
      <c r="K43" s="6">
        <v>0.2686897030251208</v>
      </c>
      <c r="L43" s="6">
        <v>1.3681972210657698</v>
      </c>
      <c r="M43" s="7">
        <v>0.24170255899829285</v>
      </c>
      <c r="N43" s="16"/>
    </row>
    <row r="44" spans="3:18" x14ac:dyDescent="0.25">
      <c r="C44" s="20" t="s">
        <v>11</v>
      </c>
      <c r="D44" s="25" t="str">
        <f t="shared" si="9"/>
        <v>Serv</v>
      </c>
      <c r="E44" s="9">
        <v>0.34804306874836005</v>
      </c>
      <c r="F44" s="10">
        <v>0.2212128798983716</v>
      </c>
      <c r="G44" s="10">
        <v>0.32977388762624943</v>
      </c>
      <c r="H44" s="10">
        <v>0.30334800601332146</v>
      </c>
      <c r="I44" s="10">
        <v>0.21708474602085134</v>
      </c>
      <c r="J44" s="10">
        <v>0.1939881691503598</v>
      </c>
      <c r="K44" s="10">
        <v>0.20792126359338686</v>
      </c>
      <c r="L44" s="10">
        <v>0.20851838919684088</v>
      </c>
      <c r="M44" s="11">
        <v>1.3500094124555113</v>
      </c>
      <c r="N44" s="16"/>
    </row>
    <row r="45" spans="3:18" ht="15.75" thickBot="1" x14ac:dyDescent="0.3"/>
    <row r="46" spans="3:18" ht="15.75" thickBot="1" x14ac:dyDescent="0.3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3:18" x14ac:dyDescent="0.25">
      <c r="C47" s="22" t="s">
        <v>1</v>
      </c>
      <c r="D47" s="28" t="s">
        <v>51</v>
      </c>
      <c r="E47" s="32"/>
      <c r="F47" s="35"/>
      <c r="G47" s="1"/>
      <c r="H47" s="84" cm="1">
        <f t="array" ref="H47:H55">+N5:N13</f>
        <v>20.685384615384606</v>
      </c>
      <c r="J47" s="22" t="s">
        <v>1</v>
      </c>
      <c r="K47" s="28" t="s">
        <v>51</v>
      </c>
      <c r="L47" s="32">
        <v>0</v>
      </c>
      <c r="M47" s="35">
        <f>1-L47%</f>
        <v>1</v>
      </c>
      <c r="N47" s="1" cm="1">
        <f t="array" ref="N47:N55">+_xlfn.ANCHORARRAY(O5)</f>
        <v>66.685384615384606</v>
      </c>
      <c r="O47" s="3" cm="1">
        <f t="array" ref="O47:O55">+_xlfn.ANCHORARRAY(O5)</f>
        <v>66.685384615384606</v>
      </c>
      <c r="P47" s="18"/>
      <c r="Q47" s="18"/>
      <c r="R47" s="18"/>
    </row>
    <row r="48" spans="3:18" x14ac:dyDescent="0.25">
      <c r="C48" s="20" t="s">
        <v>1</v>
      </c>
      <c r="D48" s="25" t="s">
        <v>52</v>
      </c>
      <c r="E48" s="33"/>
      <c r="F48" s="35"/>
      <c r="G48" s="5"/>
      <c r="H48" s="87">
        <v>3.6576923076923222</v>
      </c>
      <c r="J48" s="20" t="s">
        <v>1</v>
      </c>
      <c r="K48" s="25" t="s">
        <v>52</v>
      </c>
      <c r="L48" s="33"/>
      <c r="M48" s="35">
        <f t="shared" ref="M48:M55" si="10">1-L48%</f>
        <v>1</v>
      </c>
      <c r="N48" s="5">
        <v>51.657692307692315</v>
      </c>
      <c r="O48" s="7">
        <v>51.657692307692315</v>
      </c>
      <c r="P48" s="18"/>
    </row>
    <row r="49" spans="1:16" x14ac:dyDescent="0.25">
      <c r="C49" s="20" t="s">
        <v>1</v>
      </c>
      <c r="D49" s="25" t="s">
        <v>53</v>
      </c>
      <c r="E49" s="33"/>
      <c r="F49" s="35"/>
      <c r="G49" s="5"/>
      <c r="H49" s="87">
        <v>13.963846153846156</v>
      </c>
      <c r="J49" s="20" t="s">
        <v>1</v>
      </c>
      <c r="K49" s="25" t="s">
        <v>53</v>
      </c>
      <c r="L49" s="33"/>
      <c r="M49" s="35">
        <f t="shared" si="10"/>
        <v>1</v>
      </c>
      <c r="N49" s="5">
        <v>44.143846153846155</v>
      </c>
      <c r="O49" s="7">
        <v>44.143846153846155</v>
      </c>
      <c r="P49" s="18"/>
    </row>
    <row r="50" spans="1:16" x14ac:dyDescent="0.25">
      <c r="C50" s="20" t="s">
        <v>10</v>
      </c>
      <c r="D50" s="25" t="str">
        <f>+D47</f>
        <v>Agr</v>
      </c>
      <c r="E50" s="33"/>
      <c r="F50" s="35"/>
      <c r="G50" s="5"/>
      <c r="H50" s="87">
        <v>12.216923076923081</v>
      </c>
      <c r="J50" s="20" t="s">
        <v>10</v>
      </c>
      <c r="K50" s="25" t="str">
        <f>+K47</f>
        <v>Agr</v>
      </c>
      <c r="L50" s="33"/>
      <c r="M50" s="35">
        <f t="shared" si="10"/>
        <v>1</v>
      </c>
      <c r="N50" s="5">
        <v>77.016923076923078</v>
      </c>
      <c r="O50" s="7">
        <v>77.016923076923078</v>
      </c>
      <c r="P50" s="18"/>
    </row>
    <row r="51" spans="1:16" x14ac:dyDescent="0.25">
      <c r="C51" s="20" t="s">
        <v>10</v>
      </c>
      <c r="D51" s="25" t="str">
        <f t="shared" ref="D51:D55" si="11">+D48</f>
        <v>Ind</v>
      </c>
      <c r="E51" s="33"/>
      <c r="F51" s="35"/>
      <c r="G51" s="5"/>
      <c r="H51" s="87">
        <v>4.4615384615384599</v>
      </c>
      <c r="J51" s="20" t="s">
        <v>10</v>
      </c>
      <c r="K51" s="25" t="str">
        <f t="shared" ref="K51:K55" si="12">+K48</f>
        <v>Ind</v>
      </c>
      <c r="L51" s="33"/>
      <c r="M51" s="35">
        <f t="shared" si="10"/>
        <v>1</v>
      </c>
      <c r="N51" s="5">
        <v>46.96153846153846</v>
      </c>
      <c r="O51" s="7">
        <v>46.96153846153846</v>
      </c>
      <c r="P51" s="18"/>
    </row>
    <row r="52" spans="1:16" x14ac:dyDescent="0.25">
      <c r="C52" s="20" t="s">
        <v>10</v>
      </c>
      <c r="D52" s="25" t="str">
        <f t="shared" si="11"/>
        <v>Serv</v>
      </c>
      <c r="E52" s="33"/>
      <c r="F52" s="35"/>
      <c r="G52" s="5"/>
      <c r="H52" s="87">
        <v>20.157692307692312</v>
      </c>
      <c r="J52" s="20" t="s">
        <v>10</v>
      </c>
      <c r="K52" s="25" t="str">
        <f t="shared" si="12"/>
        <v>Serv</v>
      </c>
      <c r="L52" s="33"/>
      <c r="M52" s="35">
        <f t="shared" si="10"/>
        <v>1</v>
      </c>
      <c r="N52" s="5">
        <v>51.657692307692308</v>
      </c>
      <c r="O52" s="7">
        <v>51.657692307692308</v>
      </c>
      <c r="P52" s="18"/>
    </row>
    <row r="53" spans="1:16" x14ac:dyDescent="0.25">
      <c r="C53" s="20" t="s">
        <v>11</v>
      </c>
      <c r="D53" s="25" t="str">
        <f t="shared" si="11"/>
        <v>Agr</v>
      </c>
      <c r="E53" s="33"/>
      <c r="F53" s="35"/>
      <c r="G53" s="5"/>
      <c r="H53" s="87">
        <v>10.199230769230766</v>
      </c>
      <c r="J53" s="20" t="s">
        <v>11</v>
      </c>
      <c r="K53" s="25" t="str">
        <f t="shared" si="12"/>
        <v>Agr</v>
      </c>
      <c r="L53" s="33"/>
      <c r="M53" s="35">
        <f t="shared" si="10"/>
        <v>1</v>
      </c>
      <c r="N53" s="5">
        <v>74.199230769230766</v>
      </c>
      <c r="O53" s="7">
        <v>74.199230769230766</v>
      </c>
      <c r="P53" s="18"/>
    </row>
    <row r="54" spans="1:16" x14ac:dyDescent="0.25">
      <c r="C54" s="20" t="s">
        <v>11</v>
      </c>
      <c r="D54" s="25" t="str">
        <f t="shared" si="11"/>
        <v>Ind</v>
      </c>
      <c r="E54" s="33"/>
      <c r="F54" s="35"/>
      <c r="G54" s="5"/>
      <c r="H54" s="87">
        <v>26.649999999999991</v>
      </c>
      <c r="J54" s="20" t="s">
        <v>11</v>
      </c>
      <c r="K54" s="25" t="str">
        <f t="shared" si="12"/>
        <v>Ind</v>
      </c>
      <c r="L54" s="33"/>
      <c r="M54" s="35">
        <f t="shared" si="10"/>
        <v>1</v>
      </c>
      <c r="N54" s="5">
        <v>61.05</v>
      </c>
      <c r="O54" s="7">
        <v>61.05</v>
      </c>
      <c r="P54" s="18"/>
    </row>
    <row r="55" spans="1:16" x14ac:dyDescent="0.25">
      <c r="C55" s="20" t="s">
        <v>11</v>
      </c>
      <c r="D55" s="25" t="str">
        <f t="shared" si="11"/>
        <v>Serv</v>
      </c>
      <c r="E55" s="34"/>
      <c r="F55" s="35"/>
      <c r="G55" s="9"/>
      <c r="H55" s="90">
        <v>20.353846153846149</v>
      </c>
      <c r="J55" s="20" t="s">
        <v>11</v>
      </c>
      <c r="K55" s="25" t="str">
        <f t="shared" si="12"/>
        <v>Serv</v>
      </c>
      <c r="L55" s="34"/>
      <c r="M55" s="35">
        <f t="shared" si="10"/>
        <v>1</v>
      </c>
      <c r="N55" s="9">
        <v>56.353846153846149</v>
      </c>
      <c r="O55" s="11">
        <v>56.353846153846149</v>
      </c>
      <c r="P55" s="18"/>
    </row>
    <row r="56" spans="1:16" x14ac:dyDescent="0.25">
      <c r="G56" s="13">
        <f t="shared" ref="G56:H56" si="13">SUM(G47:G55)</f>
        <v>0</v>
      </c>
      <c r="H56" s="15">
        <f t="shared" si="13"/>
        <v>132.34615384615384</v>
      </c>
      <c r="N56" s="13">
        <f t="shared" ref="N56:O56" si="14">SUM(N47:N55)</f>
        <v>529.72615384615381</v>
      </c>
      <c r="O56" s="15">
        <f t="shared" si="14"/>
        <v>529.72615384615381</v>
      </c>
    </row>
    <row r="58" spans="1:16" x14ac:dyDescent="0.25">
      <c r="A58" s="66"/>
    </row>
    <row r="59" spans="1:16" x14ac:dyDescent="0.25">
      <c r="A59" s="68" t="s">
        <v>30</v>
      </c>
      <c r="E59" s="20" t="s">
        <v>20</v>
      </c>
      <c r="F59" s="20" t="s">
        <v>19</v>
      </c>
      <c r="G59" s="20" t="s">
        <v>3</v>
      </c>
    </row>
    <row r="60" spans="1:16" x14ac:dyDescent="0.25">
      <c r="A60" s="67"/>
      <c r="C60" s="20" t="s">
        <v>1</v>
      </c>
      <c r="D60" s="28" t="s">
        <v>51</v>
      </c>
      <c r="E60" s="91" cm="1">
        <f t="array" ref="E60:E68">+IO_sub_model!F188:F196</f>
        <v>71</v>
      </c>
      <c r="F60" s="133" cm="1">
        <f t="array" ref="F60:F68">+_xlfn.ANCHORARRAY(O5)</f>
        <v>66.685384615384606</v>
      </c>
      <c r="G60" s="94">
        <f>+MIN(F60/E60,1)</f>
        <v>0.93923076923076909</v>
      </c>
      <c r="H60" s="18"/>
    </row>
    <row r="61" spans="1:16" x14ac:dyDescent="0.25">
      <c r="C61" s="20" t="s">
        <v>1</v>
      </c>
      <c r="D61" s="25" t="s">
        <v>52</v>
      </c>
      <c r="E61" s="92">
        <v>54.999999999999993</v>
      </c>
      <c r="F61" s="134">
        <v>51.657692307692315</v>
      </c>
      <c r="G61" s="95">
        <f t="shared" ref="G61:G68" si="15">+MIN(F61/E61,1)</f>
        <v>0.93923076923076954</v>
      </c>
      <c r="H61" s="18"/>
    </row>
    <row r="62" spans="1:16" x14ac:dyDescent="0.25">
      <c r="C62" s="20" t="s">
        <v>1</v>
      </c>
      <c r="D62" s="25" t="s">
        <v>53</v>
      </c>
      <c r="E62" s="92">
        <v>44.18</v>
      </c>
      <c r="F62" s="134">
        <v>44.143846153846155</v>
      </c>
      <c r="G62" s="95">
        <f t="shared" si="15"/>
        <v>0.99918166939443542</v>
      </c>
      <c r="H62" s="18"/>
    </row>
    <row r="63" spans="1:16" x14ac:dyDescent="0.25">
      <c r="C63" s="20" t="s">
        <v>10</v>
      </c>
      <c r="D63" s="25" t="str">
        <f>+D60</f>
        <v>Agr</v>
      </c>
      <c r="E63" s="92">
        <v>74.8</v>
      </c>
      <c r="F63" s="134">
        <v>77.016923076923078</v>
      </c>
      <c r="G63" s="95">
        <f t="shared" si="15"/>
        <v>1</v>
      </c>
      <c r="H63" s="18"/>
    </row>
    <row r="64" spans="1:16" x14ac:dyDescent="0.25">
      <c r="C64" s="20" t="s">
        <v>10</v>
      </c>
      <c r="D64" s="25" t="str">
        <f t="shared" ref="D64:D68" si="16">+D61</f>
        <v>Ind</v>
      </c>
      <c r="E64" s="92">
        <v>47.5</v>
      </c>
      <c r="F64" s="134">
        <v>46.96153846153846</v>
      </c>
      <c r="G64" s="95">
        <f t="shared" si="15"/>
        <v>0.98866396761133601</v>
      </c>
      <c r="H64" s="18"/>
    </row>
    <row r="65" spans="1:13" x14ac:dyDescent="0.25">
      <c r="C65" s="20" t="s">
        <v>10</v>
      </c>
      <c r="D65" s="25" t="str">
        <f t="shared" si="16"/>
        <v>Serv</v>
      </c>
      <c r="E65" s="92">
        <v>51.5</v>
      </c>
      <c r="F65" s="134">
        <v>51.657692307692308</v>
      </c>
      <c r="G65" s="95">
        <f t="shared" si="15"/>
        <v>1</v>
      </c>
      <c r="H65" s="18"/>
    </row>
    <row r="66" spans="1:13" x14ac:dyDescent="0.25">
      <c r="C66" s="20" t="s">
        <v>11</v>
      </c>
      <c r="D66" s="25" t="str">
        <f t="shared" si="16"/>
        <v>Agr</v>
      </c>
      <c r="E66" s="92">
        <v>79</v>
      </c>
      <c r="F66" s="134">
        <v>74.199230769230766</v>
      </c>
      <c r="G66" s="95">
        <f t="shared" si="15"/>
        <v>0.9392307692307692</v>
      </c>
      <c r="H66" s="18"/>
    </row>
    <row r="67" spans="1:13" x14ac:dyDescent="0.25">
      <c r="C67" s="20" t="s">
        <v>11</v>
      </c>
      <c r="D67" s="25" t="str">
        <f t="shared" si="16"/>
        <v>Ind</v>
      </c>
      <c r="E67" s="92">
        <v>62.400000000000006</v>
      </c>
      <c r="F67" s="134">
        <v>61.05</v>
      </c>
      <c r="G67" s="95">
        <f t="shared" si="15"/>
        <v>0.97836538461538447</v>
      </c>
      <c r="H67" s="18"/>
    </row>
    <row r="68" spans="1:13" x14ac:dyDescent="0.25">
      <c r="C68" s="20" t="s">
        <v>11</v>
      </c>
      <c r="D68" s="25" t="str">
        <f t="shared" si="16"/>
        <v>Serv</v>
      </c>
      <c r="E68" s="93">
        <v>60</v>
      </c>
      <c r="F68" s="135">
        <v>56.353846153846149</v>
      </c>
      <c r="G68" s="96">
        <f t="shared" si="15"/>
        <v>0.9392307692307692</v>
      </c>
      <c r="H68" s="18"/>
    </row>
    <row r="69" spans="1:13" x14ac:dyDescent="0.25">
      <c r="A69" s="66"/>
    </row>
    <row r="70" spans="1:13" x14ac:dyDescent="0.25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13" x14ac:dyDescent="0.25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13" x14ac:dyDescent="0.25">
      <c r="C72" t="s">
        <v>25</v>
      </c>
      <c r="D72" s="20" t="s">
        <v>4</v>
      </c>
      <c r="E72" s="43" cm="1">
        <f t="array" ref="E72">+MIN(_xlfn._xlws.FILTER($G$60:$G$68,E21:E29&gt;0))</f>
        <v>0.93923076923076909</v>
      </c>
      <c r="F72" s="44" cm="1">
        <f t="array" ref="F72">+MIN(_xlfn._xlws.FILTER($G$60:$G$68,F21:F29&gt;0))</f>
        <v>0.93923076923076909</v>
      </c>
      <c r="G72" s="44" cm="1">
        <f t="array" ref="G72">+MIN(_xlfn._xlws.FILTER($G$60:$G$68,G21:G29&gt;0))</f>
        <v>0.93923076923076909</v>
      </c>
      <c r="H72" s="44" cm="1">
        <f t="array" ref="H72">+MIN(_xlfn._xlws.FILTER($G$60:$G$68,H21:H29&gt;0))</f>
        <v>0.93923076923076909</v>
      </c>
      <c r="I72" s="44" cm="1">
        <f t="array" ref="I72">+MIN(_xlfn._xlws.FILTER($G$60:$G$68,I21:I29&gt;0))</f>
        <v>0.93923076923076909</v>
      </c>
      <c r="J72" s="44" cm="1">
        <f t="array" ref="J72">+MIN(_xlfn._xlws.FILTER($G$60:$G$68,J21:J29&gt;0))</f>
        <v>0.93923076923076909</v>
      </c>
      <c r="K72" s="44" cm="1">
        <f t="array" ref="K72">+MIN(_xlfn._xlws.FILTER($G$60:$G$68,K21:K29&gt;0))</f>
        <v>0.93923076923076909</v>
      </c>
      <c r="L72" s="44" cm="1">
        <f t="array" ref="L72">+MIN(_xlfn._xlws.FILTER($G$60:$G$68,L21:L29&gt;0))</f>
        <v>0.93923076923076909</v>
      </c>
      <c r="M72" s="45" cm="1">
        <f t="array" ref="M72">+MIN(_xlfn._xlws.FILTER($G$60:$G$68,M21:M29&gt;0))</f>
        <v>0.93923076923076909</v>
      </c>
    </row>
    <row r="73" spans="1:13" ht="15.75" thickBot="1" x14ac:dyDescent="0.3">
      <c r="C73" t="s">
        <v>26</v>
      </c>
      <c r="D73" s="49" t="s">
        <v>18</v>
      </c>
      <c r="E73" s="50" cm="1">
        <f t="array" ref="E73:M73">+TRANSPOSE(M47:M55)</f>
        <v>1</v>
      </c>
      <c r="F73" s="51">
        <v>1</v>
      </c>
      <c r="G73" s="51">
        <v>1</v>
      </c>
      <c r="H73" s="51">
        <v>1</v>
      </c>
      <c r="I73" s="51">
        <v>1</v>
      </c>
      <c r="J73" s="51">
        <v>1</v>
      </c>
      <c r="K73" s="51">
        <v>1</v>
      </c>
      <c r="L73" s="51">
        <v>1</v>
      </c>
      <c r="M73" s="52">
        <v>1</v>
      </c>
    </row>
    <row r="74" spans="1:13" x14ac:dyDescent="0.25">
      <c r="D74" s="22" t="s">
        <v>22</v>
      </c>
      <c r="E74" s="46">
        <f>+MIN(E72:E73)</f>
        <v>0.93923076923076909</v>
      </c>
      <c r="F74" s="47">
        <f t="shared" ref="F74:M74" si="17">+MIN(F72:F73)</f>
        <v>0.93923076923076909</v>
      </c>
      <c r="G74" s="47">
        <f t="shared" si="17"/>
        <v>0.93923076923076909</v>
      </c>
      <c r="H74" s="47">
        <f t="shared" si="17"/>
        <v>0.93923076923076909</v>
      </c>
      <c r="I74" s="47">
        <f t="shared" si="17"/>
        <v>0.93923076923076909</v>
      </c>
      <c r="J74" s="47">
        <f t="shared" si="17"/>
        <v>0.93923076923076909</v>
      </c>
      <c r="K74" s="47">
        <f t="shared" si="17"/>
        <v>0.93923076923076909</v>
      </c>
      <c r="L74" s="47">
        <f t="shared" si="17"/>
        <v>0.93923076923076909</v>
      </c>
      <c r="M74" s="48">
        <f t="shared" si="17"/>
        <v>0.93923076923076909</v>
      </c>
    </row>
    <row r="75" spans="1:13" x14ac:dyDescent="0.25">
      <c r="A75" s="66"/>
    </row>
    <row r="76" spans="1:13" ht="15.75" thickBot="1" x14ac:dyDescent="0.3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13" ht="15.75" thickBot="1" x14ac:dyDescent="0.3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13" x14ac:dyDescent="0.25">
      <c r="B78" s="63" cm="1">
        <f t="array" ref="B78:B86">+TRANSPOSE(E74:M74)</f>
        <v>0.93923076923076909</v>
      </c>
      <c r="C78" s="20" t="s">
        <v>1</v>
      </c>
      <c r="D78" s="28" t="s">
        <v>51</v>
      </c>
      <c r="E78" s="1">
        <f>+E5*$B78</f>
        <v>8.9753305156382073</v>
      </c>
      <c r="F78" s="2">
        <f t="shared" ref="F78:M78" si="18">+F5*$B78</f>
        <v>4.7013144547759937</v>
      </c>
      <c r="G78" s="2">
        <f t="shared" si="18"/>
        <v>8.9753305156382073</v>
      </c>
      <c r="H78" s="2">
        <f t="shared" si="18"/>
        <v>1.2488672865595947</v>
      </c>
      <c r="I78" s="2">
        <f t="shared" si="18"/>
        <v>0.47477599323753172</v>
      </c>
      <c r="J78" s="2">
        <f t="shared" si="18"/>
        <v>7.1660211327134391</v>
      </c>
      <c r="K78" s="2">
        <f t="shared" si="18"/>
        <v>3.0106990701606091</v>
      </c>
      <c r="L78" s="2">
        <f t="shared" si="18"/>
        <v>6.5106238377007593</v>
      </c>
      <c r="M78" s="3">
        <f t="shared" si="18"/>
        <v>2.1416525781910414</v>
      </c>
    </row>
    <row r="79" spans="1:13" x14ac:dyDescent="0.25">
      <c r="B79" s="30">
        <v>0.93923076923076909</v>
      </c>
      <c r="C79" s="20" t="s">
        <v>1</v>
      </c>
      <c r="D79" s="25" t="s">
        <v>52</v>
      </c>
      <c r="E79" s="5">
        <f t="shared" ref="E79:M86" si="19">+E6*$B79</f>
        <v>7.2132923076923054</v>
      </c>
      <c r="F79" s="6">
        <f t="shared" si="19"/>
        <v>2.9867538461538445</v>
      </c>
      <c r="G79" s="6">
        <f t="shared" si="19"/>
        <v>8.0239207100591692</v>
      </c>
      <c r="H79" s="6">
        <f t="shared" si="19"/>
        <v>4.0401372781065064</v>
      </c>
      <c r="I79" s="6">
        <f t="shared" si="19"/>
        <v>2.0027289940828399</v>
      </c>
      <c r="J79" s="6">
        <f t="shared" si="19"/>
        <v>8.938586982248518</v>
      </c>
      <c r="K79" s="6">
        <f t="shared" si="19"/>
        <v>1.4695349112426035</v>
      </c>
      <c r="L79" s="6">
        <f t="shared" si="19"/>
        <v>3.9360994082840213</v>
      </c>
      <c r="M79" s="7">
        <f t="shared" si="19"/>
        <v>6.4720224852071002</v>
      </c>
    </row>
    <row r="80" spans="1:13" x14ac:dyDescent="0.25">
      <c r="B80" s="30">
        <v>0.93923076923076909</v>
      </c>
      <c r="C80" s="20" t="s">
        <v>1</v>
      </c>
      <c r="D80" s="25" t="s">
        <v>53</v>
      </c>
      <c r="E80" s="5">
        <f t="shared" si="19"/>
        <v>6.9358579881657251E-2</v>
      </c>
      <c r="F80" s="6">
        <f t="shared" si="19"/>
        <v>3.0344378698225091E-2</v>
      </c>
      <c r="G80" s="6">
        <f t="shared" si="19"/>
        <v>3.4679289940828729E-2</v>
      </c>
      <c r="H80" s="6">
        <f t="shared" si="19"/>
        <v>5.9951822485207087</v>
      </c>
      <c r="I80" s="6">
        <f t="shared" si="19"/>
        <v>3.437584615384615</v>
      </c>
      <c r="J80" s="6">
        <f t="shared" si="19"/>
        <v>3.4072402366863899</v>
      </c>
      <c r="K80" s="6">
        <f t="shared" si="19"/>
        <v>5.9648378698224835</v>
      </c>
      <c r="L80" s="6">
        <f t="shared" si="19"/>
        <v>3.424579881656804</v>
      </c>
      <c r="M80" s="7">
        <f t="shared" si="19"/>
        <v>5.9821775147928982</v>
      </c>
    </row>
    <row r="81" spans="1:14" x14ac:dyDescent="0.25">
      <c r="B81" s="30">
        <v>0.93923076923076909</v>
      </c>
      <c r="C81" s="20" t="s">
        <v>10</v>
      </c>
      <c r="D81" s="25" t="str">
        <f>+D78</f>
        <v>Agr</v>
      </c>
      <c r="E81" s="5">
        <f t="shared" si="19"/>
        <v>7.6077692307692297</v>
      </c>
      <c r="F81" s="6">
        <f t="shared" si="19"/>
        <v>4.2265384615384605</v>
      </c>
      <c r="G81" s="6">
        <f t="shared" si="19"/>
        <v>3.3812307692307684</v>
      </c>
      <c r="H81" s="6">
        <f t="shared" si="19"/>
        <v>5.9171538461538447</v>
      </c>
      <c r="I81" s="6">
        <f t="shared" si="19"/>
        <v>8.4530769230769209</v>
      </c>
      <c r="J81" s="6">
        <f t="shared" si="19"/>
        <v>7.6077692307692297</v>
      </c>
      <c r="K81" s="6">
        <f t="shared" si="19"/>
        <v>8.4530769230769209</v>
      </c>
      <c r="L81" s="6">
        <f t="shared" si="19"/>
        <v>7.6077692307692297</v>
      </c>
      <c r="M81" s="7">
        <f t="shared" si="19"/>
        <v>7.6077692307692297</v>
      </c>
    </row>
    <row r="82" spans="1:14" x14ac:dyDescent="0.25">
      <c r="B82" s="30">
        <v>0.93923076923076909</v>
      </c>
      <c r="C82" s="20" t="s">
        <v>10</v>
      </c>
      <c r="D82" s="25" t="str">
        <f t="shared" ref="D82:D86" si="20">+D79</f>
        <v>Ind</v>
      </c>
      <c r="E82" s="5">
        <f t="shared" si="19"/>
        <v>3.5690769230769219</v>
      </c>
      <c r="F82" s="6">
        <f t="shared" si="19"/>
        <v>1.878461538461538</v>
      </c>
      <c r="G82" s="6">
        <f t="shared" si="19"/>
        <v>2.7093195266272185</v>
      </c>
      <c r="H82" s="6">
        <f t="shared" si="19"/>
        <v>5.346390532544377</v>
      </c>
      <c r="I82" s="6">
        <f t="shared" si="19"/>
        <v>6.0472011834319508</v>
      </c>
      <c r="J82" s="6">
        <f t="shared" si="19"/>
        <v>3.5835266272189337</v>
      </c>
      <c r="K82" s="6">
        <f t="shared" si="19"/>
        <v>7.8678639053254429</v>
      </c>
      <c r="L82" s="6">
        <f t="shared" si="19"/>
        <v>1.9218106508875732</v>
      </c>
      <c r="M82" s="7">
        <f t="shared" si="19"/>
        <v>6.9936568047337273</v>
      </c>
    </row>
    <row r="83" spans="1:14" x14ac:dyDescent="0.25">
      <c r="B83" s="30">
        <v>0.93923076923076909</v>
      </c>
      <c r="C83" s="20" t="s">
        <v>10</v>
      </c>
      <c r="D83" s="25" t="str">
        <f t="shared" si="20"/>
        <v>Serv</v>
      </c>
      <c r="E83" s="5">
        <f t="shared" si="19"/>
        <v>5.0718461538461526</v>
      </c>
      <c r="F83" s="6">
        <f t="shared" si="19"/>
        <v>4.2265384615384605</v>
      </c>
      <c r="G83" s="6">
        <f t="shared" si="19"/>
        <v>3.3812307692307684</v>
      </c>
      <c r="H83" s="6">
        <f t="shared" si="19"/>
        <v>0.84530769230769209</v>
      </c>
      <c r="I83" s="6">
        <f t="shared" si="19"/>
        <v>7.6077692307692297</v>
      </c>
      <c r="J83" s="6">
        <f t="shared" si="19"/>
        <v>1.6906153846153842</v>
      </c>
      <c r="K83" s="6">
        <f t="shared" si="19"/>
        <v>0.84530769230769209</v>
      </c>
      <c r="L83" s="6">
        <f t="shared" si="19"/>
        <v>5.0718461538461526</v>
      </c>
      <c r="M83" s="7">
        <f t="shared" si="19"/>
        <v>0.84530769230769209</v>
      </c>
    </row>
    <row r="84" spans="1:14" x14ac:dyDescent="0.25">
      <c r="B84" s="30">
        <v>0.93923076923076909</v>
      </c>
      <c r="C84" s="20" t="s">
        <v>11</v>
      </c>
      <c r="D84" s="25" t="str">
        <f t="shared" si="20"/>
        <v>Agr</v>
      </c>
      <c r="E84" s="5">
        <f t="shared" si="19"/>
        <v>3.2625367709213853</v>
      </c>
      <c r="F84" s="6">
        <f t="shared" si="19"/>
        <v>9.1136348267117491</v>
      </c>
      <c r="G84" s="6">
        <f t="shared" si="19"/>
        <v>7.4890752324598475</v>
      </c>
      <c r="H84" s="6">
        <f t="shared" si="19"/>
        <v>8.1692434488588308</v>
      </c>
      <c r="I84" s="6">
        <f t="shared" si="19"/>
        <v>9.1136348267117473</v>
      </c>
      <c r="J84" s="6">
        <f t="shared" si="19"/>
        <v>0.56147421808960252</v>
      </c>
      <c r="K84" s="6">
        <f t="shared" si="19"/>
        <v>6.5777117497886719</v>
      </c>
      <c r="L84" s="6">
        <f t="shared" si="19"/>
        <v>8.4334666103127631</v>
      </c>
      <c r="M84" s="7">
        <f t="shared" si="19"/>
        <v>7.3899915469146249</v>
      </c>
    </row>
    <row r="85" spans="1:14" x14ac:dyDescent="0.25">
      <c r="B85" s="30">
        <v>0.93923076923076909</v>
      </c>
      <c r="C85" s="20" t="s">
        <v>11</v>
      </c>
      <c r="D85" s="25" t="str">
        <f t="shared" si="20"/>
        <v>Ind</v>
      </c>
      <c r="E85" s="5">
        <f t="shared" si="19"/>
        <v>0.94862307692307679</v>
      </c>
      <c r="F85" s="6">
        <f t="shared" si="19"/>
        <v>6.8657769230769219</v>
      </c>
      <c r="G85" s="6">
        <f t="shared" si="19"/>
        <v>9.5368047337278411E-2</v>
      </c>
      <c r="H85" s="6">
        <f t="shared" si="19"/>
        <v>7.7587686390532538</v>
      </c>
      <c r="I85" s="6">
        <f t="shared" si="19"/>
        <v>7.152603550295869E-2</v>
      </c>
      <c r="J85" s="6">
        <f t="shared" si="19"/>
        <v>0.11126272189349104</v>
      </c>
      <c r="K85" s="6">
        <f t="shared" si="19"/>
        <v>6.9055136094674543</v>
      </c>
      <c r="L85" s="6">
        <f t="shared" si="19"/>
        <v>8.5802343195266246</v>
      </c>
      <c r="M85" s="7">
        <f t="shared" si="19"/>
        <v>0.97246508875739668</v>
      </c>
    </row>
    <row r="86" spans="1:14" x14ac:dyDescent="0.25">
      <c r="B86" s="31">
        <v>0.93923076923076909</v>
      </c>
      <c r="C86" s="20" t="s">
        <v>11</v>
      </c>
      <c r="D86" s="25" t="str">
        <f t="shared" si="20"/>
        <v>Serv</v>
      </c>
      <c r="E86" s="9">
        <f t="shared" si="19"/>
        <v>8.9732662721893472</v>
      </c>
      <c r="F86" s="10">
        <f t="shared" si="19"/>
        <v>1.9181982248520706</v>
      </c>
      <c r="G86" s="10">
        <f t="shared" si="19"/>
        <v>3.6413254437869815</v>
      </c>
      <c r="H86" s="10">
        <f t="shared" si="19"/>
        <v>9.0382899408284008</v>
      </c>
      <c r="I86" s="10">
        <f t="shared" si="19"/>
        <v>0.42265384615384566</v>
      </c>
      <c r="J86" s="10">
        <f t="shared" si="19"/>
        <v>0.19507100591715962</v>
      </c>
      <c r="K86" s="10">
        <f t="shared" si="19"/>
        <v>2.8935532544378697</v>
      </c>
      <c r="L86" s="10">
        <f t="shared" si="19"/>
        <v>0.32511834319526606</v>
      </c>
      <c r="M86" s="11">
        <f t="shared" si="19"/>
        <v>6.4048313609467451</v>
      </c>
    </row>
    <row r="87" spans="1:14" x14ac:dyDescent="0.25">
      <c r="N87" s="19">
        <f>+SUM(E78:M86)</f>
        <v>373.23152307692288</v>
      </c>
    </row>
    <row r="88" spans="1:14" x14ac:dyDescent="0.25">
      <c r="D88" s="20" t="str" cm="1">
        <f t="array" ref="D88:M89">+TRANSPOSE(E59:F68)</f>
        <v>x_md</v>
      </c>
      <c r="E88" s="43">
        <v>71</v>
      </c>
      <c r="F88" s="44">
        <v>54.999999999999993</v>
      </c>
      <c r="G88" s="44">
        <v>44.18</v>
      </c>
      <c r="H88" s="44">
        <v>74.8</v>
      </c>
      <c r="I88" s="44">
        <v>47.5</v>
      </c>
      <c r="J88" s="44">
        <v>51.5</v>
      </c>
      <c r="K88" s="44">
        <v>79</v>
      </c>
      <c r="L88" s="44">
        <v>62.400000000000006</v>
      </c>
      <c r="M88" s="45">
        <v>60</v>
      </c>
    </row>
    <row r="89" spans="1:14" ht="15.75" thickBot="1" x14ac:dyDescent="0.3">
      <c r="D89" s="49" t="str">
        <v>x_max</v>
      </c>
      <c r="E89" s="50">
        <v>66.685384615384606</v>
      </c>
      <c r="F89" s="51">
        <v>51.657692307692315</v>
      </c>
      <c r="G89" s="51">
        <v>44.143846153846155</v>
      </c>
      <c r="H89" s="51">
        <v>77.016923076923078</v>
      </c>
      <c r="I89" s="51">
        <v>46.96153846153846</v>
      </c>
      <c r="J89" s="51">
        <v>51.657692307692308</v>
      </c>
      <c r="K89" s="51">
        <v>74.199230769230766</v>
      </c>
      <c r="L89" s="51">
        <v>61.05</v>
      </c>
      <c r="M89" s="52">
        <v>56.353846153846149</v>
      </c>
    </row>
    <row r="90" spans="1:14" x14ac:dyDescent="0.25">
      <c r="D90" s="22"/>
      <c r="E90" s="46">
        <f>+MIN(E88:E89)</f>
        <v>66.685384615384606</v>
      </c>
      <c r="F90" s="47">
        <f t="shared" ref="F90:M90" si="21">+MIN(F88:F89)</f>
        <v>51.657692307692315</v>
      </c>
      <c r="G90" s="47">
        <f t="shared" si="21"/>
        <v>44.143846153846155</v>
      </c>
      <c r="H90" s="47">
        <f t="shared" si="21"/>
        <v>74.8</v>
      </c>
      <c r="I90" s="47">
        <f t="shared" si="21"/>
        <v>46.96153846153846</v>
      </c>
      <c r="J90" s="47">
        <f t="shared" si="21"/>
        <v>51.5</v>
      </c>
      <c r="K90" s="47">
        <f t="shared" si="21"/>
        <v>74.199230769230766</v>
      </c>
      <c r="L90" s="47">
        <f t="shared" si="21"/>
        <v>61.05</v>
      </c>
      <c r="M90" s="48">
        <f t="shared" si="21"/>
        <v>56.353846153846149</v>
      </c>
    </row>
    <row r="91" spans="1:14" x14ac:dyDescent="0.25">
      <c r="A91" s="66"/>
    </row>
    <row r="92" spans="1:14" ht="15.75" thickBot="1" x14ac:dyDescent="0.3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14" ht="15.75" thickBot="1" x14ac:dyDescent="0.3">
      <c r="A93" s="67"/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14" x14ac:dyDescent="0.25">
      <c r="C94" s="20" t="s">
        <v>1</v>
      </c>
      <c r="D94" s="28" t="s">
        <v>51</v>
      </c>
      <c r="E94" s="1">
        <f>+E21*E$88</f>
        <v>10.174330174330176</v>
      </c>
      <c r="F94" s="2">
        <f t="shared" ref="F94:M94" si="22">+F21*F$88</f>
        <v>5.3293553293553284</v>
      </c>
      <c r="G94" s="2">
        <f t="shared" si="22"/>
        <v>9.5638703638703646</v>
      </c>
      <c r="H94" s="2">
        <f t="shared" si="22"/>
        <v>1.2913959255422673</v>
      </c>
      <c r="I94" s="2">
        <f t="shared" si="22"/>
        <v>0.5112905112905114</v>
      </c>
      <c r="J94" s="2">
        <f t="shared" si="22"/>
        <v>7.606379697288788</v>
      </c>
      <c r="K94" s="2">
        <f t="shared" si="22"/>
        <v>3.4128934128934141</v>
      </c>
      <c r="L94" s="2">
        <f t="shared" si="22"/>
        <v>7.0851526851526856</v>
      </c>
      <c r="M94" s="3">
        <f t="shared" si="22"/>
        <v>2.4277524277524303</v>
      </c>
      <c r="N94" s="19"/>
    </row>
    <row r="95" spans="1:14" x14ac:dyDescent="0.25">
      <c r="C95" s="20" t="s">
        <v>1</v>
      </c>
      <c r="D95" s="25" t="s">
        <v>52</v>
      </c>
      <c r="E95" s="5">
        <f t="shared" ref="E95:M102" si="23">+E22*E$88</f>
        <v>8.176904176904177</v>
      </c>
      <c r="F95" s="6">
        <f t="shared" si="23"/>
        <v>3.3857493857493837</v>
      </c>
      <c r="G95" s="6">
        <f t="shared" si="23"/>
        <v>8.5500737100737094</v>
      </c>
      <c r="H95" s="6">
        <f t="shared" si="23"/>
        <v>4.1777191825972295</v>
      </c>
      <c r="I95" s="6">
        <f t="shared" si="23"/>
        <v>2.1567567567567565</v>
      </c>
      <c r="J95" s="6">
        <f t="shared" si="23"/>
        <v>9.4878713424167973</v>
      </c>
      <c r="K95" s="6">
        <f t="shared" si="23"/>
        <v>1.665847665847666</v>
      </c>
      <c r="L95" s="6">
        <f t="shared" si="23"/>
        <v>4.2834398034398022</v>
      </c>
      <c r="M95" s="7">
        <f t="shared" si="23"/>
        <v>7.3366093366093379</v>
      </c>
      <c r="N95" s="19"/>
    </row>
    <row r="96" spans="1:14" x14ac:dyDescent="0.25">
      <c r="C96" s="20" t="s">
        <v>1</v>
      </c>
      <c r="D96" s="25" t="s">
        <v>53</v>
      </c>
      <c r="E96" s="5">
        <f t="shared" si="23"/>
        <v>7.8624078624079163E-2</v>
      </c>
      <c r="F96" s="6">
        <f t="shared" si="23"/>
        <v>3.4398034398034662E-2</v>
      </c>
      <c r="G96" s="6">
        <f t="shared" si="23"/>
        <v>3.69533169533173E-2</v>
      </c>
      <c r="H96" s="6">
        <f t="shared" si="23"/>
        <v>6.1993408042188518</v>
      </c>
      <c r="I96" s="6">
        <f t="shared" si="23"/>
        <v>3.7019656019656026</v>
      </c>
      <c r="J96" s="6">
        <f t="shared" si="23"/>
        <v>3.6166182711637251</v>
      </c>
      <c r="K96" s="6">
        <f t="shared" si="23"/>
        <v>6.7616707616707608</v>
      </c>
      <c r="L96" s="6">
        <f t="shared" si="23"/>
        <v>3.7267813267813272</v>
      </c>
      <c r="M96" s="7">
        <f t="shared" si="23"/>
        <v>6.7813267813267819</v>
      </c>
      <c r="N96" s="19"/>
    </row>
    <row r="97" spans="3:25" x14ac:dyDescent="0.25">
      <c r="C97" s="20" t="s">
        <v>10</v>
      </c>
      <c r="D97" s="25" t="str">
        <f>+D94</f>
        <v>Agr</v>
      </c>
      <c r="E97" s="5">
        <f t="shared" si="23"/>
        <v>8.6240786240786242</v>
      </c>
      <c r="F97" s="6">
        <f t="shared" si="23"/>
        <v>4.7911547911547903</v>
      </c>
      <c r="G97" s="6">
        <f t="shared" si="23"/>
        <v>3.6029484029484022</v>
      </c>
      <c r="H97" s="6">
        <f t="shared" si="23"/>
        <v>6.1186552406064587</v>
      </c>
      <c r="I97" s="6">
        <f t="shared" si="23"/>
        <v>9.1031941031941042</v>
      </c>
      <c r="J97" s="6">
        <f t="shared" si="23"/>
        <v>8.075273620728165</v>
      </c>
      <c r="K97" s="6">
        <f t="shared" si="23"/>
        <v>9.5823095823095823</v>
      </c>
      <c r="L97" s="6">
        <f t="shared" si="23"/>
        <v>8.2791154791154788</v>
      </c>
      <c r="M97" s="7">
        <f t="shared" si="23"/>
        <v>8.6240786240786242</v>
      </c>
      <c r="N97" s="19"/>
    </row>
    <row r="98" spans="3:25" x14ac:dyDescent="0.25">
      <c r="C98" s="20" t="s">
        <v>10</v>
      </c>
      <c r="D98" s="25" t="str">
        <f t="shared" ref="D98:D102" si="24">+D95</f>
        <v>Ind</v>
      </c>
      <c r="E98" s="5">
        <f t="shared" si="23"/>
        <v>4.0458640458640458</v>
      </c>
      <c r="F98" s="6">
        <f t="shared" si="23"/>
        <v>2.1294021294021288</v>
      </c>
      <c r="G98" s="6">
        <f t="shared" si="23"/>
        <v>2.886977886977887</v>
      </c>
      <c r="H98" s="6">
        <f t="shared" si="23"/>
        <v>5.5284552845528445</v>
      </c>
      <c r="I98" s="6">
        <f t="shared" si="23"/>
        <v>6.5122850122850116</v>
      </c>
      <c r="J98" s="6">
        <f t="shared" si="23"/>
        <v>3.8037376219194394</v>
      </c>
      <c r="K98" s="6">
        <f t="shared" si="23"/>
        <v>8.9189189189189193</v>
      </c>
      <c r="L98" s="6">
        <f t="shared" si="23"/>
        <v>2.0914004914004911</v>
      </c>
      <c r="M98" s="7">
        <f t="shared" si="23"/>
        <v>7.9279279279279287</v>
      </c>
      <c r="N98" s="19"/>
    </row>
    <row r="99" spans="3:25" x14ac:dyDescent="0.25">
      <c r="C99" s="20" t="s">
        <v>10</v>
      </c>
      <c r="D99" s="25" t="str">
        <f t="shared" si="24"/>
        <v>Serv</v>
      </c>
      <c r="E99" s="5">
        <f t="shared" si="23"/>
        <v>5.7493857493857501</v>
      </c>
      <c r="F99" s="6">
        <f t="shared" si="23"/>
        <v>4.7911547911547903</v>
      </c>
      <c r="G99" s="6">
        <f t="shared" si="23"/>
        <v>3.6029484029484022</v>
      </c>
      <c r="H99" s="6">
        <f t="shared" si="23"/>
        <v>0.87409360580092277</v>
      </c>
      <c r="I99" s="6">
        <f t="shared" si="23"/>
        <v>8.1928746928746925</v>
      </c>
      <c r="J99" s="6">
        <f t="shared" si="23"/>
        <v>1.7945052490507034</v>
      </c>
      <c r="K99" s="6">
        <f t="shared" si="23"/>
        <v>0.95823095823095816</v>
      </c>
      <c r="L99" s="6">
        <f t="shared" si="23"/>
        <v>5.5194103194103192</v>
      </c>
      <c r="M99" s="7">
        <f t="shared" si="23"/>
        <v>0.95823095823095827</v>
      </c>
      <c r="N99" s="19"/>
    </row>
    <row r="100" spans="3:25" x14ac:dyDescent="0.25">
      <c r="C100" s="20" t="s">
        <v>11</v>
      </c>
      <c r="D100" s="25" t="str">
        <f t="shared" si="24"/>
        <v>Agr</v>
      </c>
      <c r="E100" s="5">
        <f t="shared" si="23"/>
        <v>3.6983736983736981</v>
      </c>
      <c r="F100" s="6">
        <f t="shared" si="23"/>
        <v>10.331110331110329</v>
      </c>
      <c r="G100" s="6">
        <f t="shared" si="23"/>
        <v>7.980156780156781</v>
      </c>
      <c r="H100" s="6">
        <f t="shared" si="23"/>
        <v>8.4474369840223478</v>
      </c>
      <c r="I100" s="6">
        <f t="shared" si="23"/>
        <v>9.814554814554814</v>
      </c>
      <c r="J100" s="6">
        <f t="shared" si="23"/>
        <v>0.59597732325005037</v>
      </c>
      <c r="K100" s="6">
        <f t="shared" si="23"/>
        <v>7.4564174564174568</v>
      </c>
      <c r="L100" s="6">
        <f t="shared" si="23"/>
        <v>9.177676377676379</v>
      </c>
      <c r="M100" s="7">
        <f t="shared" si="23"/>
        <v>8.3772083772083796</v>
      </c>
      <c r="N100" s="19"/>
    </row>
    <row r="101" spans="3:25" x14ac:dyDescent="0.25">
      <c r="C101" s="20" t="s">
        <v>11</v>
      </c>
      <c r="D101" s="25" t="str">
        <f t="shared" si="24"/>
        <v>Ind</v>
      </c>
      <c r="E101" s="5">
        <f t="shared" si="23"/>
        <v>1.0753480753480755</v>
      </c>
      <c r="F101" s="6">
        <f t="shared" si="23"/>
        <v>7.7829647829647799</v>
      </c>
      <c r="G101" s="6">
        <f t="shared" si="23"/>
        <v>0.10162162162162197</v>
      </c>
      <c r="H101" s="6">
        <f t="shared" si="23"/>
        <v>8.0229839595693253</v>
      </c>
      <c r="I101" s="6">
        <f t="shared" si="23"/>
        <v>7.7027027027027156E-2</v>
      </c>
      <c r="J101" s="6">
        <f t="shared" si="23"/>
        <v>0.11809991809991804</v>
      </c>
      <c r="K101" s="6">
        <f t="shared" si="23"/>
        <v>7.8280098280098276</v>
      </c>
      <c r="L101" s="6">
        <f t="shared" si="23"/>
        <v>9.3373955773955775</v>
      </c>
      <c r="M101" s="7">
        <f t="shared" si="23"/>
        <v>1.1023751023751029</v>
      </c>
      <c r="N101" s="19"/>
    </row>
    <row r="102" spans="3:25" x14ac:dyDescent="0.25">
      <c r="C102" s="20" t="s">
        <v>11</v>
      </c>
      <c r="D102" s="25" t="str">
        <f t="shared" si="24"/>
        <v>Serv</v>
      </c>
      <c r="E102" s="9">
        <f t="shared" si="23"/>
        <v>10.171990171990174</v>
      </c>
      <c r="F102" s="10">
        <f t="shared" si="23"/>
        <v>2.1744471744471738</v>
      </c>
      <c r="G102" s="10">
        <f t="shared" si="23"/>
        <v>3.88009828009828</v>
      </c>
      <c r="H102" s="10">
        <f t="shared" si="23"/>
        <v>9.3460777851021746</v>
      </c>
      <c r="I102" s="10">
        <f t="shared" si="23"/>
        <v>0.45515970515970472</v>
      </c>
      <c r="J102" s="10">
        <f t="shared" si="23"/>
        <v>0.20705829796738873</v>
      </c>
      <c r="K102" s="10">
        <f t="shared" si="23"/>
        <v>3.2800982800982803</v>
      </c>
      <c r="L102" s="10">
        <f t="shared" si="23"/>
        <v>0.35380835380835368</v>
      </c>
      <c r="M102" s="11">
        <f t="shared" si="23"/>
        <v>7.2604422604422609</v>
      </c>
      <c r="N102" s="19"/>
    </row>
    <row r="103" spans="3:25" x14ac:dyDescent="0.25">
      <c r="N103" s="19">
        <f>+SUM(E94:M102)</f>
        <v>409.10160172381904</v>
      </c>
    </row>
    <row r="104" spans="3:25" ht="15.75" thickBot="1" x14ac:dyDescent="0.3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25" ht="15.75" thickBot="1" x14ac:dyDescent="0.3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25" x14ac:dyDescent="0.25">
      <c r="C106" s="20" t="s">
        <v>1</v>
      </c>
      <c r="D106" s="28" t="s">
        <v>51</v>
      </c>
      <c r="E106" s="1">
        <f>+MAX(E94-E78,0)</f>
        <v>1.1989996586919691</v>
      </c>
      <c r="F106" s="2">
        <f t="shared" ref="F106:M106" si="25">+MAX(F94-F78,0)</f>
        <v>0.62804087457933466</v>
      </c>
      <c r="G106" s="2">
        <f t="shared" si="25"/>
        <v>0.58853984823215733</v>
      </c>
      <c r="H106" s="2">
        <f t="shared" si="25"/>
        <v>4.2528638982672673E-2</v>
      </c>
      <c r="I106" s="2">
        <f t="shared" si="25"/>
        <v>3.6514518052979672E-2</v>
      </c>
      <c r="J106" s="2">
        <f t="shared" si="25"/>
        <v>0.44035856457534894</v>
      </c>
      <c r="K106" s="2">
        <f t="shared" si="25"/>
        <v>0.40219434273280497</v>
      </c>
      <c r="L106" s="2">
        <f t="shared" si="25"/>
        <v>0.57452884745192634</v>
      </c>
      <c r="M106" s="3">
        <f t="shared" si="25"/>
        <v>0.2860998495613889</v>
      </c>
      <c r="N106" s="53">
        <f>+SUM(E106:M106)</f>
        <v>4.1978051428605827</v>
      </c>
    </row>
    <row r="107" spans="3:25" x14ac:dyDescent="0.25">
      <c r="C107" s="20" t="s">
        <v>1</v>
      </c>
      <c r="D107" s="25" t="s">
        <v>52</v>
      </c>
      <c r="E107" s="5">
        <f t="shared" ref="E107:M114" si="26">+MAX(E95-E79,0)</f>
        <v>0.96361186921187159</v>
      </c>
      <c r="F107" s="6">
        <f t="shared" si="26"/>
        <v>0.39899553959553913</v>
      </c>
      <c r="G107" s="6">
        <f t="shared" si="26"/>
        <v>0.52615300001454024</v>
      </c>
      <c r="H107" s="6">
        <f t="shared" si="26"/>
        <v>0.13758190449072316</v>
      </c>
      <c r="I107" s="6">
        <f t="shared" si="26"/>
        <v>0.1540277626739166</v>
      </c>
      <c r="J107" s="6">
        <f t="shared" si="26"/>
        <v>0.54928436016827931</v>
      </c>
      <c r="K107" s="6">
        <f t="shared" si="26"/>
        <v>0.19631275460506248</v>
      </c>
      <c r="L107" s="6">
        <f t="shared" si="26"/>
        <v>0.34734039515578097</v>
      </c>
      <c r="M107" s="7">
        <f t="shared" si="26"/>
        <v>0.86458685140223768</v>
      </c>
      <c r="N107" s="8">
        <f t="shared" ref="N107:N114" si="27">+SUM(E107:M107)</f>
        <v>4.1378944373179509</v>
      </c>
    </row>
    <row r="108" spans="3:25" x14ac:dyDescent="0.25">
      <c r="C108" s="20" t="s">
        <v>1</v>
      </c>
      <c r="D108" s="25" t="s">
        <v>53</v>
      </c>
      <c r="E108" s="5">
        <f t="shared" si="26"/>
        <v>9.2654987424219126E-3</v>
      </c>
      <c r="F108" s="6">
        <f t="shared" si="26"/>
        <v>4.0536556998095712E-3</v>
      </c>
      <c r="G108" s="6">
        <f t="shared" si="26"/>
        <v>2.2740270124885706E-3</v>
      </c>
      <c r="H108" s="6">
        <f t="shared" si="26"/>
        <v>0.20415855569814312</v>
      </c>
      <c r="I108" s="6">
        <f t="shared" si="26"/>
        <v>0.26438098658098763</v>
      </c>
      <c r="J108" s="6">
        <f t="shared" si="26"/>
        <v>0.20937803447733527</v>
      </c>
      <c r="K108" s="6">
        <f t="shared" si="26"/>
        <v>0.79683289184827721</v>
      </c>
      <c r="L108" s="6">
        <f t="shared" si="26"/>
        <v>0.30220144512452318</v>
      </c>
      <c r="M108" s="7">
        <f t="shared" si="26"/>
        <v>0.79914926653388374</v>
      </c>
      <c r="N108" s="8">
        <f t="shared" si="27"/>
        <v>2.5916943617178703</v>
      </c>
    </row>
    <row r="109" spans="3:25" x14ac:dyDescent="0.25">
      <c r="C109" s="20" t="s">
        <v>10</v>
      </c>
      <c r="D109" s="25" t="str">
        <f>+D106</f>
        <v>Agr</v>
      </c>
      <c r="E109" s="5">
        <f t="shared" si="26"/>
        <v>1.0163093933093945</v>
      </c>
      <c r="F109" s="6">
        <f t="shared" si="26"/>
        <v>0.56461632961632979</v>
      </c>
      <c r="G109" s="6">
        <f t="shared" si="26"/>
        <v>0.22171763371763387</v>
      </c>
      <c r="H109" s="6">
        <f t="shared" si="26"/>
        <v>0.20150139445261406</v>
      </c>
      <c r="I109" s="6">
        <f t="shared" si="26"/>
        <v>0.65011718011718322</v>
      </c>
      <c r="J109" s="6">
        <f t="shared" si="26"/>
        <v>0.46750438995893528</v>
      </c>
      <c r="K109" s="6">
        <f t="shared" si="26"/>
        <v>1.1292326592326614</v>
      </c>
      <c r="L109" s="6">
        <f t="shared" si="26"/>
        <v>0.67134624834624912</v>
      </c>
      <c r="M109" s="7">
        <f t="shared" si="26"/>
        <v>1.0163093933093945</v>
      </c>
      <c r="N109" s="8">
        <f t="shared" si="27"/>
        <v>5.9386546220603957</v>
      </c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3:25" x14ac:dyDescent="0.25">
      <c r="C110" s="20" t="s">
        <v>10</v>
      </c>
      <c r="D110" s="25" t="str">
        <f t="shared" ref="D110:D114" si="28">+D107</f>
        <v>Ind</v>
      </c>
      <c r="E110" s="5">
        <f t="shared" si="26"/>
        <v>0.47678712278712387</v>
      </c>
      <c r="F110" s="6">
        <f t="shared" si="26"/>
        <v>0.25094059094059085</v>
      </c>
      <c r="G110" s="6">
        <f t="shared" si="26"/>
        <v>0.17765836035066851</v>
      </c>
      <c r="H110" s="6">
        <f t="shared" si="26"/>
        <v>0.1820647520084675</v>
      </c>
      <c r="I110" s="6">
        <f t="shared" si="26"/>
        <v>0.46508382885306077</v>
      </c>
      <c r="J110" s="6">
        <f t="shared" si="26"/>
        <v>0.22021099470050576</v>
      </c>
      <c r="K110" s="6">
        <f t="shared" si="26"/>
        <v>1.0510550135934764</v>
      </c>
      <c r="L110" s="6">
        <f t="shared" si="26"/>
        <v>0.16958984051291792</v>
      </c>
      <c r="M110" s="7">
        <f t="shared" si="26"/>
        <v>0.93427112319420136</v>
      </c>
      <c r="N110" s="8">
        <f t="shared" si="27"/>
        <v>3.9276616269410134</v>
      </c>
    </row>
    <row r="111" spans="3:25" x14ac:dyDescent="0.25">
      <c r="C111" s="20" t="s">
        <v>10</v>
      </c>
      <c r="D111" s="25" t="str">
        <f t="shared" si="28"/>
        <v>Serv</v>
      </c>
      <c r="E111" s="5">
        <f t="shared" si="26"/>
        <v>0.67753959553959753</v>
      </c>
      <c r="F111" s="6">
        <f t="shared" si="26"/>
        <v>0.56461632961632979</v>
      </c>
      <c r="G111" s="6">
        <f t="shared" si="26"/>
        <v>0.22171763371763387</v>
      </c>
      <c r="H111" s="6">
        <f t="shared" si="26"/>
        <v>2.8785913493230675E-2</v>
      </c>
      <c r="I111" s="6">
        <f t="shared" si="26"/>
        <v>0.58510546210546277</v>
      </c>
      <c r="J111" s="6">
        <f t="shared" si="26"/>
        <v>0.10388986443531922</v>
      </c>
      <c r="K111" s="6">
        <f t="shared" si="26"/>
        <v>0.11292326592326607</v>
      </c>
      <c r="L111" s="6">
        <f t="shared" si="26"/>
        <v>0.44756416556416667</v>
      </c>
      <c r="M111" s="7">
        <f t="shared" si="26"/>
        <v>0.11292326592326618</v>
      </c>
      <c r="N111" s="8">
        <f t="shared" si="27"/>
        <v>2.8550654963182724</v>
      </c>
    </row>
    <row r="112" spans="3:25" x14ac:dyDescent="0.25">
      <c r="C112" s="20" t="s">
        <v>11</v>
      </c>
      <c r="D112" s="25" t="str">
        <f t="shared" si="28"/>
        <v>Agr</v>
      </c>
      <c r="E112" s="5">
        <f t="shared" si="26"/>
        <v>0.43583692745231284</v>
      </c>
      <c r="F112" s="6">
        <f t="shared" si="26"/>
        <v>1.2174755043985801</v>
      </c>
      <c r="G112" s="6">
        <f t="shared" si="26"/>
        <v>0.49108154769693346</v>
      </c>
      <c r="H112" s="6">
        <f t="shared" si="26"/>
        <v>0.27819353516351697</v>
      </c>
      <c r="I112" s="6">
        <f t="shared" si="26"/>
        <v>0.70091998784306675</v>
      </c>
      <c r="J112" s="6">
        <f t="shared" si="26"/>
        <v>3.4503105160447856E-2</v>
      </c>
      <c r="K112" s="6">
        <f t="shared" si="26"/>
        <v>0.87870570662878489</v>
      </c>
      <c r="L112" s="6">
        <f t="shared" si="26"/>
        <v>0.74420976736361588</v>
      </c>
      <c r="M112" s="7">
        <f t="shared" si="26"/>
        <v>0.98721683029375473</v>
      </c>
      <c r="N112" s="8">
        <f t="shared" si="27"/>
        <v>5.7681429120010135</v>
      </c>
    </row>
    <row r="113" spans="1:14" x14ac:dyDescent="0.25">
      <c r="C113" s="20" t="s">
        <v>11</v>
      </c>
      <c r="D113" s="25" t="str">
        <f t="shared" si="28"/>
        <v>Ind</v>
      </c>
      <c r="E113" s="5">
        <f t="shared" si="26"/>
        <v>0.12672499842499874</v>
      </c>
      <c r="F113" s="6">
        <f t="shared" si="26"/>
        <v>0.917187859887858</v>
      </c>
      <c r="G113" s="6">
        <f t="shared" si="26"/>
        <v>6.2535742843435604E-3</v>
      </c>
      <c r="H113" s="6">
        <f t="shared" si="26"/>
        <v>0.26421532051607155</v>
      </c>
      <c r="I113" s="6">
        <f t="shared" si="26"/>
        <v>5.5009915240684659E-3</v>
      </c>
      <c r="J113" s="6">
        <f t="shared" si="26"/>
        <v>6.8371962064270042E-3</v>
      </c>
      <c r="K113" s="6">
        <f t="shared" si="26"/>
        <v>0.92249621854237329</v>
      </c>
      <c r="L113" s="6">
        <f t="shared" si="26"/>
        <v>0.75716125786895283</v>
      </c>
      <c r="M113" s="7">
        <f t="shared" si="26"/>
        <v>0.12991001361770627</v>
      </c>
      <c r="N113" s="8">
        <f t="shared" si="27"/>
        <v>3.1362874308727995</v>
      </c>
    </row>
    <row r="114" spans="1:14" x14ac:dyDescent="0.25">
      <c r="C114" s="20" t="s">
        <v>11</v>
      </c>
      <c r="D114" s="25" t="str">
        <f t="shared" si="28"/>
        <v>Serv</v>
      </c>
      <c r="E114" s="9">
        <f t="shared" si="26"/>
        <v>1.1987238998008269</v>
      </c>
      <c r="F114" s="10">
        <f t="shared" si="26"/>
        <v>0.25624894959510325</v>
      </c>
      <c r="G114" s="10">
        <f t="shared" si="26"/>
        <v>0.23877283631129842</v>
      </c>
      <c r="H114" s="10">
        <f t="shared" si="26"/>
        <v>0.30778784427377381</v>
      </c>
      <c r="I114" s="10">
        <f t="shared" si="26"/>
        <v>3.2505859005859061E-2</v>
      </c>
      <c r="J114" s="10">
        <f t="shared" si="26"/>
        <v>1.1987292050229109E-2</v>
      </c>
      <c r="K114" s="10">
        <f t="shared" si="26"/>
        <v>0.3865450256604106</v>
      </c>
      <c r="L114" s="10">
        <f t="shared" si="26"/>
        <v>2.8690010613087624E-2</v>
      </c>
      <c r="M114" s="11">
        <f t="shared" si="26"/>
        <v>0.85561089949551583</v>
      </c>
      <c r="N114" s="12">
        <f t="shared" si="27"/>
        <v>3.3168726168061049</v>
      </c>
    </row>
    <row r="115" spans="1:14" x14ac:dyDescent="0.25">
      <c r="C115" s="57"/>
      <c r="D115" s="57"/>
      <c r="N115" s="19">
        <f>+SUM(E106:M114)</f>
        <v>35.870078646896005</v>
      </c>
    </row>
    <row r="116" spans="1:14" x14ac:dyDescent="0.25">
      <c r="A116" s="66"/>
    </row>
    <row r="117" spans="1:14" x14ac:dyDescent="0.25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</row>
    <row r="118" spans="1:14" x14ac:dyDescent="0.25">
      <c r="A118" s="67"/>
      <c r="C118" s="20" t="s">
        <v>1</v>
      </c>
      <c r="D118" s="28" t="s">
        <v>51</v>
      </c>
      <c r="E118" s="53">
        <f t="shared" ref="E118:E126" si="29">+MAX(F60-H47-SUM(E78:M78),0)</f>
        <v>2.79538461538462</v>
      </c>
      <c r="F118" s="53" cm="1">
        <f t="array" ref="F118">+E118/_xlfn.XLOOKUP(D118,_xlfn.ANCHORARRAY($I$118),$K$118:$K$120,,0)</f>
        <v>0.17575947492487809</v>
      </c>
      <c r="G118" s="53" cm="1">
        <f t="array" ref="G118">+E118/_xlfn.XLOOKUP(D118,_xlfn.ANCHORARRAY($I$118),$J$118:$J$120,,0)</f>
        <v>0.2631578947368417</v>
      </c>
      <c r="I118" s="54" t="str" cm="1">
        <f t="array" ref="I118:I120">+_xlfn.UNIQUE(D118:D126)</f>
        <v>Agr</v>
      </c>
      <c r="J118" s="58">
        <f>+SUMIF($D$118:$D$126,I118,$E$118:$E$126)</f>
        <v>10.622461538461572</v>
      </c>
      <c r="K118" s="40">
        <f>+SUMIF($D$106:$D$114,I118,$N$106:$N$114)</f>
        <v>15.904602676921993</v>
      </c>
      <c r="L118" s="40">
        <f>+J118/K118</f>
        <v>0.66788600471453774</v>
      </c>
      <c r="M118" s="18"/>
    </row>
    <row r="119" spans="1:14" x14ac:dyDescent="0.25">
      <c r="C119" s="20" t="s">
        <v>1</v>
      </c>
      <c r="D119" s="25" t="s">
        <v>52</v>
      </c>
      <c r="E119" s="8">
        <f t="shared" si="29"/>
        <v>2.9169230769230836</v>
      </c>
      <c r="F119" s="8" cm="1">
        <f t="array" ref="F119">+E119/_xlfn.XLOOKUP(D119,_xlfn.ANCHORARRAY($I$118),$K$118:$K$120,,0)</f>
        <v>0.26039669972096613</v>
      </c>
      <c r="G119" s="8" cm="1">
        <f t="array" ref="G119">+E119/_xlfn.XLOOKUP(D119,_xlfn.ANCHORARRAY($I$118),$J$118:$J$120,,0)</f>
        <v>0.38430744595676491</v>
      </c>
      <c r="I119" s="55" t="str">
        <v>Ind</v>
      </c>
      <c r="J119" s="59">
        <f t="shared" ref="J119:J120" si="30">+SUMIF($D$118:$D$126,I119,$E$118:$E$126)</f>
        <v>7.5900769230769498</v>
      </c>
      <c r="K119" s="41">
        <f t="shared" ref="K119:K120" si="31">+SUMIF($D$106:$D$114,I119,$N$106:$N$114)</f>
        <v>11.201843495131763</v>
      </c>
      <c r="L119" s="41">
        <f t="shared" ref="L119:L120" si="32">+J119/K119</f>
        <v>0.6775739123989315</v>
      </c>
      <c r="M119" s="18"/>
    </row>
    <row r="120" spans="1:14" x14ac:dyDescent="0.25">
      <c r="C120" s="20" t="s">
        <v>1</v>
      </c>
      <c r="D120" s="25" t="s">
        <v>53</v>
      </c>
      <c r="E120" s="8">
        <f t="shared" si="29"/>
        <v>1.8340153846153875</v>
      </c>
      <c r="F120" s="8" cm="1">
        <f t="array" ref="F120">+E120/_xlfn.XLOOKUP(D120,_xlfn.ANCHORARRAY($I$118),$K$118:$K$120,,0)</f>
        <v>0.20927570729150202</v>
      </c>
      <c r="G120" s="8" cm="1">
        <f t="array" ref="G120">+E120/_xlfn.XLOOKUP(D120,_xlfn.ANCHORARRAY($I$118),$J$118:$J$120,,0)</f>
        <v>0.30896805896805901</v>
      </c>
      <c r="I120" s="56" t="str">
        <v>Serv</v>
      </c>
      <c r="J120" s="60">
        <f t="shared" si="30"/>
        <v>5.9359384615384698</v>
      </c>
      <c r="K120" s="42">
        <f t="shared" si="31"/>
        <v>8.7636324748422467</v>
      </c>
      <c r="L120" s="42">
        <f t="shared" si="32"/>
        <v>0.67733767687985136</v>
      </c>
      <c r="M120" s="18"/>
    </row>
    <row r="121" spans="1:14" x14ac:dyDescent="0.25">
      <c r="C121" s="20" t="s">
        <v>10</v>
      </c>
      <c r="D121" s="25" t="str">
        <f>+D118</f>
        <v>Agr</v>
      </c>
      <c r="E121" s="8">
        <f t="shared" si="29"/>
        <v>3.9378461538461664</v>
      </c>
      <c r="F121" s="8" cm="1">
        <f t="array" ref="F121">+E121/_xlfn.XLOOKUP(D121,_xlfn.ANCHORARRAY($I$118),$K$118:$K$120,,0)</f>
        <v>0.24759160815504605</v>
      </c>
      <c r="G121" s="8" cm="1">
        <f t="array" ref="G121">+E121/_xlfn.XLOOKUP(D121,_xlfn.ANCHORARRAY($I$118),$J$118:$J$120,,0)</f>
        <v>0.37070938215102978</v>
      </c>
    </row>
    <row r="122" spans="1:14" x14ac:dyDescent="0.25">
      <c r="C122" s="20" t="s">
        <v>10</v>
      </c>
      <c r="D122" s="25" t="str">
        <f t="shared" ref="D122:D126" si="33">+D119</f>
        <v>Ind</v>
      </c>
      <c r="E122" s="8">
        <f t="shared" si="29"/>
        <v>2.5826923076923194</v>
      </c>
      <c r="F122" s="8" cm="1">
        <f t="array" ref="F122">+E122/_xlfn.XLOOKUP(D122,_xlfn.ANCHORARRAY($I$118),$K$118:$K$120,,0)</f>
        <v>0.23055957787793929</v>
      </c>
      <c r="G122" s="8" cm="1">
        <f t="array" ref="G122">+E122/_xlfn.XLOOKUP(D122,_xlfn.ANCHORARRAY($I$118),$J$118:$J$120,,0)</f>
        <v>0.34027221777421973</v>
      </c>
      <c r="I122" s="20" t="s">
        <v>39</v>
      </c>
    </row>
    <row r="123" spans="1:14" x14ac:dyDescent="0.25">
      <c r="C123" s="20" t="s">
        <v>10</v>
      </c>
      <c r="D123" s="25" t="str">
        <f t="shared" si="33"/>
        <v>Serv</v>
      </c>
      <c r="E123" s="8">
        <f t="shared" si="29"/>
        <v>1.9142307692307732</v>
      </c>
      <c r="F123" s="8" cm="1">
        <f t="array" ref="F123">+E123/_xlfn.XLOOKUP(D123,_xlfn.ANCHORARRAY($I$118),$K$118:$K$120,,0)</f>
        <v>0.21842891914122986</v>
      </c>
      <c r="G123" s="8" cm="1">
        <f t="array" ref="G123">+E123/_xlfn.XLOOKUP(D123,_xlfn.ANCHORARRAY($I$118),$J$118:$J$120,,0)</f>
        <v>0.32248157248157272</v>
      </c>
      <c r="I123" s="69">
        <v>1</v>
      </c>
    </row>
    <row r="124" spans="1:14" x14ac:dyDescent="0.25">
      <c r="C124" s="20" t="s">
        <v>11</v>
      </c>
      <c r="D124" s="25" t="str">
        <f t="shared" si="33"/>
        <v>Agr</v>
      </c>
      <c r="E124" s="8">
        <f t="shared" si="29"/>
        <v>3.8892307692307853</v>
      </c>
      <c r="F124" s="8" cm="1">
        <f t="array" ref="F124">+E124/_xlfn.XLOOKUP(D124,_xlfn.ANCHORARRAY($I$118),$K$118:$K$120,,0)</f>
        <v>0.2445349216346136</v>
      </c>
      <c r="G124" s="8" cm="1">
        <f t="array" ref="G124">+E124/_xlfn.XLOOKUP(D124,_xlfn.ANCHORARRAY($I$118),$J$118:$J$120,,0)</f>
        <v>0.36613272311212852</v>
      </c>
    </row>
    <row r="125" spans="1:14" x14ac:dyDescent="0.25">
      <c r="C125" s="20" t="s">
        <v>11</v>
      </c>
      <c r="D125" s="25" t="str">
        <f t="shared" si="33"/>
        <v>Ind</v>
      </c>
      <c r="E125" s="8">
        <f t="shared" si="29"/>
        <v>2.0904615384615468</v>
      </c>
      <c r="F125" s="8" cm="1">
        <f t="array" ref="F125">+E125/_xlfn.XLOOKUP(D125,_xlfn.ANCHORARRAY($I$118),$K$118:$K$120,,0)</f>
        <v>0.18661763480002605</v>
      </c>
      <c r="G125" s="8" cm="1">
        <f t="array" ref="G125">+E125/_xlfn.XLOOKUP(D125,_xlfn.ANCHORARRAY($I$118),$J$118:$J$120,,0)</f>
        <v>0.27542033626901535</v>
      </c>
    </row>
    <row r="126" spans="1:14" x14ac:dyDescent="0.25">
      <c r="C126" s="20" t="s">
        <v>11</v>
      </c>
      <c r="D126" s="25" t="str">
        <f t="shared" si="33"/>
        <v>Serv</v>
      </c>
      <c r="E126" s="12">
        <f t="shared" si="29"/>
        <v>2.1876923076923092</v>
      </c>
      <c r="F126" s="12" cm="1">
        <f t="array" ref="F126">+E126/_xlfn.XLOOKUP(D126,_xlfn.ANCHORARRAY($I$118),$K$118:$K$120,,0)</f>
        <v>0.24963305044711948</v>
      </c>
      <c r="G126" s="12" cm="1">
        <f t="array" ref="G126">+E126/_xlfn.XLOOKUP(D126,_xlfn.ANCHORARRAY($I$118),$J$118:$J$120,,0)</f>
        <v>0.36855036855036827</v>
      </c>
    </row>
    <row r="127" spans="1:14" x14ac:dyDescent="0.25">
      <c r="E127" s="19">
        <f>SUM(E118:E126)</f>
        <v>24.148476923076991</v>
      </c>
      <c r="G127" s="19">
        <f>SUM(G118:G126)</f>
        <v>3</v>
      </c>
    </row>
    <row r="128" spans="1:14" x14ac:dyDescent="0.25">
      <c r="A128" s="64"/>
      <c r="E128" s="19"/>
      <c r="G128" s="19"/>
    </row>
    <row r="129" spans="1:24" ht="15.75" thickBot="1" x14ac:dyDescent="0.3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</row>
    <row r="130" spans="1:24" ht="15.75" thickBot="1" x14ac:dyDescent="0.3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</row>
    <row r="131" spans="1:24" x14ac:dyDescent="0.25">
      <c r="D131" s="28" t="str" cm="1">
        <f t="array" ref="D131:D133">+_xlfn.UNIQUE(D118:D126)</f>
        <v>Agr</v>
      </c>
      <c r="E131" s="1">
        <f t="shared" ref="E131:M133" si="34">+SUMIF($D$106:$D$114,$D131,E$106:E$114)</f>
        <v>2.6511459794536765</v>
      </c>
      <c r="F131" s="2">
        <f t="shared" si="34"/>
        <v>2.4101327085942446</v>
      </c>
      <c r="G131" s="2">
        <f t="shared" si="34"/>
        <v>1.3013390296467247</v>
      </c>
      <c r="H131" s="2">
        <f t="shared" si="34"/>
        <v>0.5222235685988037</v>
      </c>
      <c r="I131" s="2">
        <f t="shared" si="34"/>
        <v>1.3875516860132295</v>
      </c>
      <c r="J131" s="2">
        <f t="shared" si="34"/>
        <v>0.94236605969473208</v>
      </c>
      <c r="K131" s="2">
        <f t="shared" si="34"/>
        <v>2.4101327085942512</v>
      </c>
      <c r="L131" s="2">
        <f t="shared" si="34"/>
        <v>1.9900848631617913</v>
      </c>
      <c r="M131" s="3">
        <f t="shared" si="34"/>
        <v>2.2896260731645381</v>
      </c>
    </row>
    <row r="132" spans="1:24" x14ac:dyDescent="0.25">
      <c r="D132" s="25" t="str">
        <v>Ind</v>
      </c>
      <c r="E132" s="5">
        <f t="shared" si="34"/>
        <v>1.5671239904239942</v>
      </c>
      <c r="F132" s="6">
        <f t="shared" si="34"/>
        <v>1.567123990423988</v>
      </c>
      <c r="G132" s="6">
        <f t="shared" si="34"/>
        <v>0.71006493464955234</v>
      </c>
      <c r="H132" s="6">
        <f t="shared" si="34"/>
        <v>0.58386197701526221</v>
      </c>
      <c r="I132" s="6">
        <f t="shared" si="34"/>
        <v>0.62461258305104583</v>
      </c>
      <c r="J132" s="6">
        <f t="shared" si="34"/>
        <v>0.77633255107521204</v>
      </c>
      <c r="K132" s="6">
        <f t="shared" si="34"/>
        <v>2.1698639867409124</v>
      </c>
      <c r="L132" s="6">
        <f t="shared" si="34"/>
        <v>1.2740914935376517</v>
      </c>
      <c r="M132" s="7">
        <f t="shared" si="34"/>
        <v>1.9287679882141453</v>
      </c>
    </row>
    <row r="133" spans="1:24" x14ac:dyDescent="0.25">
      <c r="D133" s="25" t="str">
        <v>Serv</v>
      </c>
      <c r="E133" s="9">
        <f t="shared" si="34"/>
        <v>1.8855289940828464</v>
      </c>
      <c r="F133" s="10">
        <f t="shared" si="34"/>
        <v>0.82491893491124257</v>
      </c>
      <c r="G133" s="10">
        <f t="shared" si="34"/>
        <v>0.46276449704142086</v>
      </c>
      <c r="H133" s="10">
        <f t="shared" si="34"/>
        <v>0.54073231346514761</v>
      </c>
      <c r="I133" s="10">
        <f t="shared" si="34"/>
        <v>0.88199230769230952</v>
      </c>
      <c r="J133" s="10">
        <f t="shared" si="34"/>
        <v>0.32525519096288358</v>
      </c>
      <c r="K133" s="10">
        <f t="shared" si="34"/>
        <v>1.2963011834319538</v>
      </c>
      <c r="L133" s="10">
        <f t="shared" si="34"/>
        <v>0.77845562130177748</v>
      </c>
      <c r="M133" s="11">
        <f t="shared" si="34"/>
        <v>1.7676834319526658</v>
      </c>
      <c r="O133" s="19"/>
    </row>
    <row r="135" spans="1:24" ht="15.75" thickBot="1" x14ac:dyDescent="0.3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</row>
    <row r="136" spans="1:24" ht="15.75" thickBot="1" x14ac:dyDescent="0.3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</row>
    <row r="137" spans="1:24" x14ac:dyDescent="0.25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0.46596402529797981</v>
      </c>
      <c r="F137" s="2" cm="1">
        <f t="array" ref="F137">+$I$123*$G118*_xlfn.XLOOKUP($D137,_xlfn.ANCHORARRAY($I$118),$L$118:$L$120,,0)*_xlfn.XLOOKUP($D137,$D$131:$D$133,F$131:F$133,,0)</f>
        <v>0.42360365936179861</v>
      </c>
      <c r="G137" s="2" cm="1">
        <f t="array" ref="G137">+$I$123*$G118*_xlfn.XLOOKUP($D137,_xlfn.ANCHORARRAY($I$118),$L$118:$L$120,,0)*_xlfn.XLOOKUP($D137,$D$131:$D$133,G$131:G$133,,0)</f>
        <v>0.22872266454995868</v>
      </c>
      <c r="H137" s="2" cm="1">
        <f t="array" ref="H137">+$I$123*$G118*_xlfn.XLOOKUP($D137,_xlfn.ANCHORARRAY($I$118),$L$118:$L$120,,0)*_xlfn.XLOOKUP($D137,$D$131:$D$133,H$131:H$133,,0)</f>
        <v>9.1785740210321792E-2</v>
      </c>
      <c r="I137" s="2" cm="1">
        <f t="array" ref="I137">+$I$123*$G118*_xlfn.XLOOKUP($D137,_xlfn.ANCHORARRAY($I$118),$L$118:$L$120,,0)*_xlfn.XLOOKUP($D137,$D$131:$D$133,I$131:I$133,,0)</f>
        <v>0.24387535576481453</v>
      </c>
      <c r="J137" s="2" cm="1">
        <f t="array" ref="J137">+$I$123*$G118*_xlfn.XLOOKUP($D137,_xlfn.ANCHORARRAY($I$118),$L$118:$L$120,,0)*_xlfn.XLOOKUP($D137,$D$131:$D$133,J$131:J$133,,0)</f>
        <v>0.16562976383897243</v>
      </c>
      <c r="K137" s="2" cm="1">
        <f t="array" ref="K137">+$I$123*$G118*_xlfn.XLOOKUP($D137,_xlfn.ANCHORARRAY($I$118),$L$118:$L$120,,0)*_xlfn.XLOOKUP($D137,$D$131:$D$133,K$131:K$133,,0)</f>
        <v>0.42360365936179983</v>
      </c>
      <c r="L137" s="2" cm="1">
        <f t="array" ref="L137">+$I$123*$G118*_xlfn.XLOOKUP($D137,_xlfn.ANCHORARRAY($I$118),$L$118:$L$120,,0)*_xlfn.XLOOKUP($D137,$D$131:$D$133,L$131:L$133,,0)</f>
        <v>0.34977627060526428</v>
      </c>
      <c r="M137" s="3" cm="1">
        <f t="array" ref="M137">+$I$123*$G118*_xlfn.XLOOKUP($D137,_xlfn.ANCHORARRAY($I$118),$L$118:$L$120,,0)*_xlfn.XLOOKUP($D137,$D$131:$D$133,M$131:M$133,,0)</f>
        <v>0.40242347639370973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x14ac:dyDescent="0.25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0.408073915159959</v>
      </c>
      <c r="F138" s="6" cm="1">
        <f t="array" ref="F138">+$I$123*$G119*_xlfn.XLOOKUP($D138,_xlfn.ANCHORARRAY($I$118),$L$118:$L$120,,0)*_xlfn.XLOOKUP($D138,$D$131:$D$133,F$131:F$133,,0)</f>
        <v>0.40807391515995739</v>
      </c>
      <c r="G138" s="6" cm="1">
        <f t="array" ref="G138">+$I$123*$G119*_xlfn.XLOOKUP($D138,_xlfn.ANCHORARRAY($I$118),$L$118:$L$120,,0)*_xlfn.XLOOKUP($D138,$D$131:$D$133,G$131:G$133,,0)</f>
        <v>0.18489856557032691</v>
      </c>
      <c r="H138" s="6" cm="1">
        <f t="array" ref="H138">+$I$123*$G119*_xlfn.XLOOKUP($D138,_xlfn.ANCHORARRAY($I$118),$L$118:$L$120,,0)*_xlfn.XLOOKUP($D138,$D$131:$D$133,H$131:H$133,,0)</f>
        <v>0.15203573190733286</v>
      </c>
      <c r="I138" s="6" cm="1">
        <f t="array" ref="I138">+$I$123*$G119*_xlfn.XLOOKUP($D138,_xlfn.ANCHORARRAY($I$118),$L$118:$L$120,,0)*_xlfn.XLOOKUP($D138,$D$131:$D$133,I$131:I$133,,0)</f>
        <v>0.16264705523068021</v>
      </c>
      <c r="J138" s="6" cm="1">
        <f t="array" ref="J138">+$I$123*$G119*_xlfn.XLOOKUP($D138,_xlfn.ANCHORARRAY($I$118),$L$118:$L$120,,0)*_xlfn.XLOOKUP($D138,$D$131:$D$133,J$131:J$133,,0)</f>
        <v>0.20215443418594359</v>
      </c>
      <c r="K138" s="6" cm="1">
        <f t="array" ref="K138">+$I$123*$G119*_xlfn.XLOOKUP($D138,_xlfn.ANCHORARRAY($I$118),$L$118:$L$120,,0)*_xlfn.XLOOKUP($D138,$D$131:$D$133,K$131:K$133,,0)</f>
        <v>0.56502542099071185</v>
      </c>
      <c r="L138" s="6" cm="1">
        <f t="array" ref="L138">+$I$123*$G119*_xlfn.XLOOKUP($D138,_xlfn.ANCHORARRAY($I$118),$L$118:$L$120,,0)*_xlfn.XLOOKUP($D138,$D$131:$D$133,L$131:L$133,,0)</f>
        <v>0.33176922005976117</v>
      </c>
      <c r="M138" s="7" cm="1">
        <f t="array" ref="M138">+$I$123*$G119*_xlfn.XLOOKUP($D138,_xlfn.ANCHORARRAY($I$118),$L$118:$L$120,,0)*_xlfn.XLOOKUP($D138,$D$131:$D$133,M$131:M$133,,0)</f>
        <v>0.50224481865841075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1:24" x14ac:dyDescent="0.25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0.39459541385532199</v>
      </c>
      <c r="F139" s="6" cm="1">
        <f t="array" ref="F139">+$I$123*$G120*_xlfn.XLOOKUP($D139,_xlfn.ANCHORARRAY($I$118),$L$118:$L$120,,0)*_xlfn.XLOOKUP($D139,$D$131:$D$133,F$131:F$133,,0)</f>
        <v>0.1726354935617028</v>
      </c>
      <c r="G139" s="6" cm="1">
        <f t="array" ref="G139">+$I$123*$G120*_xlfn.XLOOKUP($D139,_xlfn.ANCHORARRAY($I$118),$L$118:$L$120,,0)*_xlfn.XLOOKUP($D139,$D$131:$D$133,G$131:G$133,,0)</f>
        <v>9.684536742773954E-2</v>
      </c>
      <c r="H139" s="6" cm="1">
        <f t="array" ref="H139">+$I$123*$G120*_xlfn.XLOOKUP($D139,_xlfn.ANCHORARRAY($I$118),$L$118:$L$120,,0)*_xlfn.XLOOKUP($D139,$D$131:$D$133,H$131:H$133,,0)</f>
        <v>0.11316213735578895</v>
      </c>
      <c r="I139" s="6" cm="1">
        <f t="array" ref="I139">+$I$123*$G120*_xlfn.XLOOKUP($D139,_xlfn.ANCHORARRAY($I$118),$L$118:$L$120,,0)*_xlfn.XLOOKUP($D139,$D$131:$D$133,I$131:I$133,,0)</f>
        <v>0.18457956401797215</v>
      </c>
      <c r="J139" s="6" cm="1">
        <f t="array" ref="J139">+$I$123*$G120*_xlfn.XLOOKUP($D139,_xlfn.ANCHORARRAY($I$118),$L$118:$L$120,,0)*_xlfn.XLOOKUP($D139,$D$131:$D$133,J$131:J$133,,0)</f>
        <v>6.8068010138990012E-2</v>
      </c>
      <c r="K139" s="6" cm="1">
        <f t="array" ref="K139">+$I$123*$G120*_xlfn.XLOOKUP($D139,_xlfn.ANCHORARRAY($I$118),$L$118:$L$120,,0)*_xlfn.XLOOKUP($D139,$D$131:$D$133,K$131:K$133,,0)</f>
        <v>0.27128434702553322</v>
      </c>
      <c r="L139" s="6" cm="1">
        <f t="array" ref="L139">+$I$123*$G120*_xlfn.XLOOKUP($D139,_xlfn.ANCHORARRAY($I$118),$L$118:$L$120,,0)*_xlfn.XLOOKUP($D139,$D$131:$D$133,L$131:L$133,,0)</f>
        <v>0.16291185074297512</v>
      </c>
      <c r="M139" s="7" cm="1">
        <f t="array" ref="M139">+$I$123*$G120*_xlfn.XLOOKUP($D139,_xlfn.ANCHORARRAY($I$118),$L$118:$L$120,,0)*_xlfn.XLOOKUP($D139,$D$131:$D$133,M$131:M$133,,0)</f>
        <v>0.36993320048936379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x14ac:dyDescent="0.25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0.65640149650672042</v>
      </c>
      <c r="F140" s="6" cm="1">
        <f t="array" ref="F140">+$I$123*$G121*_xlfn.XLOOKUP($D140,_xlfn.ANCHORARRAY($I$118),$L$118:$L$120,,0)*_xlfn.XLOOKUP($D140,$D$131:$D$133,F$131:F$133,,0)</f>
        <v>0.59672863318792602</v>
      </c>
      <c r="G140" s="6" cm="1">
        <f t="array" ref="G140">+$I$123*$G121*_xlfn.XLOOKUP($D140,_xlfn.ANCHORARRAY($I$118),$L$118:$L$120,,0)*_xlfn.XLOOKUP($D140,$D$131:$D$133,G$131:G$133,,0)</f>
        <v>0.32220062310515968</v>
      </c>
      <c r="H140" s="6" cm="1">
        <f t="array" ref="H140">+$I$123*$G121*_xlfn.XLOOKUP($D140,_xlfn.ANCHORARRAY($I$118),$L$118:$L$120,,0)*_xlfn.XLOOKUP($D140,$D$131:$D$133,H$131:H$133,,0)</f>
        <v>0.12929817316584483</v>
      </c>
      <c r="I140" s="6" cm="1">
        <f t="array" ref="I140">+$I$123*$G121*_xlfn.XLOOKUP($D140,_xlfn.ANCHORARRAY($I$118),$L$118:$L$120,,0)*_xlfn.XLOOKUP($D140,$D$131:$D$133,I$131:I$133,,0)</f>
        <v>0.343546153338261</v>
      </c>
      <c r="J140" s="6" cm="1">
        <f t="array" ref="J140">+$I$123*$G121*_xlfn.XLOOKUP($D140,_xlfn.ANCHORARRAY($I$118),$L$118:$L$120,,0)*_xlfn.XLOOKUP($D140,$D$131:$D$133,J$131:J$133,,0)</f>
        <v>0.23332192819055284</v>
      </c>
      <c r="K140" s="6" cm="1">
        <f t="array" ref="K140">+$I$123*$G121*_xlfn.XLOOKUP($D140,_xlfn.ANCHORARRAY($I$118),$L$118:$L$120,,0)*_xlfn.XLOOKUP($D140,$D$131:$D$133,K$131:K$133,,0)</f>
        <v>0.59672863318792768</v>
      </c>
      <c r="L140" s="6" cm="1">
        <f t="array" ref="L140">+$I$123*$G121*_xlfn.XLOOKUP($D140,_xlfn.ANCHORARRAY($I$118),$L$118:$L$120,,0)*_xlfn.XLOOKUP($D140,$D$131:$D$133,L$131:L$133,,0)</f>
        <v>0.49272831163524267</v>
      </c>
      <c r="M140" s="7" cm="1">
        <f t="array" ref="M140">+$I$123*$G121*_xlfn.XLOOKUP($D140,_xlfn.ANCHORARRAY($I$118),$L$118:$L$120,,0)*_xlfn.XLOOKUP($D140,$D$131:$D$133,M$131:M$133,,0)</f>
        <v>0.56689220152853115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spans="1:24" x14ac:dyDescent="0.25">
      <c r="C141" s="20" t="s">
        <v>10</v>
      </c>
      <c r="D141" s="25" t="str">
        <f t="shared" ref="D141:D145" si="35">+D138</f>
        <v>Ind</v>
      </c>
      <c r="E141" s="5" cm="1">
        <f t="array" ref="E141">+$I$123*$G122*_xlfn.XLOOKUP($D141,_xlfn.ANCHORARRAY($I$118),$L$118:$L$120,,0)*_xlfn.XLOOKUP($D141,$D$131:$D$133,E$131:E$133,,0)</f>
        <v>0.36131544571454788</v>
      </c>
      <c r="F141" s="6" cm="1">
        <f t="array" ref="F141">+$I$123*$G122*_xlfn.XLOOKUP($D141,_xlfn.ANCHORARRAY($I$118),$L$118:$L$120,,0)*_xlfn.XLOOKUP($D141,$D$131:$D$133,F$131:F$133,,0)</f>
        <v>0.36131544571454643</v>
      </c>
      <c r="G141" s="6" cm="1">
        <f t="array" ref="G141">+$I$123*$G122*_xlfn.XLOOKUP($D141,_xlfn.ANCHORARRAY($I$118),$L$118:$L$120,,0)*_xlfn.XLOOKUP($D141,$D$131:$D$133,G$131:G$133,,0)</f>
        <v>0.16371227159872734</v>
      </c>
      <c r="H141" s="6" cm="1">
        <f t="array" ref="H141">+$I$123*$G122*_xlfn.XLOOKUP($D141,_xlfn.ANCHORARRAY($I$118),$L$118:$L$120,,0)*_xlfn.XLOOKUP($D141,$D$131:$D$133,H$131:H$133,,0)</f>
        <v>0.13461497095961794</v>
      </c>
      <c r="I141" s="6" cm="1">
        <f t="array" ref="I141">+$I$123*$G122*_xlfn.XLOOKUP($D141,_xlfn.ANCHORARRAY($I$118),$L$118:$L$120,,0)*_xlfn.XLOOKUP($D141,$D$131:$D$133,I$131:I$133,,0)</f>
        <v>0.14401041348549842</v>
      </c>
      <c r="J141" s="6" cm="1">
        <f t="array" ref="J141">+$I$123*$G122*_xlfn.XLOOKUP($D141,_xlfn.ANCHORARRAY($I$118),$L$118:$L$120,,0)*_xlfn.XLOOKUP($D141,$D$131:$D$133,J$131:J$133,,0)</f>
        <v>0.17899090526880462</v>
      </c>
      <c r="K141" s="6" cm="1">
        <f t="array" ref="K141">+$I$123*$G122*_xlfn.XLOOKUP($D141,_xlfn.ANCHORARRAY($I$118),$L$118:$L$120,,0)*_xlfn.XLOOKUP($D141,$D$131:$D$133,K$131:K$133,,0)</f>
        <v>0.50028292483552728</v>
      </c>
      <c r="L141" s="6" cm="1">
        <f t="array" ref="L141">+$I$123*$G122*_xlfn.XLOOKUP($D141,_xlfn.ANCHORARRAY($I$118),$L$118:$L$120,,0)*_xlfn.XLOOKUP($D141,$D$131:$D$133,L$131:L$133,,0)</f>
        <v>0.29375399692791421</v>
      </c>
      <c r="M141" s="7" cm="1">
        <f t="array" ref="M141">+$I$123*$G122*_xlfn.XLOOKUP($D141,_xlfn.ANCHORARRAY($I$118),$L$118:$L$120,,0)*_xlfn.XLOOKUP($D141,$D$131:$D$133,M$131:M$133,,0)</f>
        <v>0.44469593318713552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spans="1:24" x14ac:dyDescent="0.25">
      <c r="C142" s="20" t="s">
        <v>10</v>
      </c>
      <c r="D142" s="25" t="str">
        <f t="shared" si="35"/>
        <v>Serv</v>
      </c>
      <c r="E142" s="5" cm="1">
        <f t="array" ref="E142">+$I$123*$G123*_xlfn.XLOOKUP($D142,_xlfn.ANCHORARRAY($I$118),$L$118:$L$120,,0)*_xlfn.XLOOKUP($D142,$D$131:$D$133,E$131:E$133,,0)</f>
        <v>0.41185406018696652</v>
      </c>
      <c r="F142" s="6" cm="1">
        <f t="array" ref="F142">+$I$123*$G123*_xlfn.XLOOKUP($D142,_xlfn.ANCHORARRAY($I$118),$L$118:$L$120,,0)*_xlfn.XLOOKUP($D142,$D$131:$D$133,F$131:F$133,,0)</f>
        <v>0.18018615133179727</v>
      </c>
      <c r="G142" s="6" cm="1">
        <f t="array" ref="G142">+$I$123*$G123*_xlfn.XLOOKUP($D142,_xlfn.ANCHORARRAY($I$118),$L$118:$L$120,,0)*_xlfn.XLOOKUP($D142,$D$131:$D$133,G$131:G$133,,0)</f>
        <v>0.10108114890569242</v>
      </c>
      <c r="H142" s="6" cm="1">
        <f t="array" ref="H142">+$I$123*$G123*_xlfn.XLOOKUP($D142,_xlfn.ANCHORARRAY($I$118),$L$118:$L$120,,0)*_xlfn.XLOOKUP($D142,$D$131:$D$133,H$131:H$133,,0)</f>
        <v>0.11811157477492888</v>
      </c>
      <c r="I142" s="6" cm="1">
        <f t="array" ref="I142">+$I$123*$G123*_xlfn.XLOOKUP($D142,_xlfn.ANCHORARRAY($I$118),$L$118:$L$120,,0)*_xlfn.XLOOKUP($D142,$D$131:$D$133,I$131:I$133,,0)</f>
        <v>0.19265262646011019</v>
      </c>
      <c r="J142" s="6" cm="1">
        <f t="array" ref="J142">+$I$123*$G123*_xlfn.XLOOKUP($D142,_xlfn.ANCHORARRAY($I$118),$L$118:$L$120,,0)*_xlfn.XLOOKUP($D142,$D$131:$D$133,J$131:J$133,,0)</f>
        <v>7.104513980709698E-2</v>
      </c>
      <c r="K142" s="6" cm="1">
        <f t="array" ref="K142">+$I$123*$G123*_xlfn.XLOOKUP($D142,_xlfn.ANCHORARRAY($I$118),$L$118:$L$120,,0)*_xlfn.XLOOKUP($D142,$D$131:$D$133,K$131:K$133,,0)</f>
        <v>0.28314966637853883</v>
      </c>
      <c r="L142" s="6" cm="1">
        <f t="array" ref="L142">+$I$123*$G123*_xlfn.XLOOKUP($D142,_xlfn.ANCHORARRAY($I$118),$L$118:$L$120,,0)*_xlfn.XLOOKUP($D142,$D$131:$D$133,L$131:L$133,,0)</f>
        <v>0.17003721996036181</v>
      </c>
      <c r="M142" s="7" cm="1">
        <f t="array" ref="M142">+$I$123*$G123*_xlfn.XLOOKUP($D142,_xlfn.ANCHORARRAY($I$118),$L$118:$L$120,,0)*_xlfn.XLOOKUP($D142,$D$131:$D$133,M$131:M$133,,0)</f>
        <v>0.38611318142528051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1:24" x14ac:dyDescent="0.25">
      <c r="C143" s="20" t="s">
        <v>11</v>
      </c>
      <c r="D143" s="25" t="str">
        <f t="shared" si="35"/>
        <v>Agr</v>
      </c>
      <c r="E143" s="5" cm="1">
        <f t="array" ref="E143">+$I$123*$G124*_xlfn.XLOOKUP($D143,_xlfn.ANCHORARRAY($I$118),$L$118:$L$120,,0)*_xlfn.XLOOKUP($D143,$D$131:$D$133,E$131:E$133,,0)</f>
        <v>0.6482977743276257</v>
      </c>
      <c r="F143" s="6" cm="1">
        <f t="array" ref="F143">+$I$123*$G124*_xlfn.XLOOKUP($D143,_xlfn.ANCHORARRAY($I$118),$L$118:$L$120,,0)*_xlfn.XLOOKUP($D143,$D$131:$D$133,F$131:F$133,,0)</f>
        <v>0.58936161302511259</v>
      </c>
      <c r="G143" s="6" cm="1">
        <f t="array" ref="G143">+$I$123*$G124*_xlfn.XLOOKUP($D143,_xlfn.ANCHORARRAY($I$118),$L$118:$L$120,,0)*_xlfn.XLOOKUP($D143,$D$131:$D$133,G$131:G$133,,0)</f>
        <v>0.31822283763472592</v>
      </c>
      <c r="H143" s="6" cm="1">
        <f t="array" ref="H143">+$I$123*$G124*_xlfn.XLOOKUP($D143,_xlfn.ANCHORARRAY($I$118),$L$118:$L$120,,0)*_xlfn.XLOOKUP($D143,$D$131:$D$133,H$131:H$133,,0)</f>
        <v>0.12770189942305674</v>
      </c>
      <c r="I143" s="6" cm="1">
        <f t="array" ref="I143">+$I$123*$G124*_xlfn.XLOOKUP($D143,_xlfn.ANCHORARRAY($I$118),$L$118:$L$120,,0)*_xlfn.XLOOKUP($D143,$D$131:$D$133,I$131:I$133,,0)</f>
        <v>0.33930484280322104</v>
      </c>
      <c r="J143" s="6" cm="1">
        <f t="array" ref="J143">+$I$123*$G124*_xlfn.XLOOKUP($D143,_xlfn.ANCHORARRAY($I$118),$L$118:$L$120,,0)*_xlfn.XLOOKUP($D143,$D$131:$D$133,J$131:J$133,,0)</f>
        <v>0.23044141055857092</v>
      </c>
      <c r="K143" s="6" cm="1">
        <f t="array" ref="K143">+$I$123*$G124*_xlfn.XLOOKUP($D143,_xlfn.ANCHORARRAY($I$118),$L$118:$L$120,,0)*_xlfn.XLOOKUP($D143,$D$131:$D$133,K$131:K$133,,0)</f>
        <v>0.58936161302511425</v>
      </c>
      <c r="L143" s="6" cm="1">
        <f t="array" ref="L143">+$I$123*$G124*_xlfn.XLOOKUP($D143,_xlfn.ANCHORARRAY($I$118),$L$118:$L$120,,0)*_xlfn.XLOOKUP($D143,$D$131:$D$133,L$131:L$133,,0)</f>
        <v>0.48664524605949938</v>
      </c>
      <c r="M143" s="7" cm="1">
        <f t="array" ref="M143">+$I$123*$G124*_xlfn.XLOOKUP($D143,_xlfn.ANCHORARRAY($I$118),$L$118:$L$120,,0)*_xlfn.XLOOKUP($D143,$D$131:$D$133,M$131:M$133,,0)</f>
        <v>0.55989353237385842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spans="1:24" x14ac:dyDescent="0.25">
      <c r="C144" s="20" t="s">
        <v>11</v>
      </c>
      <c r="D144" s="25" t="str">
        <f t="shared" si="35"/>
        <v>Ind</v>
      </c>
      <c r="E144" s="5" cm="1">
        <f t="array" ref="E144">+$I$123*$G125*_xlfn.XLOOKUP($D144,_xlfn.ANCHORARRAY($I$118),$L$118:$L$120,,0)*_xlfn.XLOOKUP($D144,$D$131:$D$133,E$131:E$133,,0)</f>
        <v>0.29245297253130453</v>
      </c>
      <c r="F144" s="6" cm="1">
        <f t="array" ref="F144">+$I$123*$G125*_xlfn.XLOOKUP($D144,_xlfn.ANCHORARRAY($I$118),$L$118:$L$120,,0)*_xlfn.XLOOKUP($D144,$D$131:$D$133,F$131:F$133,,0)</f>
        <v>0.29245297253130337</v>
      </c>
      <c r="G144" s="6" cm="1">
        <f t="array" ref="G144">+$I$123*$G125*_xlfn.XLOOKUP($D144,_xlfn.ANCHORARRAY($I$118),$L$118:$L$120,,0)*_xlfn.XLOOKUP($D144,$D$131:$D$133,G$131:G$133,,0)</f>
        <v>0.13251063865873455</v>
      </c>
      <c r="H144" s="6" cm="1">
        <f t="array" ref="H144">+$I$123*$G125*_xlfn.XLOOKUP($D144,_xlfn.ANCHORARRAY($I$118),$L$118:$L$120,,0)*_xlfn.XLOOKUP($D144,$D$131:$D$133,H$131:H$133,,0)</f>
        <v>0.10895894120025543</v>
      </c>
      <c r="I144" s="6" cm="1">
        <f t="array" ref="I144">+$I$123*$G125*_xlfn.XLOOKUP($D144,_xlfn.ANCHORARRAY($I$118),$L$118:$L$120,,0)*_xlfn.XLOOKUP($D144,$D$131:$D$133,I$131:I$133,,0)</f>
        <v>0.11656372291532104</v>
      </c>
      <c r="J144" s="6" cm="1">
        <f t="array" ref="J144">+$I$123*$G125*_xlfn.XLOOKUP($D144,_xlfn.ANCHORARRAY($I$118),$L$118:$L$120,,0)*_xlfn.XLOOKUP($D144,$D$131:$D$133,J$131:J$133,,0)</f>
        <v>0.14487734449992651</v>
      </c>
      <c r="K144" s="6" cm="1">
        <f t="array" ref="K144">+$I$123*$G125*_xlfn.XLOOKUP($D144,_xlfn.ANCHORARRAY($I$118),$L$118:$L$120,,0)*_xlfn.XLOOKUP($D144,$D$131:$D$133,K$131:K$133,,0)</f>
        <v>0.40493488504334424</v>
      </c>
      <c r="L144" s="6" cm="1">
        <f t="array" ref="L144">+$I$123*$G125*_xlfn.XLOOKUP($D144,_xlfn.ANCHORARRAY($I$118),$L$118:$L$120,,0)*_xlfn.XLOOKUP($D144,$D$131:$D$133,L$131:L$133,,0)</f>
        <v>0.23776794104282928</v>
      </c>
      <c r="M144" s="7" cm="1">
        <f t="array" ref="M144">+$I$123*$G125*_xlfn.XLOOKUP($D144,_xlfn.ANCHORARRAY($I$118),$L$118:$L$120,,0)*_xlfn.XLOOKUP($D144,$D$131:$D$133,M$131:M$133,,0)</f>
        <v>0.35994212003852838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3:24" x14ac:dyDescent="0.25">
      <c r="C145" s="20" t="s">
        <v>11</v>
      </c>
      <c r="D145" s="25" t="str">
        <f t="shared" si="35"/>
        <v>Serv</v>
      </c>
      <c r="E145" s="9" cm="1">
        <f t="array" ref="E145">+$I$123*$G126*_xlfn.XLOOKUP($D145,_xlfn.ANCHORARRAY($I$118),$L$118:$L$120,,0)*_xlfn.XLOOKUP($D145,$D$131:$D$133,E$131:E$133,,0)</f>
        <v>0.47069035449938962</v>
      </c>
      <c r="F145" s="10" cm="1">
        <f t="array" ref="F145">+$I$123*$G126*_xlfn.XLOOKUP($D145,_xlfn.ANCHORARRAY($I$118),$L$118:$L$120,,0)*_xlfn.XLOOKUP($D145,$D$131:$D$133,F$131:F$133,,0)</f>
        <v>0.20592703009348229</v>
      </c>
      <c r="G145" s="10" cm="1">
        <f t="array" ref="G145">+$I$123*$G126*_xlfn.XLOOKUP($D145,_xlfn.ANCHORARRAY($I$118),$L$118:$L$120,,0)*_xlfn.XLOOKUP($D145,$D$131:$D$133,G$131:G$133,,0)</f>
        <v>0.11552131303507689</v>
      </c>
      <c r="H145" s="10" cm="1">
        <f t="array" ref="H145">+$I$123*$G126*_xlfn.XLOOKUP($D145,_xlfn.ANCHORARRAY($I$118),$L$118:$L$120,,0)*_xlfn.XLOOKUP($D145,$D$131:$D$133,H$131:H$133,,0)</f>
        <v>0.13498465688563283</v>
      </c>
      <c r="I145" s="10" cm="1">
        <f t="array" ref="I145">+$I$123*$G126*_xlfn.XLOOKUP($D145,_xlfn.ANCHORARRAY($I$118),$L$118:$L$120,,0)*_xlfn.XLOOKUP($D145,$D$131:$D$133,I$131:I$133,,0)</f>
        <v>0.22017443024012562</v>
      </c>
      <c r="J145" s="10" cm="1">
        <f t="array" ref="J145">+$I$123*$G126*_xlfn.XLOOKUP($D145,_xlfn.ANCHORARRAY($I$118),$L$118:$L$120,,0)*_xlfn.XLOOKUP($D145,$D$131:$D$133,J$131:J$133,,0)</f>
        <v>8.1194445493824999E-2</v>
      </c>
      <c r="K145" s="10" cm="1">
        <f t="array" ref="K145">+$I$123*$G126*_xlfn.XLOOKUP($D145,_xlfn.ANCHORARRAY($I$118),$L$118:$L$120,,0)*_xlfn.XLOOKUP($D145,$D$131:$D$133,K$131:K$133,,0)</f>
        <v>0.3235996187183296</v>
      </c>
      <c r="L145" s="10" cm="1">
        <f t="array" ref="L145">+$I$123*$G126*_xlfn.XLOOKUP($D145,_xlfn.ANCHORARRAY($I$118),$L$118:$L$120,,0)*_xlfn.XLOOKUP($D145,$D$131:$D$133,L$131:L$133,,0)</f>
        <v>0.19432825138327034</v>
      </c>
      <c r="M145" s="11" cm="1">
        <f t="array" ref="M145">+$I$123*$G126*_xlfn.XLOOKUP($D145,_xlfn.ANCHORARRAY($I$118),$L$118:$L$120,,0)*_xlfn.XLOOKUP($D145,$D$131:$D$133,M$131:M$133,,0)</f>
        <v>0.44127220734317707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3:24" x14ac:dyDescent="0.25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4" x14ac:dyDescent="0.25">
      <c r="O147" s="19"/>
    </row>
    <row r="148" spans="3:24" ht="15.75" thickBot="1" x14ac:dyDescent="0.3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4" ht="15.75" thickBot="1" x14ac:dyDescent="0.3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4" x14ac:dyDescent="0.25">
      <c r="C150" s="20" t="s">
        <v>1</v>
      </c>
      <c r="D150" s="28" t="s">
        <v>51</v>
      </c>
      <c r="E150" s="1">
        <f t="shared" ref="E150:M158" si="36">+E78+E137</f>
        <v>9.4412945409361875</v>
      </c>
      <c r="F150" s="2">
        <f t="shared" si="36"/>
        <v>5.1249181141377926</v>
      </c>
      <c r="G150" s="2">
        <f t="shared" si="36"/>
        <v>9.2040531801881666</v>
      </c>
      <c r="H150" s="2">
        <f t="shared" si="36"/>
        <v>1.3406530267699164</v>
      </c>
      <c r="I150" s="2">
        <f t="shared" si="36"/>
        <v>0.71865134900234628</v>
      </c>
      <c r="J150" s="2">
        <f t="shared" si="36"/>
        <v>7.3316508965524116</v>
      </c>
      <c r="K150" s="2">
        <f t="shared" si="36"/>
        <v>3.4343027295224089</v>
      </c>
      <c r="L150" s="2">
        <f t="shared" si="36"/>
        <v>6.860400108306024</v>
      </c>
      <c r="M150" s="3">
        <f t="shared" si="36"/>
        <v>2.5440760545847509</v>
      </c>
      <c r="N150" s="19"/>
      <c r="O150" s="19"/>
    </row>
    <row r="151" spans="3:24" x14ac:dyDescent="0.25">
      <c r="C151" s="20" t="s">
        <v>1</v>
      </c>
      <c r="D151" s="25" t="s">
        <v>52</v>
      </c>
      <c r="E151" s="5">
        <f t="shared" si="36"/>
        <v>7.6213662228522647</v>
      </c>
      <c r="F151" s="6">
        <f t="shared" si="36"/>
        <v>3.394827761313802</v>
      </c>
      <c r="G151" s="6">
        <f t="shared" si="36"/>
        <v>8.2088192756294962</v>
      </c>
      <c r="H151" s="6">
        <f t="shared" si="36"/>
        <v>4.192173010013839</v>
      </c>
      <c r="I151" s="6">
        <f t="shared" si="36"/>
        <v>2.1653760493135201</v>
      </c>
      <c r="J151" s="6">
        <f t="shared" si="36"/>
        <v>9.1407414164344623</v>
      </c>
      <c r="K151" s="6">
        <f t="shared" si="36"/>
        <v>2.0345603322333154</v>
      </c>
      <c r="L151" s="6">
        <f t="shared" si="36"/>
        <v>4.2678686283437823</v>
      </c>
      <c r="M151" s="7">
        <f t="shared" si="36"/>
        <v>6.9742673038655107</v>
      </c>
      <c r="N151" s="19"/>
      <c r="O151" s="19"/>
    </row>
    <row r="152" spans="3:24" x14ac:dyDescent="0.25">
      <c r="C152" s="20" t="s">
        <v>1</v>
      </c>
      <c r="D152" s="25" t="s">
        <v>53</v>
      </c>
      <c r="E152" s="5">
        <f t="shared" si="36"/>
        <v>0.46395399373697921</v>
      </c>
      <c r="F152" s="6">
        <f t="shared" si="36"/>
        <v>0.20297987225992789</v>
      </c>
      <c r="G152" s="6">
        <f t="shared" si="36"/>
        <v>0.13152465736856828</v>
      </c>
      <c r="H152" s="6">
        <f t="shared" si="36"/>
        <v>6.1083443858764976</v>
      </c>
      <c r="I152" s="6">
        <f t="shared" si="36"/>
        <v>3.6221641794025872</v>
      </c>
      <c r="J152" s="6">
        <f t="shared" si="36"/>
        <v>3.4753082468253798</v>
      </c>
      <c r="K152" s="6">
        <f t="shared" si="36"/>
        <v>6.2361222168480168</v>
      </c>
      <c r="L152" s="6">
        <f t="shared" si="36"/>
        <v>3.587491732399779</v>
      </c>
      <c r="M152" s="7">
        <f t="shared" si="36"/>
        <v>6.3521107152822616</v>
      </c>
      <c r="N152" s="19"/>
      <c r="O152" s="19"/>
    </row>
    <row r="153" spans="3:24" x14ac:dyDescent="0.25">
      <c r="C153" s="20" t="s">
        <v>10</v>
      </c>
      <c r="D153" s="25" t="str">
        <f>+D150</f>
        <v>Agr</v>
      </c>
      <c r="E153" s="5">
        <f t="shared" si="36"/>
        <v>8.2641707272759497</v>
      </c>
      <c r="F153" s="6">
        <f t="shared" si="36"/>
        <v>4.8232670947263863</v>
      </c>
      <c r="G153" s="6">
        <f t="shared" si="36"/>
        <v>3.7034313923359279</v>
      </c>
      <c r="H153" s="6">
        <f t="shared" si="36"/>
        <v>6.0464520193196893</v>
      </c>
      <c r="I153" s="6">
        <f t="shared" si="36"/>
        <v>8.796623076415182</v>
      </c>
      <c r="J153" s="6">
        <f t="shared" si="36"/>
        <v>7.8410911589597827</v>
      </c>
      <c r="K153" s="6">
        <f t="shared" si="36"/>
        <v>9.0498055562648485</v>
      </c>
      <c r="L153" s="6">
        <f t="shared" si="36"/>
        <v>8.1004975424044723</v>
      </c>
      <c r="M153" s="7">
        <f t="shared" si="36"/>
        <v>8.1746614322977607</v>
      </c>
      <c r="N153" s="19"/>
      <c r="O153" s="19"/>
    </row>
    <row r="154" spans="3:24" x14ac:dyDescent="0.25">
      <c r="C154" s="20" t="s">
        <v>10</v>
      </c>
      <c r="D154" s="25" t="str">
        <f t="shared" ref="D154:D158" si="37">+D151</f>
        <v>Ind</v>
      </c>
      <c r="E154" s="5">
        <f t="shared" si="36"/>
        <v>3.9303923687914697</v>
      </c>
      <c r="F154" s="6">
        <f t="shared" si="36"/>
        <v>2.2397769841760846</v>
      </c>
      <c r="G154" s="6">
        <f t="shared" si="36"/>
        <v>2.8730317982259459</v>
      </c>
      <c r="H154" s="6">
        <f t="shared" si="36"/>
        <v>5.4810055035039946</v>
      </c>
      <c r="I154" s="6">
        <f t="shared" si="36"/>
        <v>6.1912115969174488</v>
      </c>
      <c r="J154" s="6">
        <f t="shared" si="36"/>
        <v>3.7625175324877382</v>
      </c>
      <c r="K154" s="6">
        <f t="shared" si="36"/>
        <v>8.3681468301609705</v>
      </c>
      <c r="L154" s="6">
        <f t="shared" si="36"/>
        <v>2.2155646478154876</v>
      </c>
      <c r="M154" s="7">
        <f t="shared" si="36"/>
        <v>7.4383527379208632</v>
      </c>
      <c r="N154" s="19"/>
      <c r="O154" s="19"/>
    </row>
    <row r="155" spans="3:24" x14ac:dyDescent="0.25">
      <c r="C155" s="20" t="s">
        <v>10</v>
      </c>
      <c r="D155" s="25" t="str">
        <f t="shared" si="37"/>
        <v>Serv</v>
      </c>
      <c r="E155" s="5">
        <f t="shared" si="36"/>
        <v>5.483700214033119</v>
      </c>
      <c r="F155" s="6">
        <f t="shared" si="36"/>
        <v>4.4067246128702582</v>
      </c>
      <c r="G155" s="6">
        <f t="shared" si="36"/>
        <v>3.4823119181364608</v>
      </c>
      <c r="H155" s="6">
        <f t="shared" si="36"/>
        <v>0.96341926708262093</v>
      </c>
      <c r="I155" s="6">
        <f t="shared" si="36"/>
        <v>7.80042185722934</v>
      </c>
      <c r="J155" s="6">
        <f t="shared" si="36"/>
        <v>1.7616605244224812</v>
      </c>
      <c r="K155" s="6">
        <f t="shared" si="36"/>
        <v>1.128457358686231</v>
      </c>
      <c r="L155" s="6">
        <f t="shared" si="36"/>
        <v>5.2418833738065143</v>
      </c>
      <c r="M155" s="7">
        <f t="shared" si="36"/>
        <v>1.2314208737329726</v>
      </c>
      <c r="N155" s="19"/>
    </row>
    <row r="156" spans="3:24" x14ac:dyDescent="0.25">
      <c r="C156" s="20" t="s">
        <v>11</v>
      </c>
      <c r="D156" s="25" t="str">
        <f t="shared" si="37"/>
        <v>Agr</v>
      </c>
      <c r="E156" s="5">
        <f t="shared" si="36"/>
        <v>3.9108345452490108</v>
      </c>
      <c r="F156" s="6">
        <f t="shared" si="36"/>
        <v>9.7029964397368609</v>
      </c>
      <c r="G156" s="6">
        <f t="shared" si="36"/>
        <v>7.8072980700945731</v>
      </c>
      <c r="H156" s="6">
        <f t="shared" si="36"/>
        <v>8.2969453482818878</v>
      </c>
      <c r="I156" s="6">
        <f t="shared" si="36"/>
        <v>9.4529396695149686</v>
      </c>
      <c r="J156" s="6">
        <f t="shared" si="36"/>
        <v>0.79191562864817344</v>
      </c>
      <c r="K156" s="6">
        <f t="shared" si="36"/>
        <v>7.1670733628137864</v>
      </c>
      <c r="L156" s="6">
        <f t="shared" si="36"/>
        <v>8.9201118563722623</v>
      </c>
      <c r="M156" s="7">
        <f t="shared" si="36"/>
        <v>7.9498850792884834</v>
      </c>
      <c r="N156" s="19"/>
    </row>
    <row r="157" spans="3:24" x14ac:dyDescent="0.25">
      <c r="C157" s="20" t="s">
        <v>11</v>
      </c>
      <c r="D157" s="25" t="str">
        <f t="shared" si="37"/>
        <v>Ind</v>
      </c>
      <c r="E157" s="5">
        <f t="shared" si="36"/>
        <v>1.2410760494543813</v>
      </c>
      <c r="F157" s="6">
        <f t="shared" si="36"/>
        <v>7.1582298956082253</v>
      </c>
      <c r="G157" s="6">
        <f t="shared" si="36"/>
        <v>0.22787868599601296</v>
      </c>
      <c r="H157" s="6">
        <f t="shared" si="36"/>
        <v>7.8677275802535096</v>
      </c>
      <c r="I157" s="6">
        <f t="shared" si="36"/>
        <v>0.18808975841827974</v>
      </c>
      <c r="J157" s="6">
        <f t="shared" si="36"/>
        <v>0.25614006639341758</v>
      </c>
      <c r="K157" s="6">
        <f t="shared" si="36"/>
        <v>7.3104484945107986</v>
      </c>
      <c r="L157" s="6">
        <f t="shared" si="36"/>
        <v>8.8180022605694539</v>
      </c>
      <c r="M157" s="7">
        <f t="shared" si="36"/>
        <v>1.3324072087959251</v>
      </c>
      <c r="N157" s="19"/>
    </row>
    <row r="158" spans="3:24" x14ac:dyDescent="0.25">
      <c r="C158" s="20" t="s">
        <v>11</v>
      </c>
      <c r="D158" s="25" t="str">
        <f t="shared" si="37"/>
        <v>Serv</v>
      </c>
      <c r="E158" s="9">
        <f t="shared" si="36"/>
        <v>9.4439566266887365</v>
      </c>
      <c r="F158" s="10">
        <f t="shared" si="36"/>
        <v>2.1241252549455529</v>
      </c>
      <c r="G158" s="10">
        <f t="shared" si="36"/>
        <v>3.7568467568220583</v>
      </c>
      <c r="H158" s="10">
        <f t="shared" si="36"/>
        <v>9.173274597714034</v>
      </c>
      <c r="I158" s="10">
        <f t="shared" si="36"/>
        <v>0.64282827639397122</v>
      </c>
      <c r="J158" s="10">
        <f t="shared" si="36"/>
        <v>0.27626545141098463</v>
      </c>
      <c r="K158" s="10">
        <f t="shared" si="36"/>
        <v>3.2171528731561994</v>
      </c>
      <c r="L158" s="10">
        <f t="shared" si="36"/>
        <v>0.51944659457853637</v>
      </c>
      <c r="M158" s="11">
        <f t="shared" si="36"/>
        <v>6.8461035682899221</v>
      </c>
      <c r="N158" s="19"/>
    </row>
    <row r="159" spans="3:24" x14ac:dyDescent="0.25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397.38000000000022</v>
      </c>
    </row>
    <row r="161" spans="1:13" x14ac:dyDescent="0.25">
      <c r="A161" s="66"/>
    </row>
    <row r="162" spans="1:13" ht="15.75" thickBot="1" x14ac:dyDescent="0.3">
      <c r="A162" s="68" t="s">
        <v>41</v>
      </c>
      <c r="E162" s="20"/>
      <c r="F162" s="20"/>
      <c r="G162" s="20"/>
      <c r="H162" s="20"/>
      <c r="I162" s="20"/>
      <c r="J162" s="20"/>
      <c r="K162" s="20"/>
      <c r="L162" s="20"/>
      <c r="M162" s="20"/>
    </row>
    <row r="163" spans="1:13" ht="15.75" thickBot="1" x14ac:dyDescent="0.3">
      <c r="D163" s="23"/>
      <c r="E163" s="27"/>
      <c r="F163" s="26"/>
      <c r="G163" s="26"/>
      <c r="H163" s="26"/>
      <c r="I163" s="26"/>
      <c r="J163" s="26"/>
      <c r="K163" s="26"/>
      <c r="L163" s="26"/>
      <c r="M163" s="26"/>
    </row>
    <row r="164" spans="1:13" x14ac:dyDescent="0.25">
      <c r="D164" s="28"/>
      <c r="E164" s="1"/>
      <c r="F164" s="2"/>
      <c r="G164" s="2"/>
      <c r="H164" s="2"/>
      <c r="I164" s="2"/>
      <c r="J164" s="2"/>
      <c r="K164" s="2"/>
      <c r="L164" s="2"/>
      <c r="M164" s="3"/>
    </row>
    <row r="165" spans="1:13" x14ac:dyDescent="0.25">
      <c r="D165" s="25"/>
      <c r="E165" s="5"/>
      <c r="F165" s="6"/>
      <c r="G165" s="6"/>
      <c r="H165" s="6"/>
      <c r="I165" s="6"/>
      <c r="J165" s="6"/>
      <c r="K165" s="6"/>
      <c r="L165" s="6"/>
      <c r="M165" s="7"/>
    </row>
    <row r="166" spans="1:13" x14ac:dyDescent="0.25">
      <c r="D166" s="25"/>
      <c r="E166" s="9"/>
      <c r="F166" s="10"/>
      <c r="G166" s="10"/>
      <c r="H166" s="10"/>
      <c r="I166" s="10"/>
      <c r="J166" s="10"/>
      <c r="K166" s="10"/>
      <c r="L166" s="10"/>
      <c r="M166" s="11"/>
    </row>
    <row r="167" spans="1:13" x14ac:dyDescent="0.25">
      <c r="D167" s="25"/>
      <c r="E167" s="70"/>
      <c r="F167" s="71"/>
      <c r="G167" s="71"/>
      <c r="H167" s="71"/>
      <c r="I167" s="71"/>
      <c r="J167" s="71"/>
      <c r="K167" s="71"/>
      <c r="L167" s="71"/>
      <c r="M167" s="72"/>
    </row>
    <row r="169" spans="1:13" ht="15.75" thickBot="1" x14ac:dyDescent="0.3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</row>
    <row r="170" spans="1:13" ht="15.75" thickBot="1" x14ac:dyDescent="0.3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</row>
    <row r="171" spans="1:13" x14ac:dyDescent="0.25">
      <c r="D171" s="28" t="str" cm="1">
        <f t="array" ref="D171:D173">+_xlfn.UNIQUE($D$150:$D$158)</f>
        <v>Agr</v>
      </c>
      <c r="E171" s="121">
        <f>+IO_sub_model!E171</f>
        <v>0.30985915492957744</v>
      </c>
      <c r="F171" s="122">
        <f>+IO_sub_model!F171</f>
        <v>0.36363636363636365</v>
      </c>
      <c r="G171" s="122">
        <f>+IO_sub_model!G171</f>
        <v>0.46808510638297873</v>
      </c>
      <c r="H171" s="122">
        <f>+IO_sub_model!H171</f>
        <v>0.2073170731707317</v>
      </c>
      <c r="I171" s="122">
        <f>+IO_sub_model!I171</f>
        <v>0.4</v>
      </c>
      <c r="J171" s="122">
        <f>+IO_sub_model!J171</f>
        <v>0.30909090909090908</v>
      </c>
      <c r="K171" s="122">
        <f>+IO_sub_model!K171</f>
        <v>0.25316455696202533</v>
      </c>
      <c r="L171" s="122">
        <f>+IO_sub_model!L171</f>
        <v>0.38461538461538464</v>
      </c>
      <c r="M171" s="123">
        <f>+IO_sub_model!M171</f>
        <v>0.31666666666666665</v>
      </c>
    </row>
    <row r="172" spans="1:13" x14ac:dyDescent="0.25">
      <c r="D172" s="25" t="str">
        <v>Ind</v>
      </c>
      <c r="E172" s="124">
        <f>+IO_sub_model!E172</f>
        <v>0.18309859154929578</v>
      </c>
      <c r="F172" s="125">
        <f>+IO_sub_model!F172</f>
        <v>0.23636363636363636</v>
      </c>
      <c r="G172" s="125">
        <f>+IO_sub_model!G172</f>
        <v>0.25531914893617019</v>
      </c>
      <c r="H172" s="125">
        <f>+IO_sub_model!H172</f>
        <v>0.23170731707317074</v>
      </c>
      <c r="I172" s="125">
        <f>+IO_sub_model!I172</f>
        <v>0.18</v>
      </c>
      <c r="J172" s="125">
        <f>+IO_sub_model!J172</f>
        <v>0.25454545454545452</v>
      </c>
      <c r="K172" s="125">
        <f>+IO_sub_model!K172</f>
        <v>0.22784810126582278</v>
      </c>
      <c r="L172" s="125">
        <f>+IO_sub_model!L172</f>
        <v>0.24615384615384617</v>
      </c>
      <c r="M172" s="126">
        <f>+IO_sub_model!M172</f>
        <v>0.26666666666666666</v>
      </c>
    </row>
    <row r="173" spans="1:13" x14ac:dyDescent="0.25">
      <c r="D173" s="25" t="str">
        <v>Serv</v>
      </c>
      <c r="E173" s="127">
        <f>+IO_sub_model!E173</f>
        <v>0.22535211267605634</v>
      </c>
      <c r="F173" s="128">
        <f>+IO_sub_model!F173</f>
        <v>0.12727272727272726</v>
      </c>
      <c r="G173" s="128">
        <f>+IO_sub_model!G173</f>
        <v>0.1702127659574468</v>
      </c>
      <c r="H173" s="128">
        <f>+IO_sub_model!H173</f>
        <v>0.21951219512195122</v>
      </c>
      <c r="I173" s="128">
        <f>+IO_sub_model!I173</f>
        <v>0.26</v>
      </c>
      <c r="J173" s="128">
        <f>+IO_sub_model!J173</f>
        <v>0.10909090909090909</v>
      </c>
      <c r="K173" s="128">
        <f>+IO_sub_model!K173</f>
        <v>0.13924050632911392</v>
      </c>
      <c r="L173" s="128">
        <f>+IO_sub_model!L173</f>
        <v>0.15384615384615385</v>
      </c>
      <c r="M173" s="129">
        <f>+IO_sub_model!M173</f>
        <v>0.25</v>
      </c>
    </row>
    <row r="175" spans="1:13" ht="15.75" thickBot="1" x14ac:dyDescent="0.3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</row>
    <row r="176" spans="1:13" ht="15.75" thickBot="1" x14ac:dyDescent="0.3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</row>
    <row r="177" spans="2:14" x14ac:dyDescent="0.25">
      <c r="D177" s="28" t="str" cm="1">
        <f t="array" ref="D177:D179">+_xlfn.UNIQUE($D$150:$D$158)</f>
        <v>Agr</v>
      </c>
      <c r="E177" s="1">
        <f>+SUMIF($D$150:$D$158,$D177,E$150:E$158)</f>
        <v>21.616299813461147</v>
      </c>
      <c r="F177" s="2">
        <f t="shared" ref="F177:M179" si="38">+SUMIF($D$150:$D$158,$D177,F$150:F$158)</f>
        <v>19.651181648601039</v>
      </c>
      <c r="G177" s="2">
        <f t="shared" si="38"/>
        <v>20.714782642618665</v>
      </c>
      <c r="H177" s="2">
        <f t="shared" si="38"/>
        <v>15.684050394371493</v>
      </c>
      <c r="I177" s="2">
        <f t="shared" si="38"/>
        <v>18.968214094932499</v>
      </c>
      <c r="J177" s="2">
        <f t="shared" si="38"/>
        <v>15.964657684160368</v>
      </c>
      <c r="K177" s="2">
        <f t="shared" si="38"/>
        <v>19.651181648601046</v>
      </c>
      <c r="L177" s="2">
        <f t="shared" si="38"/>
        <v>23.881009507082759</v>
      </c>
      <c r="M177" s="3">
        <f t="shared" si="38"/>
        <v>18.668622566170995</v>
      </c>
    </row>
    <row r="178" spans="2:14" x14ac:dyDescent="0.25">
      <c r="D178" s="25" t="str">
        <v>Ind</v>
      </c>
      <c r="E178" s="5">
        <f t="shared" ref="E178:E179" si="39">+SUMIF($D$150:$D$158,$D178,E$150:E$158)</f>
        <v>12.792834641098116</v>
      </c>
      <c r="F178" s="6">
        <f t="shared" si="38"/>
        <v>12.792834641098111</v>
      </c>
      <c r="G178" s="6">
        <f t="shared" si="38"/>
        <v>11.309729759851455</v>
      </c>
      <c r="H178" s="6">
        <f t="shared" si="38"/>
        <v>17.540906093771341</v>
      </c>
      <c r="I178" s="6">
        <f t="shared" si="38"/>
        <v>8.5446774046492475</v>
      </c>
      <c r="J178" s="6">
        <f t="shared" si="38"/>
        <v>13.159399015315618</v>
      </c>
      <c r="K178" s="6">
        <f t="shared" si="38"/>
        <v>17.713155656905084</v>
      </c>
      <c r="L178" s="6">
        <f t="shared" si="38"/>
        <v>15.301435536728723</v>
      </c>
      <c r="M178" s="7">
        <f t="shared" si="38"/>
        <v>15.745027250582298</v>
      </c>
    </row>
    <row r="179" spans="2:14" x14ac:dyDescent="0.25">
      <c r="D179" s="25" t="str">
        <v>Serv</v>
      </c>
      <c r="E179" s="9">
        <f t="shared" si="39"/>
        <v>15.391610834458834</v>
      </c>
      <c r="F179" s="10">
        <f t="shared" si="38"/>
        <v>6.7338297400757394</v>
      </c>
      <c r="G179" s="10">
        <f t="shared" si="38"/>
        <v>7.3706833323270873</v>
      </c>
      <c r="H179" s="10">
        <f t="shared" si="38"/>
        <v>16.245038250673154</v>
      </c>
      <c r="I179" s="10">
        <f t="shared" si="38"/>
        <v>12.065414313025897</v>
      </c>
      <c r="J179" s="10">
        <f t="shared" si="38"/>
        <v>5.5132342226588458</v>
      </c>
      <c r="K179" s="10">
        <f t="shared" si="38"/>
        <v>10.581732448690447</v>
      </c>
      <c r="L179" s="10">
        <f t="shared" si="38"/>
        <v>9.3488217007848284</v>
      </c>
      <c r="M179" s="11">
        <f t="shared" si="38"/>
        <v>14.429635157305157</v>
      </c>
    </row>
    <row r="181" spans="2:14" x14ac:dyDescent="0.25">
      <c r="E181" s="1">
        <f>+E177/E171</f>
        <v>69.761694852533708</v>
      </c>
      <c r="F181" s="2">
        <f t="shared" ref="F181:M181" si="40">+F177/F171</f>
        <v>54.040749533652857</v>
      </c>
      <c r="G181" s="2">
        <f t="shared" si="40"/>
        <v>44.25430837286715</v>
      </c>
      <c r="H181" s="2">
        <f t="shared" si="40"/>
        <v>75.652478372850737</v>
      </c>
      <c r="I181" s="2">
        <f t="shared" si="40"/>
        <v>47.420535237331244</v>
      </c>
      <c r="J181" s="2">
        <f t="shared" si="40"/>
        <v>51.650363095812956</v>
      </c>
      <c r="K181" s="2">
        <f t="shared" si="40"/>
        <v>77.622167511974126</v>
      </c>
      <c r="L181" s="2">
        <f t="shared" si="40"/>
        <v>62.090624718415171</v>
      </c>
      <c r="M181" s="3">
        <f t="shared" si="40"/>
        <v>58.953544945803145</v>
      </c>
    </row>
    <row r="182" spans="2:14" x14ac:dyDescent="0.25">
      <c r="E182" s="5">
        <f t="shared" ref="E182:M183" si="41">+E178/E172</f>
        <v>69.868558424458939</v>
      </c>
      <c r="F182" s="6">
        <f t="shared" si="41"/>
        <v>54.123531173876621</v>
      </c>
      <c r="G182" s="6">
        <f t="shared" si="41"/>
        <v>44.296441559418206</v>
      </c>
      <c r="H182" s="6">
        <f t="shared" si="41"/>
        <v>75.702857878381565</v>
      </c>
      <c r="I182" s="6">
        <f t="shared" si="41"/>
        <v>47.470430025829152</v>
      </c>
      <c r="J182" s="6">
        <f t="shared" si="41"/>
        <v>51.697638988739932</v>
      </c>
      <c r="K182" s="6">
        <f t="shared" si="41"/>
        <v>77.741072049750088</v>
      </c>
      <c r="L182" s="6">
        <f t="shared" si="41"/>
        <v>62.162081867960438</v>
      </c>
      <c r="M182" s="7">
        <f t="shared" si="41"/>
        <v>59.043852189683619</v>
      </c>
    </row>
    <row r="183" spans="2:14" x14ac:dyDescent="0.25">
      <c r="E183" s="73">
        <f t="shared" si="41"/>
        <v>68.300273077911072</v>
      </c>
      <c r="F183" s="74">
        <f t="shared" si="41"/>
        <v>52.908662243452241</v>
      </c>
      <c r="G183" s="74">
        <f t="shared" si="41"/>
        <v>43.302764577421641</v>
      </c>
      <c r="H183" s="74">
        <f t="shared" si="41"/>
        <v>74.005174253066585</v>
      </c>
      <c r="I183" s="74">
        <f t="shared" si="41"/>
        <v>46.405439665484217</v>
      </c>
      <c r="J183" s="74">
        <f t="shared" si="41"/>
        <v>50.537980374372758</v>
      </c>
      <c r="K183" s="74">
        <f t="shared" si="41"/>
        <v>75.996078495140495</v>
      </c>
      <c r="L183" s="74">
        <f t="shared" si="41"/>
        <v>60.767341055101383</v>
      </c>
      <c r="M183" s="75">
        <f t="shared" si="41"/>
        <v>57.718540629220627</v>
      </c>
    </row>
    <row r="184" spans="2:14" x14ac:dyDescent="0.25">
      <c r="D184" s="25" t="s">
        <v>47</v>
      </c>
      <c r="E184" s="13">
        <f>+MIN(E181:E183)</f>
        <v>68.300273077911072</v>
      </c>
      <c r="F184" s="14">
        <f t="shared" ref="F184:M184" si="42">+MIN(F181:F183)</f>
        <v>52.908662243452241</v>
      </c>
      <c r="G184" s="14">
        <f t="shared" si="42"/>
        <v>43.302764577421641</v>
      </c>
      <c r="H184" s="14">
        <f t="shared" si="42"/>
        <v>74.005174253066585</v>
      </c>
      <c r="I184" s="14">
        <f t="shared" si="42"/>
        <v>46.405439665484217</v>
      </c>
      <c r="J184" s="14">
        <f t="shared" si="42"/>
        <v>50.537980374372758</v>
      </c>
      <c r="K184" s="14">
        <f t="shared" si="42"/>
        <v>75.996078495140495</v>
      </c>
      <c r="L184" s="14">
        <f t="shared" si="42"/>
        <v>60.767341055101383</v>
      </c>
      <c r="M184" s="15">
        <f t="shared" si="42"/>
        <v>57.718540629220627</v>
      </c>
      <c r="N184" s="19">
        <f>+SUM(E184:M184)</f>
        <v>529.94225437117097</v>
      </c>
    </row>
    <row r="187" spans="2:14" x14ac:dyDescent="0.25">
      <c r="C187" s="115" t="s">
        <v>61</v>
      </c>
      <c r="D187" s="77" t="s">
        <v>66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</row>
    <row r="188" spans="2:14" x14ac:dyDescent="0.25">
      <c r="B188" s="18"/>
      <c r="C188" s="5" cm="1">
        <f t="array" ref="C188:C196">+H47:H55</f>
        <v>20.685384615384606</v>
      </c>
      <c r="D188" s="136">
        <f>+MAX(G188-SUM(E150:M150),0)</f>
        <v>22.300273077911072</v>
      </c>
      <c r="E188" s="117">
        <f>+C188-D188</f>
        <v>-1.6148884625264657</v>
      </c>
      <c r="F188" s="78">
        <f>+SUM(E150:M150)+C188</f>
        <v>66.685384615384606</v>
      </c>
      <c r="G188" s="79" cm="1">
        <f t="array" ref="G188:G196">+TRANSPOSE(E184:M184)</f>
        <v>68.300273077911072</v>
      </c>
      <c r="H188" s="117">
        <f>+F188-G188</f>
        <v>-1.6148884625264657</v>
      </c>
      <c r="I188" s="120" t="b">
        <f>+H188&lt;0.001</f>
        <v>1</v>
      </c>
    </row>
    <row r="189" spans="2:14" x14ac:dyDescent="0.25">
      <c r="B189" s="18"/>
      <c r="C189" s="5">
        <v>3.6576923076923222</v>
      </c>
      <c r="D189" s="79">
        <f t="shared" ref="D189:D196" si="43">+MAX(G189-SUM(E151:M151),0)</f>
        <v>4.9086622434522553</v>
      </c>
      <c r="E189" s="117">
        <f t="shared" ref="E189:E196" si="44">+C189-D189</f>
        <v>-1.2509699357599331</v>
      </c>
      <c r="F189" s="78">
        <f>+SUM(E151:M151)+C189</f>
        <v>51.657692307692308</v>
      </c>
      <c r="G189" s="79">
        <v>52.908662243452241</v>
      </c>
      <c r="H189" s="117">
        <f t="shared" ref="H189:H196" si="45">+F189-G189</f>
        <v>-1.2509699357599331</v>
      </c>
      <c r="I189" s="120" t="b">
        <f t="shared" ref="I189:I196" si="46">+H189&lt;0.001</f>
        <v>1</v>
      </c>
    </row>
    <row r="190" spans="2:14" x14ac:dyDescent="0.25">
      <c r="B190" s="18"/>
      <c r="C190" s="5">
        <v>13.963846153846156</v>
      </c>
      <c r="D190" s="79">
        <f t="shared" si="43"/>
        <v>13.122764577421641</v>
      </c>
      <c r="E190" s="117">
        <f t="shared" si="44"/>
        <v>0.84108157642451431</v>
      </c>
      <c r="F190" s="78">
        <f t="shared" ref="F190:F196" si="47">+SUM(E152:M152)+C190</f>
        <v>44.143846153846155</v>
      </c>
      <c r="G190" s="79">
        <v>43.302764577421641</v>
      </c>
      <c r="H190" s="117">
        <f t="shared" si="45"/>
        <v>0.84108157642451431</v>
      </c>
      <c r="I190" s="120" t="b">
        <f t="shared" si="46"/>
        <v>0</v>
      </c>
    </row>
    <row r="191" spans="2:14" x14ac:dyDescent="0.25">
      <c r="B191" s="18"/>
      <c r="C191" s="5">
        <v>12.216923076923081</v>
      </c>
      <c r="D191" s="79">
        <f t="shared" si="43"/>
        <v>9.2051742530665734</v>
      </c>
      <c r="E191" s="117">
        <f t="shared" si="44"/>
        <v>3.0117488238565073</v>
      </c>
      <c r="F191" s="78">
        <f t="shared" si="47"/>
        <v>77.016923076923092</v>
      </c>
      <c r="G191" s="79">
        <v>74.005174253066585</v>
      </c>
      <c r="H191" s="117">
        <f t="shared" si="45"/>
        <v>3.0117488238565073</v>
      </c>
      <c r="I191" s="120" t="b">
        <f t="shared" si="46"/>
        <v>0</v>
      </c>
    </row>
    <row r="192" spans="2:14" x14ac:dyDescent="0.25">
      <c r="B192" s="18"/>
      <c r="C192" s="5">
        <v>4.4615384615384599</v>
      </c>
      <c r="D192" s="79">
        <f t="shared" si="43"/>
        <v>3.9054396654842094</v>
      </c>
      <c r="E192" s="117">
        <f t="shared" si="44"/>
        <v>0.5560987960542505</v>
      </c>
      <c r="F192" s="78">
        <f t="shared" si="47"/>
        <v>46.961538461538467</v>
      </c>
      <c r="G192" s="79">
        <v>46.405439665484217</v>
      </c>
      <c r="H192" s="117">
        <f t="shared" si="45"/>
        <v>0.5560987960542505</v>
      </c>
      <c r="I192" s="120" t="b">
        <f t="shared" si="46"/>
        <v>0</v>
      </c>
    </row>
    <row r="193" spans="2:13" x14ac:dyDescent="0.25">
      <c r="B193" s="18"/>
      <c r="C193" s="5">
        <v>20.157692307692312</v>
      </c>
      <c r="D193" s="79">
        <f t="shared" si="43"/>
        <v>19.037980374372765</v>
      </c>
      <c r="E193" s="117">
        <f t="shared" si="44"/>
        <v>1.1197119333195467</v>
      </c>
      <c r="F193" s="78">
        <f t="shared" si="47"/>
        <v>51.657692307692301</v>
      </c>
      <c r="G193" s="79">
        <v>50.537980374372758</v>
      </c>
      <c r="H193" s="117">
        <f t="shared" si="45"/>
        <v>1.1197119333195431</v>
      </c>
      <c r="I193" s="120" t="b">
        <f t="shared" si="46"/>
        <v>0</v>
      </c>
    </row>
    <row r="194" spans="2:13" x14ac:dyDescent="0.25">
      <c r="B194" s="18"/>
      <c r="C194" s="5">
        <v>10.199230769230766</v>
      </c>
      <c r="D194" s="79">
        <f t="shared" si="43"/>
        <v>11.996078495140495</v>
      </c>
      <c r="E194" s="117">
        <f t="shared" si="44"/>
        <v>-1.7968477259097284</v>
      </c>
      <c r="F194" s="78">
        <f t="shared" si="47"/>
        <v>74.199230769230766</v>
      </c>
      <c r="G194" s="79">
        <v>75.996078495140495</v>
      </c>
      <c r="H194" s="117">
        <f t="shared" si="45"/>
        <v>-1.7968477259097284</v>
      </c>
      <c r="I194" s="120" t="b">
        <f t="shared" si="46"/>
        <v>1</v>
      </c>
    </row>
    <row r="195" spans="2:13" x14ac:dyDescent="0.25">
      <c r="B195" s="18"/>
      <c r="C195" s="5">
        <v>26.649999999999991</v>
      </c>
      <c r="D195" s="79">
        <f t="shared" si="43"/>
        <v>26.367341055101377</v>
      </c>
      <c r="E195" s="117">
        <f t="shared" si="44"/>
        <v>0.2826589448986141</v>
      </c>
      <c r="F195" s="78">
        <f t="shared" si="47"/>
        <v>61.05</v>
      </c>
      <c r="G195" s="79">
        <v>60.767341055101383</v>
      </c>
      <c r="H195" s="117">
        <f t="shared" si="45"/>
        <v>0.2826589448986141</v>
      </c>
      <c r="I195" s="120" t="b">
        <f t="shared" si="46"/>
        <v>0</v>
      </c>
    </row>
    <row r="196" spans="2:13" x14ac:dyDescent="0.25">
      <c r="B196" s="18"/>
      <c r="C196" s="9">
        <v>20.353846153846149</v>
      </c>
      <c r="D196" s="79">
        <f t="shared" si="43"/>
        <v>21.718540629220634</v>
      </c>
      <c r="E196" s="118">
        <f t="shared" si="44"/>
        <v>-1.3646944753744847</v>
      </c>
      <c r="F196" s="80">
        <f t="shared" si="47"/>
        <v>56.353846153846142</v>
      </c>
      <c r="G196" s="81">
        <v>57.718540629220627</v>
      </c>
      <c r="H196" s="118">
        <f t="shared" si="45"/>
        <v>-1.3646944753744847</v>
      </c>
      <c r="I196" s="120" t="b">
        <f t="shared" si="46"/>
        <v>1</v>
      </c>
    </row>
    <row r="198" spans="2:13" ht="15.75" thickBot="1" x14ac:dyDescent="0.3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13" ht="15.75" thickBot="1" x14ac:dyDescent="0.3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13" x14ac:dyDescent="0.25">
      <c r="C200" s="20" t="s">
        <v>1</v>
      </c>
      <c r="D200" s="28" t="s">
        <v>51</v>
      </c>
      <c r="E200" s="1">
        <f t="shared" ref="E200:M208" si="48">+E150/E$184</f>
        <v>0.13823216387680282</v>
      </c>
      <c r="F200" s="2">
        <f t="shared" si="48"/>
        <v>9.6863498278526805E-2</v>
      </c>
      <c r="G200" s="2">
        <f t="shared" si="48"/>
        <v>0.21255116780666755</v>
      </c>
      <c r="H200" s="2">
        <f t="shared" si="48"/>
        <v>1.8115666104446246E-2</v>
      </c>
      <c r="I200" s="2">
        <f t="shared" si="48"/>
        <v>1.5486360094479831E-2</v>
      </c>
      <c r="J200" s="2">
        <f t="shared" si="48"/>
        <v>0.1450720990874857</v>
      </c>
      <c r="K200" s="2">
        <f t="shared" si="48"/>
        <v>4.5190525584053821E-2</v>
      </c>
      <c r="L200" s="2">
        <f t="shared" si="48"/>
        <v>0.11289617069282806</v>
      </c>
      <c r="M200" s="3">
        <f t="shared" si="48"/>
        <v>4.407727615512138E-2</v>
      </c>
    </row>
    <row r="201" spans="2:13" x14ac:dyDescent="0.25">
      <c r="C201" s="20" t="s">
        <v>1</v>
      </c>
      <c r="D201" s="25" t="s">
        <v>52</v>
      </c>
      <c r="E201" s="5">
        <f t="shared" si="48"/>
        <v>0.11158617497998091</v>
      </c>
      <c r="F201" s="6">
        <f t="shared" si="48"/>
        <v>6.4163931147851544E-2</v>
      </c>
      <c r="G201" s="6">
        <f t="shared" si="48"/>
        <v>0.18956801847957835</v>
      </c>
      <c r="H201" s="6">
        <f t="shared" si="48"/>
        <v>5.6647025729287113E-2</v>
      </c>
      <c r="I201" s="6">
        <f t="shared" si="48"/>
        <v>4.6662116875149436E-2</v>
      </c>
      <c r="J201" s="6">
        <f t="shared" si="48"/>
        <v>0.18086875155520915</v>
      </c>
      <c r="K201" s="6">
        <f t="shared" si="48"/>
        <v>2.6771912084429642E-2</v>
      </c>
      <c r="L201" s="6">
        <f t="shared" si="48"/>
        <v>7.0232933583087839E-2</v>
      </c>
      <c r="M201" s="7">
        <f t="shared" si="48"/>
        <v>0.12083235694865635</v>
      </c>
    </row>
    <row r="202" spans="2:13" x14ac:dyDescent="0.25">
      <c r="C202" s="20" t="s">
        <v>1</v>
      </c>
      <c r="D202" s="25" t="s">
        <v>53</v>
      </c>
      <c r="E202" s="5">
        <f t="shared" si="48"/>
        <v>6.7928570828368496E-3</v>
      </c>
      <c r="F202" s="6">
        <f t="shared" si="48"/>
        <v>3.8364204206476197E-3</v>
      </c>
      <c r="G202" s="6">
        <f t="shared" si="48"/>
        <v>3.0373270310123835E-3</v>
      </c>
      <c r="H202" s="6">
        <f t="shared" si="48"/>
        <v>8.2539423054238448E-2</v>
      </c>
      <c r="I202" s="6">
        <f t="shared" si="48"/>
        <v>7.8054732495007634E-2</v>
      </c>
      <c r="J202" s="6">
        <f t="shared" si="48"/>
        <v>6.8766266896325548E-2</v>
      </c>
      <c r="K202" s="6">
        <f t="shared" si="48"/>
        <v>8.2058473809892452E-2</v>
      </c>
      <c r="L202" s="6">
        <f t="shared" si="48"/>
        <v>5.903650990993313E-2</v>
      </c>
      <c r="M202" s="7">
        <f t="shared" si="48"/>
        <v>0.11005321073669763</v>
      </c>
    </row>
    <row r="203" spans="2:13" x14ac:dyDescent="0.25">
      <c r="C203" s="20" t="s">
        <v>10</v>
      </c>
      <c r="D203" s="25" t="str">
        <f>+D200</f>
        <v>Agr</v>
      </c>
      <c r="E203" s="5">
        <f t="shared" si="48"/>
        <v>0.12099762350655457</v>
      </c>
      <c r="F203" s="6">
        <f t="shared" si="48"/>
        <v>9.1162144159547223E-2</v>
      </c>
      <c r="G203" s="6">
        <f t="shared" si="48"/>
        <v>8.5524132892589547E-2</v>
      </c>
      <c r="H203" s="6">
        <f t="shared" si="48"/>
        <v>8.170309820017943E-2</v>
      </c>
      <c r="I203" s="6">
        <f t="shared" si="48"/>
        <v>0.18956017095896627</v>
      </c>
      <c r="J203" s="6">
        <f t="shared" si="48"/>
        <v>0.15515244378336718</v>
      </c>
      <c r="K203" s="6">
        <f t="shared" si="48"/>
        <v>0.11908253340787223</v>
      </c>
      <c r="L203" s="6">
        <f t="shared" si="48"/>
        <v>0.13330347192679151</v>
      </c>
      <c r="M203" s="7">
        <f t="shared" si="48"/>
        <v>0.1416297318536022</v>
      </c>
    </row>
    <row r="204" spans="2:13" x14ac:dyDescent="0.25">
      <c r="C204" s="20" t="s">
        <v>10</v>
      </c>
      <c r="D204" s="25" t="str">
        <f t="shared" ref="D204:D208" si="49">+D201</f>
        <v>Ind</v>
      </c>
      <c r="E204" s="5">
        <f t="shared" si="48"/>
        <v>5.7545778247592314E-2</v>
      </c>
      <c r="F204" s="6">
        <f t="shared" si="48"/>
        <v>4.233289766182418E-2</v>
      </c>
      <c r="G204" s="6">
        <f t="shared" si="48"/>
        <v>6.6347537536297727E-2</v>
      </c>
      <c r="H204" s="6">
        <f t="shared" si="48"/>
        <v>7.406246331859527E-2</v>
      </c>
      <c r="I204" s="6">
        <f t="shared" si="48"/>
        <v>0.13341564354409929</v>
      </c>
      <c r="J204" s="6">
        <f t="shared" si="48"/>
        <v>7.444930534651259E-2</v>
      </c>
      <c r="K204" s="6">
        <f t="shared" si="48"/>
        <v>0.11011287682029626</v>
      </c>
      <c r="L204" s="6">
        <f t="shared" si="48"/>
        <v>3.6459792535706026E-2</v>
      </c>
      <c r="M204" s="7">
        <f t="shared" si="48"/>
        <v>0.12887284842671712</v>
      </c>
    </row>
    <row r="205" spans="2:13" x14ac:dyDescent="0.25">
      <c r="C205" s="20" t="s">
        <v>10</v>
      </c>
      <c r="D205" s="25" t="str">
        <f t="shared" si="49"/>
        <v>Serv</v>
      </c>
      <c r="E205" s="5">
        <f t="shared" si="48"/>
        <v>8.0288115506914379E-2</v>
      </c>
      <c r="F205" s="6">
        <f t="shared" si="48"/>
        <v>8.328928432537748E-2</v>
      </c>
      <c r="G205" s="6">
        <f t="shared" si="48"/>
        <v>8.0417773602200038E-2</v>
      </c>
      <c r="H205" s="6">
        <f t="shared" si="48"/>
        <v>1.3018269017084293E-2</v>
      </c>
      <c r="I205" s="6">
        <f t="shared" si="48"/>
        <v>0.1680928338026543</v>
      </c>
      <c r="J205" s="6">
        <f t="shared" si="48"/>
        <v>3.4858150471636172E-2</v>
      </c>
      <c r="K205" s="6">
        <f t="shared" si="48"/>
        <v>1.4848889324708896E-2</v>
      </c>
      <c r="L205" s="6">
        <f t="shared" si="48"/>
        <v>8.6261522765219978E-2</v>
      </c>
      <c r="M205" s="7">
        <f t="shared" si="48"/>
        <v>2.1334927396094844E-2</v>
      </c>
    </row>
    <row r="206" spans="2:13" x14ac:dyDescent="0.25">
      <c r="C206" s="20" t="s">
        <v>11</v>
      </c>
      <c r="D206" s="25" t="str">
        <f t="shared" si="49"/>
        <v>Agr</v>
      </c>
      <c r="E206" s="5">
        <f t="shared" si="48"/>
        <v>5.7259427656868478E-2</v>
      </c>
      <c r="F206" s="6">
        <f t="shared" si="48"/>
        <v>0.18339145289838932</v>
      </c>
      <c r="G206" s="6">
        <f t="shared" si="48"/>
        <v>0.18029560343972478</v>
      </c>
      <c r="H206" s="6">
        <f t="shared" si="48"/>
        <v>0.11211304387865939</v>
      </c>
      <c r="I206" s="6">
        <f t="shared" si="48"/>
        <v>0.20370326706646735</v>
      </c>
      <c r="J206" s="6">
        <f t="shared" si="48"/>
        <v>1.5669712615776491E-2</v>
      </c>
      <c r="K206" s="6">
        <f t="shared" si="48"/>
        <v>9.4308463077763666E-2</v>
      </c>
      <c r="L206" s="6">
        <f t="shared" si="48"/>
        <v>0.14679121550314111</v>
      </c>
      <c r="M206" s="7">
        <f t="shared" si="48"/>
        <v>0.13773537918011339</v>
      </c>
    </row>
    <row r="207" spans="2:13" x14ac:dyDescent="0.25">
      <c r="C207" s="20" t="s">
        <v>11</v>
      </c>
      <c r="D207" s="25" t="str">
        <f t="shared" si="49"/>
        <v>Ind</v>
      </c>
      <c r="E207" s="5">
        <f t="shared" si="48"/>
        <v>1.8170879756786162E-2</v>
      </c>
      <c r="F207" s="6">
        <f t="shared" si="48"/>
        <v>0.13529410104286088</v>
      </c>
      <c r="G207" s="6">
        <f t="shared" si="48"/>
        <v>5.2624512134458613E-3</v>
      </c>
      <c r="H207" s="6">
        <f t="shared" si="48"/>
        <v>0.10631320930816525</v>
      </c>
      <c r="I207" s="6">
        <f t="shared" si="48"/>
        <v>4.0531834150076707E-3</v>
      </c>
      <c r="J207" s="6">
        <f t="shared" si="48"/>
        <v>5.0682687455255596E-3</v>
      </c>
      <c r="K207" s="6">
        <f t="shared" si="48"/>
        <v>9.6195075315343534E-2</v>
      </c>
      <c r="L207" s="6">
        <f t="shared" si="48"/>
        <v>0.1451108787625518</v>
      </c>
      <c r="M207" s="7">
        <f t="shared" si="48"/>
        <v>2.3084561637744871E-2</v>
      </c>
    </row>
    <row r="208" spans="2:13" x14ac:dyDescent="0.25">
      <c r="C208" s="20" t="s">
        <v>11</v>
      </c>
      <c r="D208" s="25" t="str">
        <f t="shared" si="49"/>
        <v>Serv</v>
      </c>
      <c r="E208" s="9">
        <f t="shared" si="48"/>
        <v>0.13827114008630512</v>
      </c>
      <c r="F208" s="10">
        <f t="shared" si="48"/>
        <v>4.0147022526702159E-2</v>
      </c>
      <c r="G208" s="10">
        <f t="shared" si="48"/>
        <v>8.6757665324234373E-2</v>
      </c>
      <c r="H208" s="10">
        <f t="shared" si="48"/>
        <v>0.12395450305062848</v>
      </c>
      <c r="I208" s="10">
        <f t="shared" si="48"/>
        <v>1.3852433702338109E-2</v>
      </c>
      <c r="J208" s="10">
        <f t="shared" si="48"/>
        <v>5.4664917229473569E-3</v>
      </c>
      <c r="K208" s="10">
        <f t="shared" si="48"/>
        <v>4.2333143194512562E-2</v>
      </c>
      <c r="L208" s="10">
        <f t="shared" si="48"/>
        <v>8.5481211710007696E-3</v>
      </c>
      <c r="M208" s="11">
        <f t="shared" si="48"/>
        <v>0.11861186186720753</v>
      </c>
    </row>
    <row r="211" spans="3:13" ht="15.75" thickBot="1" x14ac:dyDescent="0.3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.75" thickBot="1" x14ac:dyDescent="0.3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25">
      <c r="C213" s="20" t="s">
        <v>1</v>
      </c>
      <c r="D213" s="28" t="s">
        <v>51</v>
      </c>
      <c r="E213" s="1" cm="1">
        <f t="array" ref="E213:M221">+MINVERSE(_xlfn.MUNIT(COUNTA($D$213:$D$221))-E200:M208)</f>
        <v>1.3660309882349557</v>
      </c>
      <c r="F213" s="2">
        <v>0.32684039919492575</v>
      </c>
      <c r="G213" s="2">
        <v>0.49494094342611972</v>
      </c>
      <c r="H213" s="2">
        <v>0.23394782117202575</v>
      </c>
      <c r="I213" s="2">
        <v>0.2739069972169213</v>
      </c>
      <c r="J213" s="2">
        <v>0.36829835117044257</v>
      </c>
      <c r="K213" s="2">
        <v>0.24677834365898385</v>
      </c>
      <c r="L213" s="2">
        <v>0.37222356146006536</v>
      </c>
      <c r="M213" s="3">
        <v>0.30979217464402253</v>
      </c>
    </row>
    <row r="214" spans="3:13" x14ac:dyDescent="0.25">
      <c r="C214" s="20" t="s">
        <v>1</v>
      </c>
      <c r="D214" s="25" t="s">
        <v>52</v>
      </c>
      <c r="E214" s="5">
        <v>0.36007779767347553</v>
      </c>
      <c r="F214" s="6">
        <v>1.2990869677768309</v>
      </c>
      <c r="G214" s="6">
        <v>0.48325863645175415</v>
      </c>
      <c r="H214" s="6">
        <v>0.28516444843083238</v>
      </c>
      <c r="I214" s="6">
        <v>0.32605634294118396</v>
      </c>
      <c r="J214" s="6">
        <v>0.41091335570109822</v>
      </c>
      <c r="K214" s="6">
        <v>0.23830497130710021</v>
      </c>
      <c r="L214" s="6">
        <v>0.3324613368062535</v>
      </c>
      <c r="M214" s="7">
        <v>0.40583628057630894</v>
      </c>
    </row>
    <row r="215" spans="3:13" x14ac:dyDescent="0.25">
      <c r="C215" s="20" t="s">
        <v>1</v>
      </c>
      <c r="D215" s="25" t="s">
        <v>53</v>
      </c>
      <c r="E215" s="5">
        <v>0.17300251037057798</v>
      </c>
      <c r="F215" s="6">
        <v>0.1695605086239072</v>
      </c>
      <c r="G215" s="6">
        <v>1.1978402321002595</v>
      </c>
      <c r="H215" s="6">
        <v>0.24321826485223319</v>
      </c>
      <c r="I215" s="6">
        <v>0.27414902820053016</v>
      </c>
      <c r="J215" s="6">
        <v>0.2100734366997247</v>
      </c>
      <c r="K215" s="6">
        <v>0.23004710438310708</v>
      </c>
      <c r="L215" s="6">
        <v>0.23288936240834562</v>
      </c>
      <c r="M215" s="7">
        <v>0.30776567823753626</v>
      </c>
    </row>
    <row r="216" spans="3:13" x14ac:dyDescent="0.25">
      <c r="C216" s="20" t="s">
        <v>10</v>
      </c>
      <c r="D216" s="25" t="str">
        <f>+D213</f>
        <v>Agr</v>
      </c>
      <c r="E216" s="5">
        <v>0.46957292654013127</v>
      </c>
      <c r="F216" s="6">
        <v>0.43714362474505175</v>
      </c>
      <c r="G216" s="6">
        <v>0.50946942929974459</v>
      </c>
      <c r="H216" s="6">
        <v>1.410210821046316</v>
      </c>
      <c r="I216" s="6">
        <v>0.58966486021623965</v>
      </c>
      <c r="J216" s="6">
        <v>0.47369025758668287</v>
      </c>
      <c r="K216" s="6">
        <v>0.4267602222110316</v>
      </c>
      <c r="L216" s="6">
        <v>0.50473804761581498</v>
      </c>
      <c r="M216" s="7">
        <v>0.55122671948162383</v>
      </c>
    </row>
    <row r="217" spans="3:13" x14ac:dyDescent="0.25">
      <c r="C217" s="20" t="s">
        <v>10</v>
      </c>
      <c r="D217" s="25" t="str">
        <f t="shared" ref="D217:D221" si="50">+D214</f>
        <v>Ind</v>
      </c>
      <c r="E217" s="5">
        <v>0.2941204284691174</v>
      </c>
      <c r="F217" s="6">
        <v>0.27095283704423945</v>
      </c>
      <c r="G217" s="6">
        <v>0.35192624221600988</v>
      </c>
      <c r="H217" s="6">
        <v>0.29910050210839362</v>
      </c>
      <c r="I217" s="6">
        <v>1.4092867889058633</v>
      </c>
      <c r="J217" s="6">
        <v>0.28584751296551075</v>
      </c>
      <c r="K217" s="6">
        <v>0.31900383059861631</v>
      </c>
      <c r="L217" s="6">
        <v>0.27990591369218293</v>
      </c>
      <c r="M217" s="7">
        <v>0.41402076548195971</v>
      </c>
    </row>
    <row r="218" spans="3:13" x14ac:dyDescent="0.25">
      <c r="C218" s="20" t="s">
        <v>10</v>
      </c>
      <c r="D218" s="25" t="str">
        <f t="shared" si="50"/>
        <v>Serv</v>
      </c>
      <c r="E218" s="5">
        <v>0.24867622200393236</v>
      </c>
      <c r="F218" s="6">
        <v>0.24953378048955488</v>
      </c>
      <c r="G218" s="6">
        <v>0.28863291552138953</v>
      </c>
      <c r="H218" s="6">
        <v>0.17504521227102771</v>
      </c>
      <c r="I218" s="6">
        <v>0.36060367018611578</v>
      </c>
      <c r="J218" s="6">
        <v>1.2022625734017589</v>
      </c>
      <c r="K218" s="6">
        <v>0.1716619224459944</v>
      </c>
      <c r="L218" s="6">
        <v>0.26900020482268239</v>
      </c>
      <c r="M218" s="7">
        <v>0.22651222644563301</v>
      </c>
    </row>
    <row r="219" spans="3:13" x14ac:dyDescent="0.25">
      <c r="C219" s="20" t="s">
        <v>11</v>
      </c>
      <c r="D219" s="25" t="str">
        <f t="shared" si="50"/>
        <v>Agr</v>
      </c>
      <c r="E219" s="5">
        <v>0.4071891689634638</v>
      </c>
      <c r="F219" s="6">
        <v>0.52516570805604212</v>
      </c>
      <c r="G219" s="6">
        <v>0.60321267482254659</v>
      </c>
      <c r="H219" s="6">
        <v>0.45870737953621243</v>
      </c>
      <c r="I219" s="6">
        <v>0.60292106815184865</v>
      </c>
      <c r="J219" s="6">
        <v>0.35181630362340927</v>
      </c>
      <c r="K219" s="6">
        <v>1.4160363692633846</v>
      </c>
      <c r="L219" s="6">
        <v>0.52018792037971584</v>
      </c>
      <c r="M219" s="7">
        <v>0.57297077163217058</v>
      </c>
    </row>
    <row r="220" spans="3:13" x14ac:dyDescent="0.25">
      <c r="C220" s="20" t="s">
        <v>11</v>
      </c>
      <c r="D220" s="25" t="str">
        <f t="shared" si="50"/>
        <v>Ind</v>
      </c>
      <c r="E220" s="5">
        <v>0.20338925631360846</v>
      </c>
      <c r="F220" s="6">
        <v>0.33582263215544594</v>
      </c>
      <c r="G220" s="6">
        <v>0.23783821431961821</v>
      </c>
      <c r="H220" s="6">
        <v>0.28921397105222435</v>
      </c>
      <c r="I220" s="6">
        <v>0.21512958675995927</v>
      </c>
      <c r="J220" s="6">
        <v>0.18638108297264108</v>
      </c>
      <c r="K220" s="6">
        <v>0.26495505573155659</v>
      </c>
      <c r="L220" s="6">
        <v>1.3616433149651719</v>
      </c>
      <c r="M220" s="7">
        <v>0.24541589012720452</v>
      </c>
    </row>
    <row r="221" spans="3:13" x14ac:dyDescent="0.25">
      <c r="C221" s="20" t="s">
        <v>11</v>
      </c>
      <c r="D221" s="25" t="str">
        <f t="shared" si="50"/>
        <v>Serv</v>
      </c>
      <c r="E221" s="9">
        <v>0.34146539631097833</v>
      </c>
      <c r="F221" s="10">
        <v>0.2229025473997488</v>
      </c>
      <c r="G221" s="10">
        <v>0.32781482536496392</v>
      </c>
      <c r="H221" s="10">
        <v>0.3025802919555019</v>
      </c>
      <c r="I221" s="10">
        <v>0.22316564796756494</v>
      </c>
      <c r="J221" s="10">
        <v>0.19444559644549544</v>
      </c>
      <c r="K221" s="10">
        <v>0.20889124458468192</v>
      </c>
      <c r="L221" s="10">
        <v>0.21170371986476325</v>
      </c>
      <c r="M221" s="11">
        <v>1.3472877280700242</v>
      </c>
    </row>
    <row r="223" spans="3:13" x14ac:dyDescent="0.25">
      <c r="E223" s="16"/>
      <c r="F223" s="16"/>
      <c r="G223" s="18"/>
      <c r="I223" s="16"/>
      <c r="L223" s="16"/>
    </row>
    <row r="224" spans="3:13" x14ac:dyDescent="0.25">
      <c r="E224" s="16"/>
      <c r="F224" s="16"/>
      <c r="G224" s="18"/>
      <c r="I224" s="16"/>
      <c r="L224" s="16"/>
    </row>
    <row r="225" spans="5:12" x14ac:dyDescent="0.25">
      <c r="E225" s="16"/>
      <c r="F225" s="16"/>
      <c r="G225" s="18"/>
      <c r="I225" s="16"/>
      <c r="L225" s="16"/>
    </row>
    <row r="226" spans="5:12" x14ac:dyDescent="0.25">
      <c r="E226" s="16"/>
      <c r="F226" s="16"/>
      <c r="G226" s="18"/>
      <c r="I226" s="16"/>
      <c r="L226" s="16"/>
    </row>
    <row r="227" spans="5:12" x14ac:dyDescent="0.25">
      <c r="E227" s="16"/>
      <c r="F227" s="16"/>
      <c r="G227" s="18"/>
      <c r="I227" s="16"/>
      <c r="L227" s="16"/>
    </row>
    <row r="228" spans="5:12" x14ac:dyDescent="0.25">
      <c r="E228" s="16"/>
      <c r="F228" s="16"/>
      <c r="G228" s="18"/>
      <c r="I228" s="16"/>
      <c r="L228" s="16"/>
    </row>
    <row r="229" spans="5:12" x14ac:dyDescent="0.25">
      <c r="E229" s="16"/>
      <c r="F229" s="16"/>
      <c r="G229" s="18"/>
      <c r="I229" s="16"/>
      <c r="L229" s="16"/>
    </row>
    <row r="230" spans="5:12" x14ac:dyDescent="0.25">
      <c r="E230" s="16"/>
      <c r="F230" s="16"/>
      <c r="G230" s="18"/>
      <c r="I230" s="16"/>
      <c r="L230" s="16"/>
    </row>
    <row r="231" spans="5:12" x14ac:dyDescent="0.25">
      <c r="E231" s="16"/>
      <c r="F231" s="16"/>
      <c r="G231" s="18"/>
      <c r="I231" s="16"/>
      <c r="L231" s="16"/>
    </row>
    <row r="234" spans="5:12" x14ac:dyDescent="0.25">
      <c r="E234" s="16"/>
    </row>
    <row r="235" spans="5:12" x14ac:dyDescent="0.25">
      <c r="E235" s="16"/>
      <c r="F235" s="18"/>
    </row>
    <row r="236" spans="5:12" x14ac:dyDescent="0.25">
      <c r="E236" s="16"/>
      <c r="F236" s="18"/>
    </row>
    <row r="237" spans="5:12" x14ac:dyDescent="0.25">
      <c r="E237" s="16"/>
      <c r="F237" s="18"/>
    </row>
    <row r="238" spans="5:12" x14ac:dyDescent="0.25">
      <c r="E238" s="16"/>
      <c r="F238" s="18"/>
    </row>
    <row r="239" spans="5:12" x14ac:dyDescent="0.25">
      <c r="E239" s="16"/>
      <c r="F239" s="18"/>
    </row>
    <row r="240" spans="5:12" x14ac:dyDescent="0.25">
      <c r="E240" s="16"/>
      <c r="F240" s="18"/>
    </row>
    <row r="241" spans="5:6" x14ac:dyDescent="0.25">
      <c r="E241" s="16"/>
      <c r="F241" s="18"/>
    </row>
    <row r="242" spans="5:6" x14ac:dyDescent="0.25">
      <c r="E242" s="16"/>
      <c r="F242" s="18"/>
    </row>
    <row r="243" spans="5:6" x14ac:dyDescent="0.25">
      <c r="F243" s="18"/>
    </row>
  </sheetData>
  <conditionalFormatting sqref="E106:M114">
    <cfRule type="expression" dxfId="11" priority="1">
      <formula>E106&lt;0</formula>
    </cfRule>
  </conditionalFormatting>
  <conditionalFormatting sqref="E131:M133">
    <cfRule type="expression" dxfId="10" priority="3">
      <formula>E131&lt;0</formula>
    </cfRule>
  </conditionalFormatting>
  <conditionalFormatting sqref="E137:M145">
    <cfRule type="expression" dxfId="9" priority="4">
      <formula>E137&lt;0</formula>
    </cfRule>
  </conditionalFormatting>
  <conditionalFormatting sqref="O137:W1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7EA4-027C-413F-9681-CD63E10B3BAB}">
  <dimension ref="A3:Y243"/>
  <sheetViews>
    <sheetView showGridLines="0" topLeftCell="A160" zoomScaleNormal="100" workbookViewId="0">
      <selection activeCell="N184" sqref="N184"/>
    </sheetView>
  </sheetViews>
  <sheetFormatPr defaultRowHeight="15" x14ac:dyDescent="0.25"/>
  <cols>
    <col min="1" max="1" width="12.7109375" style="65" customWidth="1"/>
    <col min="2" max="23" width="12.7109375" customWidth="1"/>
  </cols>
  <sheetData>
    <row r="3" spans="3:18" ht="15.75" thickBot="1" x14ac:dyDescent="0.3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.75" thickBot="1" x14ac:dyDescent="0.3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25">
      <c r="C5" s="20" t="s">
        <v>1</v>
      </c>
      <c r="D5" s="28" t="s">
        <v>51</v>
      </c>
      <c r="E5" s="82" cm="1">
        <f t="array" ref="E5:M13">+'IO_sub_model (2)'!E150:M158</f>
        <v>9.4412945409361875</v>
      </c>
      <c r="F5" s="83">
        <v>5.1249181141377926</v>
      </c>
      <c r="G5" s="83">
        <v>9.2040531801881666</v>
      </c>
      <c r="H5" s="83">
        <v>1.3406530267699164</v>
      </c>
      <c r="I5" s="83">
        <v>0.71865134900234628</v>
      </c>
      <c r="J5" s="83">
        <v>7.3316508965524116</v>
      </c>
      <c r="K5" s="83">
        <v>3.4343027295224089</v>
      </c>
      <c r="L5" s="83">
        <v>6.860400108306024</v>
      </c>
      <c r="M5" s="84">
        <v>2.5440760545847509</v>
      </c>
      <c r="N5" s="24">
        <f>+O5-SUM(E5:M5)</f>
        <v>22.300273077911072</v>
      </c>
      <c r="O5" s="29" cm="1">
        <f t="array" ref="O5:O13">+TRANSPOSE(_xlfn.ANCHORARRAY(E15))</f>
        <v>68.300273077911072</v>
      </c>
      <c r="P5" s="62" cm="1">
        <f t="array" ref="P5:P13">+MMULT(E21:M29,O5:O13)</f>
        <v>46</v>
      </c>
      <c r="Q5" s="61">
        <f>+P5+N5</f>
        <v>68.300273077911072</v>
      </c>
      <c r="R5" s="61" t="b">
        <f>+Q5=O5</f>
        <v>1</v>
      </c>
    </row>
    <row r="6" spans="3:18" x14ac:dyDescent="0.25">
      <c r="C6" s="20" t="s">
        <v>1</v>
      </c>
      <c r="D6" s="25" t="s">
        <v>52</v>
      </c>
      <c r="E6" s="85">
        <v>7.6213662228522647</v>
      </c>
      <c r="F6" s="86">
        <v>3.394827761313802</v>
      </c>
      <c r="G6" s="86">
        <v>8.2088192756294962</v>
      </c>
      <c r="H6" s="86">
        <v>4.192173010013839</v>
      </c>
      <c r="I6" s="86">
        <v>2.1653760493135201</v>
      </c>
      <c r="J6" s="86">
        <v>9.1407414164344623</v>
      </c>
      <c r="K6" s="86">
        <v>2.0345603322333154</v>
      </c>
      <c r="L6" s="86">
        <v>4.2678686283437823</v>
      </c>
      <c r="M6" s="87">
        <v>6.9742673038655107</v>
      </c>
      <c r="N6" s="24">
        <f t="shared" ref="N6:N13" si="0">+O6-SUM(E6:M6)</f>
        <v>4.9086622434522553</v>
      </c>
      <c r="O6" s="30">
        <v>52.908662243452241</v>
      </c>
      <c r="P6" s="62">
        <v>47.999999999999986</v>
      </c>
      <c r="Q6" s="61">
        <f t="shared" ref="Q6:Q13" si="1">+P6+N6</f>
        <v>52.908662243452241</v>
      </c>
      <c r="R6" s="61" t="b">
        <f t="shared" ref="R6:R13" si="2">+Q6=O6</f>
        <v>1</v>
      </c>
    </row>
    <row r="7" spans="3:18" x14ac:dyDescent="0.25">
      <c r="C7" s="20" t="s">
        <v>1</v>
      </c>
      <c r="D7" s="25" t="s">
        <v>53</v>
      </c>
      <c r="E7" s="85">
        <v>0.46395399373697921</v>
      </c>
      <c r="F7" s="86">
        <v>0.20297987225992789</v>
      </c>
      <c r="G7" s="86">
        <v>0.13152465736856828</v>
      </c>
      <c r="H7" s="86">
        <v>6.1083443858764976</v>
      </c>
      <c r="I7" s="86">
        <v>3.6221641794025872</v>
      </c>
      <c r="J7" s="86">
        <v>3.4753082468253798</v>
      </c>
      <c r="K7" s="86">
        <v>6.2361222168480168</v>
      </c>
      <c r="L7" s="86">
        <v>3.587491732399779</v>
      </c>
      <c r="M7" s="87">
        <v>6.3521107152822616</v>
      </c>
      <c r="N7" s="24">
        <f t="shared" si="0"/>
        <v>13.122764577421641</v>
      </c>
      <c r="O7" s="30">
        <v>43.302764577421641</v>
      </c>
      <c r="P7" s="62">
        <v>30.18</v>
      </c>
      <c r="Q7" s="61">
        <f t="shared" si="1"/>
        <v>43.302764577421641</v>
      </c>
      <c r="R7" s="61" t="b">
        <f t="shared" si="2"/>
        <v>1</v>
      </c>
    </row>
    <row r="8" spans="3:18" x14ac:dyDescent="0.25">
      <c r="C8" s="20" t="s">
        <v>10</v>
      </c>
      <c r="D8" s="25" t="str">
        <f>+D5</f>
        <v>Agr</v>
      </c>
      <c r="E8" s="85">
        <v>8.2641707272759497</v>
      </c>
      <c r="F8" s="86">
        <v>4.8232670947263863</v>
      </c>
      <c r="G8" s="86">
        <v>3.7034313923359279</v>
      </c>
      <c r="H8" s="86">
        <v>6.0464520193196893</v>
      </c>
      <c r="I8" s="86">
        <v>8.796623076415182</v>
      </c>
      <c r="J8" s="86">
        <v>7.8410911589597827</v>
      </c>
      <c r="K8" s="86">
        <v>9.0498055562648485</v>
      </c>
      <c r="L8" s="86">
        <v>8.1004975424044723</v>
      </c>
      <c r="M8" s="87">
        <v>8.1746614322977607</v>
      </c>
      <c r="N8" s="24">
        <f t="shared" si="0"/>
        <v>9.2051742530665734</v>
      </c>
      <c r="O8" s="30">
        <v>74.005174253066585</v>
      </c>
      <c r="P8" s="62">
        <v>64.800000000000011</v>
      </c>
      <c r="Q8" s="61">
        <f t="shared" si="1"/>
        <v>74.005174253066585</v>
      </c>
      <c r="R8" s="61" t="b">
        <f t="shared" si="2"/>
        <v>1</v>
      </c>
    </row>
    <row r="9" spans="3:18" x14ac:dyDescent="0.25">
      <c r="C9" s="20" t="s">
        <v>10</v>
      </c>
      <c r="D9" s="25" t="str">
        <f t="shared" ref="D9:D13" si="3">+D6</f>
        <v>Ind</v>
      </c>
      <c r="E9" s="85">
        <v>3.9303923687914697</v>
      </c>
      <c r="F9" s="86">
        <v>2.2397769841760846</v>
      </c>
      <c r="G9" s="86">
        <v>2.8730317982259459</v>
      </c>
      <c r="H9" s="86">
        <v>5.4810055035039946</v>
      </c>
      <c r="I9" s="86">
        <v>6.1912115969174488</v>
      </c>
      <c r="J9" s="86">
        <v>3.7625175324877382</v>
      </c>
      <c r="K9" s="86">
        <v>8.3681468301609705</v>
      </c>
      <c r="L9" s="86">
        <v>2.2155646478154876</v>
      </c>
      <c r="M9" s="87">
        <v>7.4383527379208632</v>
      </c>
      <c r="N9" s="24">
        <f t="shared" si="0"/>
        <v>3.9054396654842094</v>
      </c>
      <c r="O9" s="30">
        <v>46.405439665484217</v>
      </c>
      <c r="P9" s="62">
        <v>42.500000000000007</v>
      </c>
      <c r="Q9" s="61">
        <f t="shared" si="1"/>
        <v>46.405439665484217</v>
      </c>
      <c r="R9" s="61" t="b">
        <f t="shared" si="2"/>
        <v>1</v>
      </c>
    </row>
    <row r="10" spans="3:18" x14ac:dyDescent="0.25">
      <c r="C10" s="20" t="s">
        <v>10</v>
      </c>
      <c r="D10" s="25" t="str">
        <f t="shared" si="3"/>
        <v>Serv</v>
      </c>
      <c r="E10" s="85">
        <v>5.483700214033119</v>
      </c>
      <c r="F10" s="86">
        <v>4.4067246128702582</v>
      </c>
      <c r="G10" s="86">
        <v>3.4823119181364608</v>
      </c>
      <c r="H10" s="86">
        <v>0.96341926708262093</v>
      </c>
      <c r="I10" s="86">
        <v>7.80042185722934</v>
      </c>
      <c r="J10" s="86">
        <v>1.7616605244224812</v>
      </c>
      <c r="K10" s="86">
        <v>1.128457358686231</v>
      </c>
      <c r="L10" s="86">
        <v>5.2418833738065143</v>
      </c>
      <c r="M10" s="87">
        <v>1.2314208737329726</v>
      </c>
      <c r="N10" s="24">
        <f t="shared" si="0"/>
        <v>19.037980374372765</v>
      </c>
      <c r="O10" s="30">
        <v>50.537980374372758</v>
      </c>
      <c r="P10" s="62">
        <v>31.499999999999993</v>
      </c>
      <c r="Q10" s="61">
        <f t="shared" si="1"/>
        <v>50.537980374372758</v>
      </c>
      <c r="R10" s="61" t="b">
        <f t="shared" si="2"/>
        <v>1</v>
      </c>
    </row>
    <row r="11" spans="3:18" x14ac:dyDescent="0.25">
      <c r="C11" s="20" t="s">
        <v>11</v>
      </c>
      <c r="D11" s="25" t="str">
        <f t="shared" si="3"/>
        <v>Agr</v>
      </c>
      <c r="E11" s="85">
        <v>3.9108345452490108</v>
      </c>
      <c r="F11" s="86">
        <v>9.7029964397368609</v>
      </c>
      <c r="G11" s="86">
        <v>7.8072980700945731</v>
      </c>
      <c r="H11" s="86">
        <v>8.2969453482818878</v>
      </c>
      <c r="I11" s="86">
        <v>9.4529396695149686</v>
      </c>
      <c r="J11" s="86">
        <v>0.79191562864817344</v>
      </c>
      <c r="K11" s="86">
        <v>7.1670733628137864</v>
      </c>
      <c r="L11" s="86">
        <v>8.9201118563722623</v>
      </c>
      <c r="M11" s="87">
        <v>7.9498850792884834</v>
      </c>
      <c r="N11" s="24">
        <f t="shared" si="0"/>
        <v>11.996078495140495</v>
      </c>
      <c r="O11" s="30">
        <v>75.996078495140495</v>
      </c>
      <c r="P11" s="62">
        <v>64</v>
      </c>
      <c r="Q11" s="61">
        <f t="shared" si="1"/>
        <v>75.996078495140495</v>
      </c>
      <c r="R11" s="61" t="b">
        <f t="shared" si="2"/>
        <v>1</v>
      </c>
    </row>
    <row r="12" spans="3:18" x14ac:dyDescent="0.25">
      <c r="C12" s="20" t="s">
        <v>11</v>
      </c>
      <c r="D12" s="25" t="str">
        <f t="shared" si="3"/>
        <v>Ind</v>
      </c>
      <c r="E12" s="85">
        <v>1.2410760494543813</v>
      </c>
      <c r="F12" s="86">
        <v>7.1582298956082253</v>
      </c>
      <c r="G12" s="86">
        <v>0.22787868599601296</v>
      </c>
      <c r="H12" s="86">
        <v>7.8677275802535096</v>
      </c>
      <c r="I12" s="86">
        <v>0.18808975841827974</v>
      </c>
      <c r="J12" s="86">
        <v>0.25614006639341758</v>
      </c>
      <c r="K12" s="86">
        <v>7.3104484945107986</v>
      </c>
      <c r="L12" s="86">
        <v>8.8180022605694539</v>
      </c>
      <c r="M12" s="87">
        <v>1.3324072087959251</v>
      </c>
      <c r="N12" s="24">
        <f t="shared" si="0"/>
        <v>26.367341055101377</v>
      </c>
      <c r="O12" s="30">
        <v>60.767341055101383</v>
      </c>
      <c r="P12" s="62">
        <v>34.400000000000006</v>
      </c>
      <c r="Q12" s="61">
        <f t="shared" si="1"/>
        <v>60.767341055101383</v>
      </c>
      <c r="R12" s="61" t="b">
        <f t="shared" si="2"/>
        <v>1</v>
      </c>
    </row>
    <row r="13" spans="3:18" x14ac:dyDescent="0.25">
      <c r="C13" s="20" t="s">
        <v>11</v>
      </c>
      <c r="D13" s="25" t="str">
        <f t="shared" si="3"/>
        <v>Serv</v>
      </c>
      <c r="E13" s="88">
        <v>9.4439566266887365</v>
      </c>
      <c r="F13" s="89">
        <v>2.1241252549455529</v>
      </c>
      <c r="G13" s="89">
        <v>3.7568467568220583</v>
      </c>
      <c r="H13" s="89">
        <v>9.173274597714034</v>
      </c>
      <c r="I13" s="89">
        <v>0.64282827639397122</v>
      </c>
      <c r="J13" s="89">
        <v>0.27626545141098463</v>
      </c>
      <c r="K13" s="89">
        <v>3.2171528731561994</v>
      </c>
      <c r="L13" s="89">
        <v>0.51944659457853637</v>
      </c>
      <c r="M13" s="90">
        <v>6.8461035682899221</v>
      </c>
      <c r="N13" s="24">
        <f t="shared" si="0"/>
        <v>21.718540629220634</v>
      </c>
      <c r="O13" s="31">
        <v>57.718540629220627</v>
      </c>
      <c r="P13" s="62">
        <v>35.999999999999993</v>
      </c>
      <c r="Q13" s="61">
        <f t="shared" si="1"/>
        <v>57.718540629220627</v>
      </c>
      <c r="R13" s="61" t="b">
        <f t="shared" si="2"/>
        <v>1</v>
      </c>
    </row>
    <row r="14" spans="3:18" x14ac:dyDescent="0.25">
      <c r="D14" s="22" t="s">
        <v>9</v>
      </c>
      <c r="E14" s="13">
        <f>+E15-SUM(E5:E13)</f>
        <v>18.499527788892976</v>
      </c>
      <c r="F14" s="13">
        <f t="shared" ref="F14:M14" si="4">+F15-SUM(F5:F13)</f>
        <v>13.73081621367735</v>
      </c>
      <c r="G14" s="13">
        <f t="shared" si="4"/>
        <v>3.9075688426244355</v>
      </c>
      <c r="H14" s="13">
        <f t="shared" si="4"/>
        <v>24.535179514250601</v>
      </c>
      <c r="I14" s="13">
        <f t="shared" si="4"/>
        <v>6.827133852876571</v>
      </c>
      <c r="J14" s="13">
        <f t="shared" si="4"/>
        <v>15.90068945223792</v>
      </c>
      <c r="K14" s="13">
        <f t="shared" si="4"/>
        <v>28.050008740943916</v>
      </c>
      <c r="L14" s="13">
        <f t="shared" si="4"/>
        <v>12.23607431050506</v>
      </c>
      <c r="M14" s="13">
        <f t="shared" si="4"/>
        <v>8.8752556551621709</v>
      </c>
      <c r="N14" s="19">
        <f>+SUM(E5:M13)</f>
        <v>397.38000000000022</v>
      </c>
      <c r="R14" s="18"/>
    </row>
    <row r="15" spans="3:18" x14ac:dyDescent="0.25">
      <c r="D15" s="20" t="s">
        <v>8</v>
      </c>
      <c r="E15" s="130" cm="1">
        <f t="array" ref="E15:M15">+'IO_sub_model (2)'!E184:M184</f>
        <v>68.300273077911072</v>
      </c>
      <c r="F15" s="131">
        <v>52.908662243452241</v>
      </c>
      <c r="G15" s="131">
        <v>43.302764577421641</v>
      </c>
      <c r="H15" s="131">
        <v>74.005174253066585</v>
      </c>
      <c r="I15" s="131">
        <v>46.405439665484217</v>
      </c>
      <c r="J15" s="131">
        <v>50.537980374372758</v>
      </c>
      <c r="K15" s="131">
        <v>75.996078495140495</v>
      </c>
      <c r="L15" s="131">
        <v>60.767341055101383</v>
      </c>
      <c r="M15" s="132">
        <v>57.718540629220627</v>
      </c>
      <c r="R15" s="18"/>
    </row>
    <row r="16" spans="3:18" x14ac:dyDescent="0.25">
      <c r="E16" s="97" cm="1">
        <f t="array" ref="E16:M16">+TRANSPOSE(O5:O13)</f>
        <v>68.300273077911072</v>
      </c>
      <c r="F16" s="97">
        <v>52.908662243452241</v>
      </c>
      <c r="G16" s="97">
        <v>43.302764577421641</v>
      </c>
      <c r="H16" s="97">
        <v>74.005174253066585</v>
      </c>
      <c r="I16" s="97">
        <v>46.405439665484217</v>
      </c>
      <c r="J16" s="97">
        <v>50.537980374372758</v>
      </c>
      <c r="K16" s="97">
        <v>75.996078495140495</v>
      </c>
      <c r="L16" s="97">
        <v>60.767341055101383</v>
      </c>
      <c r="M16" s="97">
        <v>57.718540629220627</v>
      </c>
      <c r="R16" s="18"/>
    </row>
    <row r="17" spans="3:18" x14ac:dyDescent="0.25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25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.75" thickBot="1" x14ac:dyDescent="0.3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.75" thickBot="1" x14ac:dyDescent="0.3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25">
      <c r="C21" s="20" t="s">
        <v>1</v>
      </c>
      <c r="D21" s="28" t="s">
        <v>51</v>
      </c>
      <c r="E21" s="82" cm="1">
        <f t="array" ref="E21:M29">+'IO_sub_model (2)'!E200:M208</f>
        <v>0.13823216387680282</v>
      </c>
      <c r="F21" s="83">
        <v>9.6863498278526805E-2</v>
      </c>
      <c r="G21" s="83">
        <v>0.21255116780666755</v>
      </c>
      <c r="H21" s="83">
        <v>1.8115666104446246E-2</v>
      </c>
      <c r="I21" s="83">
        <v>1.5486360094479831E-2</v>
      </c>
      <c r="J21" s="83">
        <v>0.1450720990874857</v>
      </c>
      <c r="K21" s="83">
        <v>4.5190525584053821E-2</v>
      </c>
      <c r="L21" s="83">
        <v>0.11289617069282806</v>
      </c>
      <c r="M21" s="84">
        <v>4.407727615512138E-2</v>
      </c>
    </row>
    <row r="22" spans="3:18" x14ac:dyDescent="0.25">
      <c r="C22" s="20" t="s">
        <v>1</v>
      </c>
      <c r="D22" s="25" t="s">
        <v>52</v>
      </c>
      <c r="E22" s="85">
        <v>0.11158617497998091</v>
      </c>
      <c r="F22" s="86">
        <v>6.4163931147851544E-2</v>
      </c>
      <c r="G22" s="86">
        <v>0.18956801847957835</v>
      </c>
      <c r="H22" s="86">
        <v>5.6647025729287113E-2</v>
      </c>
      <c r="I22" s="86">
        <v>4.6662116875149436E-2</v>
      </c>
      <c r="J22" s="86">
        <v>0.18086875155520915</v>
      </c>
      <c r="K22" s="86">
        <v>2.6771912084429642E-2</v>
      </c>
      <c r="L22" s="86">
        <v>7.0232933583087839E-2</v>
      </c>
      <c r="M22" s="87">
        <v>0.12083235694865635</v>
      </c>
    </row>
    <row r="23" spans="3:18" x14ac:dyDescent="0.25">
      <c r="C23" s="20" t="s">
        <v>1</v>
      </c>
      <c r="D23" s="25" t="s">
        <v>53</v>
      </c>
      <c r="E23" s="85">
        <v>6.7928570828368496E-3</v>
      </c>
      <c r="F23" s="86">
        <v>3.8364204206476197E-3</v>
      </c>
      <c r="G23" s="86">
        <v>3.0373270310123835E-3</v>
      </c>
      <c r="H23" s="86">
        <v>8.2539423054238448E-2</v>
      </c>
      <c r="I23" s="86">
        <v>7.8054732495007634E-2</v>
      </c>
      <c r="J23" s="86">
        <v>6.8766266896325548E-2</v>
      </c>
      <c r="K23" s="86">
        <v>8.2058473809892452E-2</v>
      </c>
      <c r="L23" s="86">
        <v>5.903650990993313E-2</v>
      </c>
      <c r="M23" s="87">
        <v>0.11005321073669763</v>
      </c>
    </row>
    <row r="24" spans="3:18" x14ac:dyDescent="0.25">
      <c r="C24" s="20" t="s">
        <v>10</v>
      </c>
      <c r="D24" s="25" t="str">
        <f>+D21</f>
        <v>Agr</v>
      </c>
      <c r="E24" s="85">
        <v>0.12099762350655457</v>
      </c>
      <c r="F24" s="86">
        <v>9.1162144159547223E-2</v>
      </c>
      <c r="G24" s="86">
        <v>8.5524132892589547E-2</v>
      </c>
      <c r="H24" s="86">
        <v>8.170309820017943E-2</v>
      </c>
      <c r="I24" s="86">
        <v>0.18956017095896627</v>
      </c>
      <c r="J24" s="86">
        <v>0.15515244378336718</v>
      </c>
      <c r="K24" s="86">
        <v>0.11908253340787223</v>
      </c>
      <c r="L24" s="86">
        <v>0.13330347192679151</v>
      </c>
      <c r="M24" s="87">
        <v>0.1416297318536022</v>
      </c>
    </row>
    <row r="25" spans="3:18" x14ac:dyDescent="0.25">
      <c r="C25" s="20" t="s">
        <v>10</v>
      </c>
      <c r="D25" s="25" t="str">
        <f t="shared" ref="D25:D29" si="6">+D22</f>
        <v>Ind</v>
      </c>
      <c r="E25" s="85">
        <v>5.7545778247592314E-2</v>
      </c>
      <c r="F25" s="86">
        <v>4.233289766182418E-2</v>
      </c>
      <c r="G25" s="86">
        <v>6.6347537536297727E-2</v>
      </c>
      <c r="H25" s="86">
        <v>7.406246331859527E-2</v>
      </c>
      <c r="I25" s="86">
        <v>0.13341564354409929</v>
      </c>
      <c r="J25" s="86">
        <v>7.444930534651259E-2</v>
      </c>
      <c r="K25" s="86">
        <v>0.11011287682029626</v>
      </c>
      <c r="L25" s="86">
        <v>3.6459792535706026E-2</v>
      </c>
      <c r="M25" s="87">
        <v>0.12887284842671712</v>
      </c>
    </row>
    <row r="26" spans="3:18" x14ac:dyDescent="0.25">
      <c r="C26" s="20" t="s">
        <v>10</v>
      </c>
      <c r="D26" s="25" t="str">
        <f t="shared" si="6"/>
        <v>Serv</v>
      </c>
      <c r="E26" s="85">
        <v>8.0288115506914379E-2</v>
      </c>
      <c r="F26" s="86">
        <v>8.328928432537748E-2</v>
      </c>
      <c r="G26" s="86">
        <v>8.0417773602200038E-2</v>
      </c>
      <c r="H26" s="86">
        <v>1.3018269017084293E-2</v>
      </c>
      <c r="I26" s="86">
        <v>0.1680928338026543</v>
      </c>
      <c r="J26" s="86">
        <v>3.4858150471636172E-2</v>
      </c>
      <c r="K26" s="86">
        <v>1.4848889324708896E-2</v>
      </c>
      <c r="L26" s="86">
        <v>8.6261522765219978E-2</v>
      </c>
      <c r="M26" s="87">
        <v>2.1334927396094844E-2</v>
      </c>
    </row>
    <row r="27" spans="3:18" x14ac:dyDescent="0.25">
      <c r="C27" s="20" t="s">
        <v>11</v>
      </c>
      <c r="D27" s="25" t="str">
        <f t="shared" si="6"/>
        <v>Agr</v>
      </c>
      <c r="E27" s="85">
        <v>5.7259427656868478E-2</v>
      </c>
      <c r="F27" s="86">
        <v>0.18339145289838932</v>
      </c>
      <c r="G27" s="86">
        <v>0.18029560343972478</v>
      </c>
      <c r="H27" s="86">
        <v>0.11211304387865939</v>
      </c>
      <c r="I27" s="86">
        <v>0.20370326706646735</v>
      </c>
      <c r="J27" s="86">
        <v>1.5669712615776491E-2</v>
      </c>
      <c r="K27" s="86">
        <v>9.4308463077763666E-2</v>
      </c>
      <c r="L27" s="86">
        <v>0.14679121550314111</v>
      </c>
      <c r="M27" s="87">
        <v>0.13773537918011339</v>
      </c>
    </row>
    <row r="28" spans="3:18" x14ac:dyDescent="0.25">
      <c r="C28" s="20" t="s">
        <v>11</v>
      </c>
      <c r="D28" s="25" t="str">
        <f t="shared" si="6"/>
        <v>Ind</v>
      </c>
      <c r="E28" s="85">
        <v>1.8170879756786162E-2</v>
      </c>
      <c r="F28" s="86">
        <v>0.13529410104286088</v>
      </c>
      <c r="G28" s="86">
        <v>5.2624512134458613E-3</v>
      </c>
      <c r="H28" s="86">
        <v>0.10631320930816525</v>
      </c>
      <c r="I28" s="86">
        <v>4.0531834150076707E-3</v>
      </c>
      <c r="J28" s="86">
        <v>5.0682687455255596E-3</v>
      </c>
      <c r="K28" s="86">
        <v>9.6195075315343534E-2</v>
      </c>
      <c r="L28" s="86">
        <v>0.1451108787625518</v>
      </c>
      <c r="M28" s="87">
        <v>2.3084561637744871E-2</v>
      </c>
    </row>
    <row r="29" spans="3:18" x14ac:dyDescent="0.25">
      <c r="C29" s="20" t="s">
        <v>11</v>
      </c>
      <c r="D29" s="25" t="str">
        <f t="shared" si="6"/>
        <v>Serv</v>
      </c>
      <c r="E29" s="88">
        <v>0.13827114008630512</v>
      </c>
      <c r="F29" s="89">
        <v>4.0147022526702159E-2</v>
      </c>
      <c r="G29" s="89">
        <v>8.6757665324234373E-2</v>
      </c>
      <c r="H29" s="89">
        <v>0.12395450305062848</v>
      </c>
      <c r="I29" s="89">
        <v>1.3852433702338109E-2</v>
      </c>
      <c r="J29" s="89">
        <v>5.4664917229473569E-3</v>
      </c>
      <c r="K29" s="89">
        <v>4.2333143194512562E-2</v>
      </c>
      <c r="L29" s="89">
        <v>8.5481211710007696E-3</v>
      </c>
      <c r="M29" s="90">
        <v>0.11861186186720753</v>
      </c>
    </row>
    <row r="30" spans="3:18" x14ac:dyDescent="0.25">
      <c r="D30" s="22" t="s">
        <v>9</v>
      </c>
      <c r="E30" s="13">
        <f t="shared" ref="E30:M30" si="7">+E14/E$15</f>
        <v>0.27085583929935841</v>
      </c>
      <c r="F30" s="14">
        <f t="shared" si="7"/>
        <v>0.25951924753827282</v>
      </c>
      <c r="G30" s="14">
        <f t="shared" si="7"/>
        <v>9.0238322674249499E-2</v>
      </c>
      <c r="H30" s="14">
        <f t="shared" si="7"/>
        <v>0.33153329833871614</v>
      </c>
      <c r="I30" s="14">
        <f t="shared" si="7"/>
        <v>0.14711925804583006</v>
      </c>
      <c r="J30" s="14">
        <f t="shared" si="7"/>
        <v>0.31462850977521417</v>
      </c>
      <c r="K30" s="14">
        <f t="shared" si="7"/>
        <v>0.36909810738112692</v>
      </c>
      <c r="L30" s="14">
        <f t="shared" si="7"/>
        <v>0.20135938314973958</v>
      </c>
      <c r="M30" s="15">
        <f t="shared" si="7"/>
        <v>0.15376784579804462</v>
      </c>
    </row>
    <row r="31" spans="3:18" x14ac:dyDescent="0.25">
      <c r="D31" s="20" t="s">
        <v>8</v>
      </c>
      <c r="E31" s="13">
        <f t="shared" ref="E31:M31" si="8">SUM(E21:E30)</f>
        <v>1</v>
      </c>
      <c r="F31" s="14">
        <f t="shared" si="8"/>
        <v>1</v>
      </c>
      <c r="G31" s="14">
        <f t="shared" si="8"/>
        <v>0.99999999999999989</v>
      </c>
      <c r="H31" s="14">
        <f t="shared" si="8"/>
        <v>1</v>
      </c>
      <c r="I31" s="14">
        <f t="shared" si="8"/>
        <v>1</v>
      </c>
      <c r="J31" s="14">
        <f t="shared" si="8"/>
        <v>1</v>
      </c>
      <c r="K31" s="14">
        <f t="shared" si="8"/>
        <v>1</v>
      </c>
      <c r="L31" s="14">
        <f t="shared" si="8"/>
        <v>0.99999999999999978</v>
      </c>
      <c r="M31" s="15">
        <f t="shared" si="8"/>
        <v>0.99999999999999989</v>
      </c>
    </row>
    <row r="34" spans="3:18" ht="15.75" thickBot="1" x14ac:dyDescent="0.3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3:18" ht="15.75" thickBot="1" x14ac:dyDescent="0.3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3:18" x14ac:dyDescent="0.25">
      <c r="C36" s="20" t="s">
        <v>1</v>
      </c>
      <c r="D36" s="28" t="s">
        <v>51</v>
      </c>
      <c r="E36" s="1" cm="1">
        <f t="array" ref="E36:M44">+MINVERSE(_xlfn.MUNIT(COUNTA($D$36:$D$44))-E21:M29)</f>
        <v>1.3660309882349557</v>
      </c>
      <c r="F36" s="2">
        <v>0.32684039919492575</v>
      </c>
      <c r="G36" s="2">
        <v>0.49494094342611972</v>
      </c>
      <c r="H36" s="2">
        <v>0.23394782117202575</v>
      </c>
      <c r="I36" s="2">
        <v>0.2739069972169213</v>
      </c>
      <c r="J36" s="2">
        <v>0.36829835117044257</v>
      </c>
      <c r="K36" s="2">
        <v>0.24677834365898385</v>
      </c>
      <c r="L36" s="2">
        <v>0.37222356146006536</v>
      </c>
      <c r="M36" s="3">
        <v>0.30979217464402253</v>
      </c>
      <c r="N36" s="16"/>
    </row>
    <row r="37" spans="3:18" x14ac:dyDescent="0.25">
      <c r="C37" s="20" t="s">
        <v>1</v>
      </c>
      <c r="D37" s="25" t="s">
        <v>52</v>
      </c>
      <c r="E37" s="5">
        <v>0.36007779767347553</v>
      </c>
      <c r="F37" s="6">
        <v>1.2990869677768309</v>
      </c>
      <c r="G37" s="6">
        <v>0.48325863645175415</v>
      </c>
      <c r="H37" s="6">
        <v>0.28516444843083238</v>
      </c>
      <c r="I37" s="6">
        <v>0.32605634294118396</v>
      </c>
      <c r="J37" s="6">
        <v>0.41091335570109822</v>
      </c>
      <c r="K37" s="6">
        <v>0.23830497130710021</v>
      </c>
      <c r="L37" s="6">
        <v>0.3324613368062535</v>
      </c>
      <c r="M37" s="7">
        <v>0.40583628057630894</v>
      </c>
      <c r="N37" s="16"/>
    </row>
    <row r="38" spans="3:18" x14ac:dyDescent="0.25">
      <c r="C38" s="20" t="s">
        <v>1</v>
      </c>
      <c r="D38" s="25" t="s">
        <v>53</v>
      </c>
      <c r="E38" s="5">
        <v>0.17300251037057798</v>
      </c>
      <c r="F38" s="6">
        <v>0.1695605086239072</v>
      </c>
      <c r="G38" s="6">
        <v>1.1978402321002595</v>
      </c>
      <c r="H38" s="6">
        <v>0.24321826485223319</v>
      </c>
      <c r="I38" s="6">
        <v>0.27414902820053016</v>
      </c>
      <c r="J38" s="6">
        <v>0.2100734366997247</v>
      </c>
      <c r="K38" s="6">
        <v>0.23004710438310708</v>
      </c>
      <c r="L38" s="6">
        <v>0.23288936240834562</v>
      </c>
      <c r="M38" s="7">
        <v>0.30776567823753626</v>
      </c>
      <c r="N38" s="16"/>
    </row>
    <row r="39" spans="3:18" x14ac:dyDescent="0.25">
      <c r="C39" s="20" t="s">
        <v>10</v>
      </c>
      <c r="D39" s="25" t="str">
        <f>+D36</f>
        <v>Agr</v>
      </c>
      <c r="E39" s="5">
        <v>0.46957292654013127</v>
      </c>
      <c r="F39" s="6">
        <v>0.43714362474505175</v>
      </c>
      <c r="G39" s="6">
        <v>0.50946942929974459</v>
      </c>
      <c r="H39" s="6">
        <v>1.410210821046316</v>
      </c>
      <c r="I39" s="6">
        <v>0.58966486021623965</v>
      </c>
      <c r="J39" s="6">
        <v>0.47369025758668287</v>
      </c>
      <c r="K39" s="6">
        <v>0.4267602222110316</v>
      </c>
      <c r="L39" s="6">
        <v>0.50473804761581498</v>
      </c>
      <c r="M39" s="7">
        <v>0.55122671948162383</v>
      </c>
      <c r="N39" s="16"/>
    </row>
    <row r="40" spans="3:18" x14ac:dyDescent="0.25">
      <c r="C40" s="20" t="s">
        <v>10</v>
      </c>
      <c r="D40" s="25" t="str">
        <f t="shared" ref="D40:D44" si="9">+D37</f>
        <v>Ind</v>
      </c>
      <c r="E40" s="5">
        <v>0.2941204284691174</v>
      </c>
      <c r="F40" s="6">
        <v>0.27095283704423945</v>
      </c>
      <c r="G40" s="6">
        <v>0.35192624221600988</v>
      </c>
      <c r="H40" s="6">
        <v>0.29910050210839362</v>
      </c>
      <c r="I40" s="6">
        <v>1.4092867889058633</v>
      </c>
      <c r="J40" s="6">
        <v>0.28584751296551075</v>
      </c>
      <c r="K40" s="6">
        <v>0.31900383059861631</v>
      </c>
      <c r="L40" s="6">
        <v>0.27990591369218293</v>
      </c>
      <c r="M40" s="7">
        <v>0.41402076548195971</v>
      </c>
      <c r="N40" s="16"/>
    </row>
    <row r="41" spans="3:18" x14ac:dyDescent="0.25">
      <c r="C41" s="20" t="s">
        <v>10</v>
      </c>
      <c r="D41" s="25" t="str">
        <f t="shared" si="9"/>
        <v>Serv</v>
      </c>
      <c r="E41" s="5">
        <v>0.24867622200393236</v>
      </c>
      <c r="F41" s="6">
        <v>0.24953378048955488</v>
      </c>
      <c r="G41" s="6">
        <v>0.28863291552138953</v>
      </c>
      <c r="H41" s="6">
        <v>0.17504521227102771</v>
      </c>
      <c r="I41" s="6">
        <v>0.36060367018611578</v>
      </c>
      <c r="J41" s="6">
        <v>1.2022625734017589</v>
      </c>
      <c r="K41" s="6">
        <v>0.1716619224459944</v>
      </c>
      <c r="L41" s="6">
        <v>0.26900020482268239</v>
      </c>
      <c r="M41" s="7">
        <v>0.22651222644563301</v>
      </c>
      <c r="N41" s="16"/>
    </row>
    <row r="42" spans="3:18" x14ac:dyDescent="0.25">
      <c r="C42" s="20" t="s">
        <v>11</v>
      </c>
      <c r="D42" s="25" t="str">
        <f t="shared" si="9"/>
        <v>Agr</v>
      </c>
      <c r="E42" s="5">
        <v>0.4071891689634638</v>
      </c>
      <c r="F42" s="6">
        <v>0.52516570805604212</v>
      </c>
      <c r="G42" s="6">
        <v>0.60321267482254659</v>
      </c>
      <c r="H42" s="6">
        <v>0.45870737953621243</v>
      </c>
      <c r="I42" s="6">
        <v>0.60292106815184865</v>
      </c>
      <c r="J42" s="6">
        <v>0.35181630362340927</v>
      </c>
      <c r="K42" s="6">
        <v>1.4160363692633846</v>
      </c>
      <c r="L42" s="6">
        <v>0.52018792037971584</v>
      </c>
      <c r="M42" s="7">
        <v>0.57297077163217058</v>
      </c>
      <c r="N42" s="16"/>
    </row>
    <row r="43" spans="3:18" x14ac:dyDescent="0.25">
      <c r="C43" s="20" t="s">
        <v>11</v>
      </c>
      <c r="D43" s="25" t="str">
        <f t="shared" si="9"/>
        <v>Ind</v>
      </c>
      <c r="E43" s="5">
        <v>0.20338925631360846</v>
      </c>
      <c r="F43" s="6">
        <v>0.33582263215544594</v>
      </c>
      <c r="G43" s="6">
        <v>0.23783821431961821</v>
      </c>
      <c r="H43" s="6">
        <v>0.28921397105222435</v>
      </c>
      <c r="I43" s="6">
        <v>0.21512958675995927</v>
      </c>
      <c r="J43" s="6">
        <v>0.18638108297264108</v>
      </c>
      <c r="K43" s="6">
        <v>0.26495505573155659</v>
      </c>
      <c r="L43" s="6">
        <v>1.3616433149651719</v>
      </c>
      <c r="M43" s="7">
        <v>0.24541589012720452</v>
      </c>
      <c r="N43" s="16"/>
    </row>
    <row r="44" spans="3:18" x14ac:dyDescent="0.25">
      <c r="C44" s="20" t="s">
        <v>11</v>
      </c>
      <c r="D44" s="25" t="str">
        <f t="shared" si="9"/>
        <v>Serv</v>
      </c>
      <c r="E44" s="9">
        <v>0.34146539631097833</v>
      </c>
      <c r="F44" s="10">
        <v>0.2229025473997488</v>
      </c>
      <c r="G44" s="10">
        <v>0.32781482536496392</v>
      </c>
      <c r="H44" s="10">
        <v>0.3025802919555019</v>
      </c>
      <c r="I44" s="10">
        <v>0.22316564796756494</v>
      </c>
      <c r="J44" s="10">
        <v>0.19444559644549544</v>
      </c>
      <c r="K44" s="10">
        <v>0.20889124458468192</v>
      </c>
      <c r="L44" s="10">
        <v>0.21170371986476325</v>
      </c>
      <c r="M44" s="11">
        <v>1.3472877280700242</v>
      </c>
      <c r="N44" s="16"/>
    </row>
    <row r="45" spans="3:18" ht="15.75" thickBot="1" x14ac:dyDescent="0.3"/>
    <row r="46" spans="3:18" ht="15.75" thickBot="1" x14ac:dyDescent="0.3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3:18" x14ac:dyDescent="0.25">
      <c r="C47" s="22" t="s">
        <v>1</v>
      </c>
      <c r="D47" s="28" t="s">
        <v>51</v>
      </c>
      <c r="E47" s="32"/>
      <c r="F47" s="35"/>
      <c r="G47" s="1"/>
      <c r="H47" s="84" cm="1">
        <f t="array" ref="H47:H55">+N5:N13</f>
        <v>22.300273077911072</v>
      </c>
      <c r="J47" s="22" t="s">
        <v>1</v>
      </c>
      <c r="K47" s="28" t="s">
        <v>51</v>
      </c>
      <c r="L47" s="32">
        <v>0</v>
      </c>
      <c r="M47" s="35">
        <f>1-L47%</f>
        <v>1</v>
      </c>
      <c r="N47" s="1" cm="1">
        <f t="array" ref="N47:N55">+_xlfn.ANCHORARRAY(O5)</f>
        <v>68.300273077911072</v>
      </c>
      <c r="O47" s="3" cm="1">
        <f t="array" ref="O47:O55">+_xlfn.ANCHORARRAY(O5)</f>
        <v>68.300273077911072</v>
      </c>
      <c r="P47" s="18"/>
      <c r="Q47" s="18"/>
      <c r="R47" s="18"/>
    </row>
    <row r="48" spans="3:18" x14ac:dyDescent="0.25">
      <c r="C48" s="20" t="s">
        <v>1</v>
      </c>
      <c r="D48" s="25" t="s">
        <v>52</v>
      </c>
      <c r="E48" s="33"/>
      <c r="F48" s="35"/>
      <c r="G48" s="5"/>
      <c r="H48" s="87">
        <v>4.9086622434522553</v>
      </c>
      <c r="J48" s="20" t="s">
        <v>1</v>
      </c>
      <c r="K48" s="25" t="s">
        <v>52</v>
      </c>
      <c r="L48" s="33"/>
      <c r="M48" s="35">
        <f t="shared" ref="M48:M55" si="10">1-L48%</f>
        <v>1</v>
      </c>
      <c r="N48" s="5">
        <v>52.908662243452241</v>
      </c>
      <c r="O48" s="7">
        <v>52.908662243452241</v>
      </c>
      <c r="P48" s="18"/>
    </row>
    <row r="49" spans="1:16" x14ac:dyDescent="0.25">
      <c r="C49" s="20" t="s">
        <v>1</v>
      </c>
      <c r="D49" s="25" t="s">
        <v>53</v>
      </c>
      <c r="E49" s="33"/>
      <c r="F49" s="35"/>
      <c r="G49" s="5"/>
      <c r="H49" s="87">
        <v>13.122764577421641</v>
      </c>
      <c r="J49" s="20" t="s">
        <v>1</v>
      </c>
      <c r="K49" s="25" t="s">
        <v>53</v>
      </c>
      <c r="L49" s="33"/>
      <c r="M49" s="35">
        <f t="shared" si="10"/>
        <v>1</v>
      </c>
      <c r="N49" s="5">
        <v>43.302764577421641</v>
      </c>
      <c r="O49" s="7">
        <v>43.302764577421641</v>
      </c>
      <c r="P49" s="18"/>
    </row>
    <row r="50" spans="1:16" x14ac:dyDescent="0.25">
      <c r="C50" s="20" t="s">
        <v>10</v>
      </c>
      <c r="D50" s="25" t="str">
        <f>+D47</f>
        <v>Agr</v>
      </c>
      <c r="E50" s="33"/>
      <c r="F50" s="35"/>
      <c r="G50" s="5"/>
      <c r="H50" s="87">
        <v>9.2051742530665734</v>
      </c>
      <c r="J50" s="20" t="s">
        <v>10</v>
      </c>
      <c r="K50" s="25" t="str">
        <f>+K47</f>
        <v>Agr</v>
      </c>
      <c r="L50" s="33"/>
      <c r="M50" s="35">
        <f t="shared" si="10"/>
        <v>1</v>
      </c>
      <c r="N50" s="5">
        <v>74.005174253066585</v>
      </c>
      <c r="O50" s="7">
        <v>74.005174253066585</v>
      </c>
      <c r="P50" s="18"/>
    </row>
    <row r="51" spans="1:16" x14ac:dyDescent="0.25">
      <c r="C51" s="20" t="s">
        <v>10</v>
      </c>
      <c r="D51" s="25" t="str">
        <f t="shared" ref="D51:D55" si="11">+D48</f>
        <v>Ind</v>
      </c>
      <c r="E51" s="33"/>
      <c r="F51" s="35"/>
      <c r="G51" s="5"/>
      <c r="H51" s="87">
        <v>3.9054396654842094</v>
      </c>
      <c r="J51" s="20" t="s">
        <v>10</v>
      </c>
      <c r="K51" s="25" t="str">
        <f t="shared" ref="K51:K55" si="12">+K48</f>
        <v>Ind</v>
      </c>
      <c r="L51" s="33"/>
      <c r="M51" s="35">
        <f t="shared" si="10"/>
        <v>1</v>
      </c>
      <c r="N51" s="5">
        <v>46.405439665484217</v>
      </c>
      <c r="O51" s="7">
        <v>46.405439665484217</v>
      </c>
      <c r="P51" s="18"/>
    </row>
    <row r="52" spans="1:16" x14ac:dyDescent="0.25">
      <c r="C52" s="20" t="s">
        <v>10</v>
      </c>
      <c r="D52" s="25" t="str">
        <f t="shared" si="11"/>
        <v>Serv</v>
      </c>
      <c r="E52" s="33"/>
      <c r="F52" s="35"/>
      <c r="G52" s="5"/>
      <c r="H52" s="87">
        <v>19.037980374372765</v>
      </c>
      <c r="J52" s="20" t="s">
        <v>10</v>
      </c>
      <c r="K52" s="25" t="str">
        <f t="shared" si="12"/>
        <v>Serv</v>
      </c>
      <c r="L52" s="33"/>
      <c r="M52" s="35">
        <f t="shared" si="10"/>
        <v>1</v>
      </c>
      <c r="N52" s="5">
        <v>50.537980374372758</v>
      </c>
      <c r="O52" s="7">
        <v>50.537980374372758</v>
      </c>
      <c r="P52" s="18"/>
    </row>
    <row r="53" spans="1:16" x14ac:dyDescent="0.25">
      <c r="C53" s="20" t="s">
        <v>11</v>
      </c>
      <c r="D53" s="25" t="str">
        <f t="shared" si="11"/>
        <v>Agr</v>
      </c>
      <c r="E53" s="33"/>
      <c r="F53" s="35"/>
      <c r="G53" s="5"/>
      <c r="H53" s="87">
        <v>11.996078495140495</v>
      </c>
      <c r="J53" s="20" t="s">
        <v>11</v>
      </c>
      <c r="K53" s="25" t="str">
        <f t="shared" si="12"/>
        <v>Agr</v>
      </c>
      <c r="L53" s="33"/>
      <c r="M53" s="35">
        <f t="shared" si="10"/>
        <v>1</v>
      </c>
      <c r="N53" s="5">
        <v>75.996078495140495</v>
      </c>
      <c r="O53" s="7">
        <v>75.996078495140495</v>
      </c>
      <c r="P53" s="18"/>
    </row>
    <row r="54" spans="1:16" x14ac:dyDescent="0.25">
      <c r="C54" s="20" t="s">
        <v>11</v>
      </c>
      <c r="D54" s="25" t="str">
        <f t="shared" si="11"/>
        <v>Ind</v>
      </c>
      <c r="E54" s="33"/>
      <c r="F54" s="35"/>
      <c r="G54" s="5"/>
      <c r="H54" s="87">
        <v>26.367341055101377</v>
      </c>
      <c r="J54" s="20" t="s">
        <v>11</v>
      </c>
      <c r="K54" s="25" t="str">
        <f t="shared" si="12"/>
        <v>Ind</v>
      </c>
      <c r="L54" s="33"/>
      <c r="M54" s="35">
        <f t="shared" si="10"/>
        <v>1</v>
      </c>
      <c r="N54" s="5">
        <v>60.767341055101383</v>
      </c>
      <c r="O54" s="7">
        <v>60.767341055101383</v>
      </c>
      <c r="P54" s="18"/>
    </row>
    <row r="55" spans="1:16" x14ac:dyDescent="0.25">
      <c r="C55" s="20" t="s">
        <v>11</v>
      </c>
      <c r="D55" s="25" t="str">
        <f t="shared" si="11"/>
        <v>Serv</v>
      </c>
      <c r="E55" s="34"/>
      <c r="F55" s="35"/>
      <c r="G55" s="9"/>
      <c r="H55" s="90">
        <v>21.718540629220634</v>
      </c>
      <c r="J55" s="20" t="s">
        <v>11</v>
      </c>
      <c r="K55" s="25" t="str">
        <f t="shared" si="12"/>
        <v>Serv</v>
      </c>
      <c r="L55" s="34"/>
      <c r="M55" s="35">
        <f t="shared" si="10"/>
        <v>1</v>
      </c>
      <c r="N55" s="9">
        <v>57.718540629220627</v>
      </c>
      <c r="O55" s="11">
        <v>57.718540629220627</v>
      </c>
      <c r="P55" s="18"/>
    </row>
    <row r="56" spans="1:16" x14ac:dyDescent="0.25">
      <c r="G56" s="13">
        <f t="shared" ref="G56:H56" si="13">SUM(G47:G55)</f>
        <v>0</v>
      </c>
      <c r="H56" s="15">
        <f t="shared" si="13"/>
        <v>132.56225437117101</v>
      </c>
      <c r="N56" s="13">
        <f t="shared" ref="N56:O56" si="14">SUM(N47:N55)</f>
        <v>529.94225437117097</v>
      </c>
      <c r="O56" s="15">
        <f t="shared" si="14"/>
        <v>529.94225437117097</v>
      </c>
    </row>
    <row r="58" spans="1:16" x14ac:dyDescent="0.25">
      <c r="A58" s="66"/>
    </row>
    <row r="59" spans="1:16" x14ac:dyDescent="0.25">
      <c r="A59" s="68" t="s">
        <v>30</v>
      </c>
      <c r="E59" s="20" t="s">
        <v>20</v>
      </c>
      <c r="F59" s="20" t="s">
        <v>19</v>
      </c>
      <c r="G59" s="20" t="s">
        <v>3</v>
      </c>
    </row>
    <row r="60" spans="1:16" x14ac:dyDescent="0.25">
      <c r="A60" s="67"/>
      <c r="C60" s="20" t="s">
        <v>1</v>
      </c>
      <c r="D60" s="28" t="s">
        <v>51</v>
      </c>
      <c r="E60" s="91" cm="1">
        <f t="array" ref="E60:E68">+'IO_sub_model (2)'!F188:F196</f>
        <v>66.685384615384606</v>
      </c>
      <c r="F60" s="133" cm="1">
        <f t="array" ref="F60:F68">+_xlfn.ANCHORARRAY(O5)</f>
        <v>68.300273077911072</v>
      </c>
      <c r="G60" s="94">
        <f>+MIN(F60/E60,1)</f>
        <v>1</v>
      </c>
      <c r="H60" s="18"/>
    </row>
    <row r="61" spans="1:16" x14ac:dyDescent="0.25">
      <c r="C61" s="20" t="s">
        <v>1</v>
      </c>
      <c r="D61" s="25" t="s">
        <v>52</v>
      </c>
      <c r="E61" s="92">
        <v>51.657692307692308</v>
      </c>
      <c r="F61" s="134">
        <v>52.908662243452241</v>
      </c>
      <c r="G61" s="95">
        <f t="shared" ref="G61:G68" si="15">+MIN(F61/E61,1)</f>
        <v>1</v>
      </c>
      <c r="H61" s="18"/>
    </row>
    <row r="62" spans="1:16" x14ac:dyDescent="0.25">
      <c r="C62" s="20" t="s">
        <v>1</v>
      </c>
      <c r="D62" s="25" t="s">
        <v>53</v>
      </c>
      <c r="E62" s="92">
        <v>44.143846153846155</v>
      </c>
      <c r="F62" s="134">
        <v>43.302764577421641</v>
      </c>
      <c r="G62" s="95">
        <f t="shared" si="15"/>
        <v>0.98094679893788017</v>
      </c>
      <c r="H62" s="18"/>
    </row>
    <row r="63" spans="1:16" x14ac:dyDescent="0.25">
      <c r="C63" s="20" t="s">
        <v>10</v>
      </c>
      <c r="D63" s="25" t="str">
        <f>+D60</f>
        <v>Agr</v>
      </c>
      <c r="E63" s="92">
        <v>77.016923076923092</v>
      </c>
      <c r="F63" s="134">
        <v>74.005174253066585</v>
      </c>
      <c r="G63" s="95">
        <f t="shared" si="15"/>
        <v>0.96089497342229024</v>
      </c>
      <c r="H63" s="18"/>
    </row>
    <row r="64" spans="1:16" x14ac:dyDescent="0.25">
      <c r="C64" s="20" t="s">
        <v>10</v>
      </c>
      <c r="D64" s="25" t="str">
        <f t="shared" ref="D64:D68" si="16">+D61</f>
        <v>Ind</v>
      </c>
      <c r="E64" s="92">
        <v>46.961538461538467</v>
      </c>
      <c r="F64" s="134">
        <v>46.405439665484217</v>
      </c>
      <c r="G64" s="95">
        <f t="shared" si="15"/>
        <v>0.98815842039524115</v>
      </c>
      <c r="H64" s="18"/>
    </row>
    <row r="65" spans="1:13" x14ac:dyDescent="0.25">
      <c r="C65" s="20" t="s">
        <v>10</v>
      </c>
      <c r="D65" s="25" t="str">
        <f t="shared" si="16"/>
        <v>Serv</v>
      </c>
      <c r="E65" s="92">
        <v>51.657692307692301</v>
      </c>
      <c r="F65" s="134">
        <v>50.537980374372758</v>
      </c>
      <c r="G65" s="95">
        <f t="shared" si="15"/>
        <v>0.97832439113520353</v>
      </c>
      <c r="H65" s="18"/>
    </row>
    <row r="66" spans="1:13" x14ac:dyDescent="0.25">
      <c r="C66" s="20" t="s">
        <v>11</v>
      </c>
      <c r="D66" s="25" t="str">
        <f t="shared" si="16"/>
        <v>Agr</v>
      </c>
      <c r="E66" s="92">
        <v>74.199230769230766</v>
      </c>
      <c r="F66" s="134">
        <v>75.996078495140495</v>
      </c>
      <c r="G66" s="95">
        <f t="shared" si="15"/>
        <v>1</v>
      </c>
      <c r="H66" s="18"/>
    </row>
    <row r="67" spans="1:13" x14ac:dyDescent="0.25">
      <c r="C67" s="20" t="s">
        <v>11</v>
      </c>
      <c r="D67" s="25" t="str">
        <f t="shared" si="16"/>
        <v>Ind</v>
      </c>
      <c r="E67" s="92">
        <v>61.05</v>
      </c>
      <c r="F67" s="134">
        <v>60.767341055101383</v>
      </c>
      <c r="G67" s="95">
        <f t="shared" si="15"/>
        <v>0.99537004185260258</v>
      </c>
      <c r="H67" s="18"/>
    </row>
    <row r="68" spans="1:13" x14ac:dyDescent="0.25">
      <c r="C68" s="20" t="s">
        <v>11</v>
      </c>
      <c r="D68" s="25" t="str">
        <f t="shared" si="16"/>
        <v>Serv</v>
      </c>
      <c r="E68" s="93">
        <v>56.353846153846142</v>
      </c>
      <c r="F68" s="135">
        <v>57.718540629220627</v>
      </c>
      <c r="G68" s="96">
        <f t="shared" si="15"/>
        <v>1</v>
      </c>
      <c r="H68" s="18"/>
    </row>
    <row r="69" spans="1:13" x14ac:dyDescent="0.25">
      <c r="A69" s="66"/>
    </row>
    <row r="70" spans="1:13" x14ac:dyDescent="0.25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13" x14ac:dyDescent="0.25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13" x14ac:dyDescent="0.25">
      <c r="C72" t="s">
        <v>25</v>
      </c>
      <c r="D72" s="20" t="s">
        <v>4</v>
      </c>
      <c r="E72" s="43" cm="1">
        <f t="array" ref="E72">+MIN(_xlfn._xlws.FILTER($G$60:$G$68,E21:E29&gt;0))</f>
        <v>0.96089497342229024</v>
      </c>
      <c r="F72" s="44" cm="1">
        <f t="array" ref="F72">+MIN(_xlfn._xlws.FILTER($G$60:$G$68,F21:F29&gt;0))</f>
        <v>0.96089497342229024</v>
      </c>
      <c r="G72" s="44" cm="1">
        <f t="array" ref="G72">+MIN(_xlfn._xlws.FILTER($G$60:$G$68,G21:G29&gt;0))</f>
        <v>0.96089497342229024</v>
      </c>
      <c r="H72" s="44" cm="1">
        <f t="array" ref="H72">+MIN(_xlfn._xlws.FILTER($G$60:$G$68,H21:H29&gt;0))</f>
        <v>0.96089497342229024</v>
      </c>
      <c r="I72" s="44" cm="1">
        <f t="array" ref="I72">+MIN(_xlfn._xlws.FILTER($G$60:$G$68,I21:I29&gt;0))</f>
        <v>0.96089497342229024</v>
      </c>
      <c r="J72" s="44" cm="1">
        <f t="array" ref="J72">+MIN(_xlfn._xlws.FILTER($G$60:$G$68,J21:J29&gt;0))</f>
        <v>0.96089497342229024</v>
      </c>
      <c r="K72" s="44" cm="1">
        <f t="array" ref="K72">+MIN(_xlfn._xlws.FILTER($G$60:$G$68,K21:K29&gt;0))</f>
        <v>0.96089497342229024</v>
      </c>
      <c r="L72" s="44" cm="1">
        <f t="array" ref="L72">+MIN(_xlfn._xlws.FILTER($G$60:$G$68,L21:L29&gt;0))</f>
        <v>0.96089497342229024</v>
      </c>
      <c r="M72" s="45" cm="1">
        <f t="array" ref="M72">+MIN(_xlfn._xlws.FILTER($G$60:$G$68,M21:M29&gt;0))</f>
        <v>0.96089497342229024</v>
      </c>
    </row>
    <row r="73" spans="1:13" ht="15.75" thickBot="1" x14ac:dyDescent="0.3">
      <c r="C73" t="s">
        <v>26</v>
      </c>
      <c r="D73" s="49" t="s">
        <v>18</v>
      </c>
      <c r="E73" s="50" cm="1">
        <f t="array" ref="E73:M73">+TRANSPOSE(M47:M55)</f>
        <v>1</v>
      </c>
      <c r="F73" s="51">
        <v>1</v>
      </c>
      <c r="G73" s="51">
        <v>1</v>
      </c>
      <c r="H73" s="51">
        <v>1</v>
      </c>
      <c r="I73" s="51">
        <v>1</v>
      </c>
      <c r="J73" s="51">
        <v>1</v>
      </c>
      <c r="K73" s="51">
        <v>1</v>
      </c>
      <c r="L73" s="51">
        <v>1</v>
      </c>
      <c r="M73" s="52">
        <v>1</v>
      </c>
    </row>
    <row r="74" spans="1:13" x14ac:dyDescent="0.25">
      <c r="D74" s="22" t="s">
        <v>22</v>
      </c>
      <c r="E74" s="46">
        <f>+MIN(E72:E73)</f>
        <v>0.96089497342229024</v>
      </c>
      <c r="F74" s="47">
        <f t="shared" ref="F74:M74" si="17">+MIN(F72:F73)</f>
        <v>0.96089497342229024</v>
      </c>
      <c r="G74" s="47">
        <f t="shared" si="17"/>
        <v>0.96089497342229024</v>
      </c>
      <c r="H74" s="47">
        <f t="shared" si="17"/>
        <v>0.96089497342229024</v>
      </c>
      <c r="I74" s="47">
        <f t="shared" si="17"/>
        <v>0.96089497342229024</v>
      </c>
      <c r="J74" s="47">
        <f t="shared" si="17"/>
        <v>0.96089497342229024</v>
      </c>
      <c r="K74" s="47">
        <f t="shared" si="17"/>
        <v>0.96089497342229024</v>
      </c>
      <c r="L74" s="47">
        <f t="shared" si="17"/>
        <v>0.96089497342229024</v>
      </c>
      <c r="M74" s="48">
        <f t="shared" si="17"/>
        <v>0.96089497342229024</v>
      </c>
    </row>
    <row r="75" spans="1:13" x14ac:dyDescent="0.25">
      <c r="A75" s="66"/>
    </row>
    <row r="76" spans="1:13" ht="15.75" thickBot="1" x14ac:dyDescent="0.3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13" ht="15.75" thickBot="1" x14ac:dyDescent="0.3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13" x14ac:dyDescent="0.25">
      <c r="B78" s="63" cm="1">
        <f t="array" ref="B78:B86">+TRANSPOSE(E74:M74)</f>
        <v>0.96089497342229024</v>
      </c>
      <c r="C78" s="20" t="s">
        <v>1</v>
      </c>
      <c r="D78" s="28" t="s">
        <v>51</v>
      </c>
      <c r="E78" s="1">
        <f>+E5*$B78</f>
        <v>9.0720924669848912</v>
      </c>
      <c r="F78" s="2">
        <f t="shared" ref="F78:M78" si="18">+F5*$B78</f>
        <v>4.9245080550758482</v>
      </c>
      <c r="G78" s="2">
        <f t="shared" si="18"/>
        <v>8.8441284359542536</v>
      </c>
      <c r="H78" s="2">
        <f t="shared" si="18"/>
        <v>1.2882267545265917</v>
      </c>
      <c r="I78" s="2">
        <f t="shared" si="18"/>
        <v>0.69054846889950261</v>
      </c>
      <c r="J78" s="2">
        <f t="shared" si="18"/>
        <v>7.0449464933842396</v>
      </c>
      <c r="K78" s="2">
        <f t="shared" si="18"/>
        <v>3.3000042300085339</v>
      </c>
      <c r="L78" s="2">
        <f t="shared" si="18"/>
        <v>6.5921239797369937</v>
      </c>
      <c r="M78" s="3">
        <f t="shared" si="18"/>
        <v>2.4445898928544993</v>
      </c>
    </row>
    <row r="79" spans="1:13" x14ac:dyDescent="0.25">
      <c r="B79" s="30">
        <v>0.96089497342229024</v>
      </c>
      <c r="C79" s="20" t="s">
        <v>1</v>
      </c>
      <c r="D79" s="25" t="s">
        <v>52</v>
      </c>
      <c r="E79" s="5">
        <f t="shared" ref="E79:M86" si="19">+E6*$B79</f>
        <v>7.3233324941491675</v>
      </c>
      <c r="F79" s="6">
        <f t="shared" si="19"/>
        <v>3.262072931480879</v>
      </c>
      <c r="G79" s="6">
        <f t="shared" si="19"/>
        <v>7.8878131796843887</v>
      </c>
      <c r="H79" s="6">
        <f t="shared" si="19"/>
        <v>4.0282379730388902</v>
      </c>
      <c r="I79" s="6">
        <f t="shared" si="19"/>
        <v>2.0806989613543787</v>
      </c>
      <c r="J79" s="6">
        <f t="shared" si="19"/>
        <v>8.7832924804048211</v>
      </c>
      <c r="K79" s="6">
        <f t="shared" si="19"/>
        <v>1.9549987963673776</v>
      </c>
      <c r="L79" s="6">
        <f t="shared" si="19"/>
        <v>4.1009735122022253</v>
      </c>
      <c r="M79" s="7">
        <f t="shared" si="19"/>
        <v>6.7015383955877974</v>
      </c>
    </row>
    <row r="80" spans="1:13" x14ac:dyDescent="0.25">
      <c r="B80" s="30">
        <v>0.96089497342229024</v>
      </c>
      <c r="C80" s="20" t="s">
        <v>1</v>
      </c>
      <c r="D80" s="25" t="s">
        <v>53</v>
      </c>
      <c r="E80" s="5">
        <f t="shared" si="19"/>
        <v>0.44581106048106006</v>
      </c>
      <c r="F80" s="6">
        <f t="shared" si="19"/>
        <v>0.19504233896046327</v>
      </c>
      <c r="G80" s="6">
        <f t="shared" si="19"/>
        <v>0.12638138214654623</v>
      </c>
      <c r="H80" s="6">
        <f t="shared" si="19"/>
        <v>5.8694774163209926</v>
      </c>
      <c r="I80" s="6">
        <f t="shared" si="19"/>
        <v>3.4805193528982206</v>
      </c>
      <c r="J80" s="6">
        <f t="shared" si="19"/>
        <v>3.3394062254675392</v>
      </c>
      <c r="K80" s="6">
        <f t="shared" si="19"/>
        <v>5.9922584918163286</v>
      </c>
      <c r="L80" s="6">
        <f t="shared" si="19"/>
        <v>3.4472027728569716</v>
      </c>
      <c r="M80" s="7">
        <f t="shared" si="19"/>
        <v>6.1037112569365934</v>
      </c>
    </row>
    <row r="81" spans="1:14" x14ac:dyDescent="0.25">
      <c r="B81" s="30">
        <v>0.96089497342229024</v>
      </c>
      <c r="C81" s="20" t="s">
        <v>10</v>
      </c>
      <c r="D81" s="25" t="str">
        <f>+D78</f>
        <v>Agr</v>
      </c>
      <c r="E81" s="5">
        <f t="shared" si="19"/>
        <v>7.9410001113430928</v>
      </c>
      <c r="F81" s="6">
        <f t="shared" si="19"/>
        <v>4.6346531067957182</v>
      </c>
      <c r="G81" s="6">
        <f t="shared" si="19"/>
        <v>3.558608609309907</v>
      </c>
      <c r="H81" s="6">
        <f t="shared" si="19"/>
        <v>5.8100053524033459</v>
      </c>
      <c r="I81" s="6">
        <f t="shared" si="19"/>
        <v>8.4526308972178708</v>
      </c>
      <c r="J81" s="6">
        <f t="shared" si="19"/>
        <v>7.5344650807904152</v>
      </c>
      <c r="K81" s="6">
        <f t="shared" si="19"/>
        <v>8.6959126694640059</v>
      </c>
      <c r="L81" s="6">
        <f t="shared" si="19"/>
        <v>7.7837273707160728</v>
      </c>
      <c r="M81" s="7">
        <f t="shared" si="19"/>
        <v>7.8549910797239777</v>
      </c>
    </row>
    <row r="82" spans="1:14" x14ac:dyDescent="0.25">
      <c r="B82" s="30">
        <v>0.96089497342229024</v>
      </c>
      <c r="C82" s="20" t="s">
        <v>10</v>
      </c>
      <c r="D82" s="25" t="str">
        <f t="shared" ref="D82:D86" si="20">+D79</f>
        <v>Ind</v>
      </c>
      <c r="E82" s="5">
        <f t="shared" si="19"/>
        <v>3.7766942707490516</v>
      </c>
      <c r="F82" s="6">
        <f t="shared" si="19"/>
        <v>2.152190445681736</v>
      </c>
      <c r="G82" s="6">
        <f t="shared" si="19"/>
        <v>2.7606818133977149</v>
      </c>
      <c r="H82" s="6">
        <f t="shared" si="19"/>
        <v>5.2666706376168975</v>
      </c>
      <c r="I82" s="6">
        <f t="shared" si="19"/>
        <v>5.9491041028717673</v>
      </c>
      <c r="J82" s="6">
        <f t="shared" si="19"/>
        <v>3.6153841843807064</v>
      </c>
      <c r="K82" s="6">
        <f t="shared" si="19"/>
        <v>8.0409102259613476</v>
      </c>
      <c r="L82" s="6">
        <f t="shared" si="19"/>
        <v>2.1289249333780287</v>
      </c>
      <c r="M82" s="7">
        <f t="shared" si="19"/>
        <v>7.1474757564100875</v>
      </c>
    </row>
    <row r="83" spans="1:14" x14ac:dyDescent="0.25">
      <c r="B83" s="30">
        <v>0.96089497342229024</v>
      </c>
      <c r="C83" s="20" t="s">
        <v>10</v>
      </c>
      <c r="D83" s="25" t="str">
        <f t="shared" si="20"/>
        <v>Serv</v>
      </c>
      <c r="E83" s="5">
        <f t="shared" si="19"/>
        <v>5.269259971419161</v>
      </c>
      <c r="F83" s="6">
        <f t="shared" si="19"/>
        <v>4.2343995297633192</v>
      </c>
      <c r="G83" s="6">
        <f t="shared" si="19"/>
        <v>3.346136018025859</v>
      </c>
      <c r="H83" s="6">
        <f t="shared" si="19"/>
        <v>0.92574473103787736</v>
      </c>
      <c r="I83" s="6">
        <f t="shared" si="19"/>
        <v>7.4953861531850388</v>
      </c>
      <c r="J83" s="6">
        <f t="shared" si="19"/>
        <v>1.6927707427940379</v>
      </c>
      <c r="K83" s="6">
        <f t="shared" si="19"/>
        <v>1.0843290036829938</v>
      </c>
      <c r="L83" s="6">
        <f t="shared" si="19"/>
        <v>5.0368993851565556</v>
      </c>
      <c r="M83" s="7">
        <f t="shared" si="19"/>
        <v>1.1832661277372982</v>
      </c>
    </row>
    <row r="84" spans="1:14" x14ac:dyDescent="0.25">
      <c r="B84" s="30">
        <v>0.96089497342229024</v>
      </c>
      <c r="C84" s="20" t="s">
        <v>11</v>
      </c>
      <c r="D84" s="25" t="str">
        <f t="shared" si="20"/>
        <v>Agr</v>
      </c>
      <c r="E84" s="5">
        <f t="shared" si="19"/>
        <v>3.7579012564160226</v>
      </c>
      <c r="F84" s="6">
        <f t="shared" si="19"/>
        <v>9.3235605060775271</v>
      </c>
      <c r="G84" s="6">
        <f t="shared" si="19"/>
        <v>7.5019934715634227</v>
      </c>
      <c r="H84" s="6">
        <f t="shared" si="19"/>
        <v>7.9724930799235194</v>
      </c>
      <c r="I84" s="6">
        <f t="shared" si="19"/>
        <v>9.0832822125010981</v>
      </c>
      <c r="J84" s="6">
        <f t="shared" si="19"/>
        <v>0.76094774694258294</v>
      </c>
      <c r="K84" s="6">
        <f t="shared" si="19"/>
        <v>6.8868047684765576</v>
      </c>
      <c r="L84" s="6">
        <f t="shared" si="19"/>
        <v>8.5712906451526809</v>
      </c>
      <c r="M84" s="7">
        <f t="shared" si="19"/>
        <v>7.6390046119731689</v>
      </c>
    </row>
    <row r="85" spans="1:14" x14ac:dyDescent="0.25">
      <c r="B85" s="30">
        <v>0.96089497342229024</v>
      </c>
      <c r="C85" s="20" t="s">
        <v>11</v>
      </c>
      <c r="D85" s="25" t="str">
        <f t="shared" si="20"/>
        <v>Ind</v>
      </c>
      <c r="E85" s="5">
        <f t="shared" si="19"/>
        <v>1.1925437375555088</v>
      </c>
      <c r="F85" s="6">
        <f t="shared" si="19"/>
        <v>6.8783071252911094</v>
      </c>
      <c r="G85" s="6">
        <f t="shared" si="19"/>
        <v>0.21896748392364529</v>
      </c>
      <c r="H85" s="6">
        <f t="shared" si="19"/>
        <v>7.5600598841215163</v>
      </c>
      <c r="I85" s="6">
        <f t="shared" si="19"/>
        <v>0.1807345034163379</v>
      </c>
      <c r="J85" s="6">
        <f t="shared" si="19"/>
        <v>0.24612370228948663</v>
      </c>
      <c r="K85" s="6">
        <f t="shared" si="19"/>
        <v>7.0245732118379758</v>
      </c>
      <c r="L85" s="6">
        <f t="shared" si="19"/>
        <v>8.4731740478075803</v>
      </c>
      <c r="M85" s="7">
        <f t="shared" si="19"/>
        <v>1.2803033894836284</v>
      </c>
    </row>
    <row r="86" spans="1:14" x14ac:dyDescent="0.25">
      <c r="B86" s="31">
        <v>0.96089497342229024</v>
      </c>
      <c r="C86" s="20" t="s">
        <v>11</v>
      </c>
      <c r="D86" s="25" t="str">
        <f t="shared" si="20"/>
        <v>Serv</v>
      </c>
      <c r="E86" s="9">
        <f t="shared" si="19"/>
        <v>9.0746504518033344</v>
      </c>
      <c r="F86" s="10">
        <f t="shared" si="19"/>
        <v>2.0410612803965225</v>
      </c>
      <c r="G86" s="10">
        <f t="shared" si="19"/>
        <v>3.609935164548149</v>
      </c>
      <c r="H86" s="10">
        <f t="shared" si="19"/>
        <v>8.8145534507657963</v>
      </c>
      <c r="I86" s="10">
        <f t="shared" si="19"/>
        <v>0.61769045956068158</v>
      </c>
      <c r="J86" s="10">
        <f t="shared" si="19"/>
        <v>0.26546208359105511</v>
      </c>
      <c r="K86" s="10">
        <f t="shared" si="19"/>
        <v>3.0913460245468709</v>
      </c>
      <c r="L86" s="10">
        <f t="shared" si="19"/>
        <v>0.49913362169184189</v>
      </c>
      <c r="M86" s="11">
        <f t="shared" si="19"/>
        <v>6.578386506298191</v>
      </c>
    </row>
    <row r="87" spans="1:14" x14ac:dyDescent="0.25">
      <c r="N87" s="19">
        <f>+SUM(E78:M86)</f>
        <v>381.84044453854966</v>
      </c>
    </row>
    <row r="88" spans="1:14" x14ac:dyDescent="0.25">
      <c r="D88" s="20" t="str" cm="1">
        <f t="array" ref="D88:M89">+TRANSPOSE(E59:F68)</f>
        <v>x_md</v>
      </c>
      <c r="E88" s="43">
        <v>66.685384615384606</v>
      </c>
      <c r="F88" s="44">
        <v>51.657692307692308</v>
      </c>
      <c r="G88" s="44">
        <v>44.143846153846155</v>
      </c>
      <c r="H88" s="44">
        <v>77.016923076923092</v>
      </c>
      <c r="I88" s="44">
        <v>46.961538461538467</v>
      </c>
      <c r="J88" s="44">
        <v>51.657692307692301</v>
      </c>
      <c r="K88" s="44">
        <v>74.199230769230766</v>
      </c>
      <c r="L88" s="44">
        <v>61.05</v>
      </c>
      <c r="M88" s="45">
        <v>56.353846153846142</v>
      </c>
    </row>
    <row r="89" spans="1:14" ht="15.75" thickBot="1" x14ac:dyDescent="0.3">
      <c r="D89" s="49" t="str">
        <v>x_max</v>
      </c>
      <c r="E89" s="50">
        <v>68.300273077911072</v>
      </c>
      <c r="F89" s="51">
        <v>52.908662243452241</v>
      </c>
      <c r="G89" s="51">
        <v>43.302764577421641</v>
      </c>
      <c r="H89" s="51">
        <v>74.005174253066585</v>
      </c>
      <c r="I89" s="51">
        <v>46.405439665484217</v>
      </c>
      <c r="J89" s="51">
        <v>50.537980374372758</v>
      </c>
      <c r="K89" s="51">
        <v>75.996078495140495</v>
      </c>
      <c r="L89" s="51">
        <v>60.767341055101383</v>
      </c>
      <c r="M89" s="52">
        <v>57.718540629220627</v>
      </c>
    </row>
    <row r="90" spans="1:14" x14ac:dyDescent="0.25">
      <c r="D90" s="22"/>
      <c r="E90" s="46">
        <f>+MIN(E88:E89)</f>
        <v>66.685384615384606</v>
      </c>
      <c r="F90" s="47">
        <f t="shared" ref="F90:M90" si="21">+MIN(F88:F89)</f>
        <v>51.657692307692308</v>
      </c>
      <c r="G90" s="47">
        <f t="shared" si="21"/>
        <v>43.302764577421641</v>
      </c>
      <c r="H90" s="47">
        <f t="shared" si="21"/>
        <v>74.005174253066585</v>
      </c>
      <c r="I90" s="47">
        <f t="shared" si="21"/>
        <v>46.405439665484217</v>
      </c>
      <c r="J90" s="47">
        <f t="shared" si="21"/>
        <v>50.537980374372758</v>
      </c>
      <c r="K90" s="47">
        <f t="shared" si="21"/>
        <v>74.199230769230766</v>
      </c>
      <c r="L90" s="47">
        <f t="shared" si="21"/>
        <v>60.767341055101383</v>
      </c>
      <c r="M90" s="48">
        <f t="shared" si="21"/>
        <v>56.353846153846142</v>
      </c>
    </row>
    <row r="91" spans="1:14" x14ac:dyDescent="0.25">
      <c r="A91" s="66"/>
    </row>
    <row r="92" spans="1:14" ht="15.75" thickBot="1" x14ac:dyDescent="0.3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14" ht="15.75" thickBot="1" x14ac:dyDescent="0.3">
      <c r="A93" s="67"/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14" x14ac:dyDescent="0.25">
      <c r="C94" s="20" t="s">
        <v>1</v>
      </c>
      <c r="D94" s="28" t="s">
        <v>51</v>
      </c>
      <c r="E94" s="1">
        <f>+E21*E$88</f>
        <v>9.2180650143414695</v>
      </c>
      <c r="F94" s="2">
        <f t="shared" ref="F94:M94" si="22">+F21*F$88</f>
        <v>5.0037447899188212</v>
      </c>
      <c r="G94" s="2">
        <f t="shared" si="22"/>
        <v>9.3828260514778705</v>
      </c>
      <c r="H94" s="2">
        <f t="shared" si="22"/>
        <v>1.3952128628533595</v>
      </c>
      <c r="I94" s="2">
        <f t="shared" si="22"/>
        <v>0.72726329520614907</v>
      </c>
      <c r="J94" s="2">
        <f t="shared" si="22"/>
        <v>7.4940898570923853</v>
      </c>
      <c r="K94" s="2">
        <f t="shared" si="22"/>
        <v>3.3531022363940366</v>
      </c>
      <c r="L94" s="2">
        <f t="shared" si="22"/>
        <v>6.8923112207971533</v>
      </c>
      <c r="M94" s="3">
        <f t="shared" si="22"/>
        <v>2.4839240393263013</v>
      </c>
      <c r="N94" s="19"/>
    </row>
    <row r="95" spans="1:14" x14ac:dyDescent="0.25">
      <c r="C95" s="20" t="s">
        <v>1</v>
      </c>
      <c r="D95" s="25" t="s">
        <v>52</v>
      </c>
      <c r="E95" s="5">
        <f t="shared" ref="E95:M102" si="23">+E22*E$88</f>
        <v>7.4411669962996339</v>
      </c>
      <c r="F95" s="6">
        <f t="shared" si="23"/>
        <v>3.3145606124876696</v>
      </c>
      <c r="G95" s="6">
        <f t="shared" si="23"/>
        <v>8.3682614434519724</v>
      </c>
      <c r="H95" s="6">
        <f t="shared" si="23"/>
        <v>4.362779623128989</v>
      </c>
      <c r="I95" s="6">
        <f t="shared" si="23"/>
        <v>2.1913247963291336</v>
      </c>
      <c r="J95" s="6">
        <f t="shared" si="23"/>
        <v>9.3432623159154371</v>
      </c>
      <c r="K95" s="6">
        <f t="shared" si="23"/>
        <v>1.9864552828861528</v>
      </c>
      <c r="L95" s="6">
        <f t="shared" si="23"/>
        <v>4.2877205952475128</v>
      </c>
      <c r="M95" s="7">
        <f t="shared" si="23"/>
        <v>6.8093680538912018</v>
      </c>
      <c r="N95" s="19"/>
    </row>
    <row r="96" spans="1:14" x14ac:dyDescent="0.25">
      <c r="C96" s="20" t="s">
        <v>1</v>
      </c>
      <c r="D96" s="25" t="s">
        <v>53</v>
      </c>
      <c r="E96" s="5">
        <f t="shared" si="23"/>
        <v>0.45298428720631478</v>
      </c>
      <c r="F96" s="6">
        <f t="shared" si="23"/>
        <v>0.19818062565276223</v>
      </c>
      <c r="G96" s="6">
        <f t="shared" si="23"/>
        <v>0.13407929717592895</v>
      </c>
      <c r="H96" s="6">
        <f t="shared" si="23"/>
        <v>6.3569323961818949</v>
      </c>
      <c r="I96" s="6">
        <f t="shared" si="23"/>
        <v>3.6655703221693976</v>
      </c>
      <c r="J96" s="6">
        <f t="shared" si="23"/>
        <v>3.5523066564790318</v>
      </c>
      <c r="K96" s="6">
        <f t="shared" si="23"/>
        <v>6.0886756347910893</v>
      </c>
      <c r="L96" s="6">
        <f t="shared" si="23"/>
        <v>3.6041789300014173</v>
      </c>
      <c r="M96" s="7">
        <f t="shared" si="23"/>
        <v>6.2019217065926666</v>
      </c>
      <c r="N96" s="19"/>
    </row>
    <row r="97" spans="3:25" x14ac:dyDescent="0.25">
      <c r="C97" s="20" t="s">
        <v>10</v>
      </c>
      <c r="D97" s="25" t="str">
        <f>+D94</f>
        <v>Agr</v>
      </c>
      <c r="E97" s="5">
        <f t="shared" si="23"/>
        <v>8.0687730610820925</v>
      </c>
      <c r="F97" s="6">
        <f t="shared" si="23"/>
        <v>4.70922599310338</v>
      </c>
      <c r="G97" s="6">
        <f t="shared" si="23"/>
        <v>3.7753641648515663</v>
      </c>
      <c r="H97" s="6">
        <f t="shared" si="23"/>
        <v>6.2925212292295125</v>
      </c>
      <c r="I97" s="6">
        <f t="shared" si="23"/>
        <v>8.9020372592653008</v>
      </c>
      <c r="J97" s="6">
        <f t="shared" si="23"/>
        <v>8.0148172017477091</v>
      </c>
      <c r="K97" s="6">
        <f t="shared" si="23"/>
        <v>8.8358323769153433</v>
      </c>
      <c r="L97" s="6">
        <f t="shared" si="23"/>
        <v>8.1381769611306218</v>
      </c>
      <c r="M97" s="7">
        <f t="shared" si="23"/>
        <v>7.9813801196883807</v>
      </c>
      <c r="N97" s="19"/>
    </row>
    <row r="98" spans="3:25" x14ac:dyDescent="0.25">
      <c r="C98" s="20" t="s">
        <v>10</v>
      </c>
      <c r="D98" s="25" t="str">
        <f t="shared" ref="D98:D102" si="24">+D95</f>
        <v>Ind</v>
      </c>
      <c r="E98" s="5">
        <f t="shared" si="23"/>
        <v>3.8374623554323266</v>
      </c>
      <c r="F98" s="6">
        <f t="shared" si="23"/>
        <v>2.1868198019075407</v>
      </c>
      <c r="G98" s="6">
        <f t="shared" si="23"/>
        <v>2.92883548968886</v>
      </c>
      <c r="H98" s="6">
        <f t="shared" si="23"/>
        <v>5.70406304029569</v>
      </c>
      <c r="I98" s="6">
        <f t="shared" si="23"/>
        <v>6.2654038756671255</v>
      </c>
      <c r="J98" s="6">
        <f t="shared" si="23"/>
        <v>3.8458793081115785</v>
      </c>
      <c r="K98" s="6">
        <f t="shared" si="23"/>
        <v>8.1702907578530439</v>
      </c>
      <c r="L98" s="6">
        <f t="shared" si="23"/>
        <v>2.2258703343048527</v>
      </c>
      <c r="M98" s="7">
        <f t="shared" si="23"/>
        <v>7.2624806736471497</v>
      </c>
      <c r="N98" s="19"/>
    </row>
    <row r="99" spans="3:25" x14ac:dyDescent="0.25">
      <c r="C99" s="20" t="s">
        <v>10</v>
      </c>
      <c r="D99" s="25" t="str">
        <f t="shared" si="24"/>
        <v>Serv</v>
      </c>
      <c r="E99" s="5">
        <f t="shared" si="23"/>
        <v>5.3540438626230102</v>
      </c>
      <c r="F99" s="6">
        <f t="shared" si="23"/>
        <v>4.3025322222082494</v>
      </c>
      <c r="G99" s="6">
        <f t="shared" si="23"/>
        <v>3.5499498259303488</v>
      </c>
      <c r="H99" s="6">
        <f t="shared" si="23"/>
        <v>1.0026270234834722</v>
      </c>
      <c r="I99" s="6">
        <f t="shared" si="23"/>
        <v>7.8938980797323435</v>
      </c>
      <c r="J99" s="6">
        <f t="shared" si="23"/>
        <v>1.8006916114790206</v>
      </c>
      <c r="K99" s="6">
        <f t="shared" si="23"/>
        <v>1.1017761656708425</v>
      </c>
      <c r="L99" s="6">
        <f t="shared" si="23"/>
        <v>5.2662659648166796</v>
      </c>
      <c r="M99" s="7">
        <f t="shared" si="23"/>
        <v>1.2023052161830061</v>
      </c>
      <c r="N99" s="19"/>
    </row>
    <row r="100" spans="3:25" x14ac:dyDescent="0.25">
      <c r="C100" s="20" t="s">
        <v>11</v>
      </c>
      <c r="D100" s="25" t="str">
        <f t="shared" si="24"/>
        <v>Agr</v>
      </c>
      <c r="E100" s="5">
        <f t="shared" si="23"/>
        <v>3.8183669561550651</v>
      </c>
      <c r="F100" s="6">
        <f t="shared" si="23"/>
        <v>9.4735792456856416</v>
      </c>
      <c r="G100" s="6">
        <f t="shared" si="23"/>
        <v>7.9589413804580662</v>
      </c>
      <c r="H100" s="6">
        <f t="shared" si="23"/>
        <v>8.6346016763224132</v>
      </c>
      <c r="I100" s="6">
        <f t="shared" si="23"/>
        <v>9.5662188110829494</v>
      </c>
      <c r="J100" s="6">
        <f t="shared" si="23"/>
        <v>0.80946119285574625</v>
      </c>
      <c r="K100" s="6">
        <f t="shared" si="23"/>
        <v>6.9976154153984655</v>
      </c>
      <c r="L100" s="6">
        <f t="shared" si="23"/>
        <v>8.9616037064667644</v>
      </c>
      <c r="M100" s="7">
        <f t="shared" si="23"/>
        <v>7.7619183682577724</v>
      </c>
      <c r="N100" s="19"/>
    </row>
    <row r="101" spans="3:25" x14ac:dyDescent="0.25">
      <c r="C101" s="20" t="s">
        <v>11</v>
      </c>
      <c r="D101" s="25" t="str">
        <f t="shared" si="24"/>
        <v>Ind</v>
      </c>
      <c r="E101" s="5">
        <f t="shared" si="23"/>
        <v>1.2117321053811916</v>
      </c>
      <c r="F101" s="6">
        <f t="shared" si="23"/>
        <v>6.9889810427179402</v>
      </c>
      <c r="G101" s="6">
        <f t="shared" si="23"/>
        <v>0.2323048367584751</v>
      </c>
      <c r="H101" s="6">
        <f t="shared" si="23"/>
        <v>8.1879162633477875</v>
      </c>
      <c r="I101" s="6">
        <f t="shared" si="23"/>
        <v>0.19034372883555256</v>
      </c>
      <c r="J101" s="6">
        <f t="shared" si="23"/>
        <v>0.26181506738905302</v>
      </c>
      <c r="K101" s="6">
        <f t="shared" si="23"/>
        <v>7.1376005921867085</v>
      </c>
      <c r="L101" s="6">
        <f t="shared" si="23"/>
        <v>8.8590191484537861</v>
      </c>
      <c r="M101" s="7">
        <f t="shared" si="23"/>
        <v>1.3009038350624529</v>
      </c>
      <c r="N101" s="19"/>
    </row>
    <row r="102" spans="3:25" x14ac:dyDescent="0.25">
      <c r="C102" s="20" t="s">
        <v>11</v>
      </c>
      <c r="D102" s="25" t="str">
        <f t="shared" si="24"/>
        <v>Serv</v>
      </c>
      <c r="E102" s="9">
        <f t="shared" si="23"/>
        <v>9.2206641578629807</v>
      </c>
      <c r="F102" s="10">
        <f t="shared" si="23"/>
        <v>2.073902536754372</v>
      </c>
      <c r="G102" s="10">
        <f t="shared" si="23"/>
        <v>3.8298170307398753</v>
      </c>
      <c r="H102" s="10">
        <f t="shared" si="23"/>
        <v>9.5465944264884826</v>
      </c>
      <c r="I102" s="10">
        <f t="shared" si="23"/>
        <v>0.65053159809826278</v>
      </c>
      <c r="J102" s="10">
        <f t="shared" si="23"/>
        <v>0.28238634742656132</v>
      </c>
      <c r="K102" s="10">
        <f t="shared" si="23"/>
        <v>3.1410866610765287</v>
      </c>
      <c r="L102" s="10">
        <f t="shared" si="23"/>
        <v>0.52186279748959696</v>
      </c>
      <c r="M102" s="11">
        <f t="shared" si="23"/>
        <v>6.6842346156858632</v>
      </c>
      <c r="N102" s="19"/>
    </row>
    <row r="103" spans="3:25" x14ac:dyDescent="0.25">
      <c r="N103" s="19">
        <f>+SUM(E94:M102)</f>
        <v>397.23359646378316</v>
      </c>
    </row>
    <row r="104" spans="3:25" ht="15.75" thickBot="1" x14ac:dyDescent="0.3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25" ht="15.75" thickBot="1" x14ac:dyDescent="0.3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25" x14ac:dyDescent="0.25">
      <c r="C106" s="20" t="s">
        <v>1</v>
      </c>
      <c r="D106" s="28" t="s">
        <v>51</v>
      </c>
      <c r="E106" s="1">
        <f>+MAX(E94-E78,0)</f>
        <v>0.14597254735657827</v>
      </c>
      <c r="F106" s="2">
        <f t="shared" ref="F106:M106" si="25">+MAX(F94-F78,0)</f>
        <v>7.9236734842973E-2</v>
      </c>
      <c r="G106" s="2">
        <f t="shared" si="25"/>
        <v>0.53869761552361695</v>
      </c>
      <c r="H106" s="2">
        <f t="shared" si="25"/>
        <v>0.1069861083267678</v>
      </c>
      <c r="I106" s="2">
        <f t="shared" si="25"/>
        <v>3.6714826306646464E-2</v>
      </c>
      <c r="J106" s="2">
        <f t="shared" si="25"/>
        <v>0.44914336370814567</v>
      </c>
      <c r="K106" s="2">
        <f t="shared" si="25"/>
        <v>5.3098006385502661E-2</v>
      </c>
      <c r="L106" s="2">
        <f t="shared" si="25"/>
        <v>0.30018724106015959</v>
      </c>
      <c r="M106" s="3">
        <f t="shared" si="25"/>
        <v>3.9334146471802001E-2</v>
      </c>
      <c r="N106" s="53">
        <f>+SUM(E106:M106)</f>
        <v>1.7493705899821923</v>
      </c>
    </row>
    <row r="107" spans="3:25" x14ac:dyDescent="0.25">
      <c r="C107" s="20" t="s">
        <v>1</v>
      </c>
      <c r="D107" s="25" t="s">
        <v>52</v>
      </c>
      <c r="E107" s="5">
        <f t="shared" ref="E107:M114" si="26">+MAX(E95-E79,0)</f>
        <v>0.11783450215046631</v>
      </c>
      <c r="F107" s="6">
        <f t="shared" si="26"/>
        <v>5.2487681006790687E-2</v>
      </c>
      <c r="G107" s="6">
        <f t="shared" si="26"/>
        <v>0.48044826376758376</v>
      </c>
      <c r="H107" s="6">
        <f t="shared" si="26"/>
        <v>0.33454165009009884</v>
      </c>
      <c r="I107" s="6">
        <f t="shared" si="26"/>
        <v>0.11062583497475487</v>
      </c>
      <c r="J107" s="6">
        <f t="shared" si="26"/>
        <v>0.55996983551061597</v>
      </c>
      <c r="K107" s="6">
        <f t="shared" si="26"/>
        <v>3.1456486518775195E-2</v>
      </c>
      <c r="L107" s="6">
        <f t="shared" si="26"/>
        <v>0.18674708304528753</v>
      </c>
      <c r="M107" s="7">
        <f t="shared" si="26"/>
        <v>0.10782965830340441</v>
      </c>
      <c r="N107" s="8">
        <f t="shared" ref="N107:N114" si="27">+SUM(E107:M107)</f>
        <v>1.9819409953677776</v>
      </c>
    </row>
    <row r="108" spans="3:25" x14ac:dyDescent="0.25">
      <c r="C108" s="20" t="s">
        <v>1</v>
      </c>
      <c r="D108" s="25" t="s">
        <v>53</v>
      </c>
      <c r="E108" s="5">
        <f t="shared" si="26"/>
        <v>7.1732267252547222E-3</v>
      </c>
      <c r="F108" s="6">
        <f t="shared" si="26"/>
        <v>3.1382866922989583E-3</v>
      </c>
      <c r="G108" s="6">
        <f t="shared" si="26"/>
        <v>7.6979150293827181E-3</v>
      </c>
      <c r="H108" s="6">
        <f t="shared" si="26"/>
        <v>0.48745497986090225</v>
      </c>
      <c r="I108" s="6">
        <f t="shared" si="26"/>
        <v>0.18505096927117703</v>
      </c>
      <c r="J108" s="6">
        <f t="shared" si="26"/>
        <v>0.21290043101149259</v>
      </c>
      <c r="K108" s="6">
        <f t="shared" si="26"/>
        <v>9.6417142974760672E-2</v>
      </c>
      <c r="L108" s="6">
        <f t="shared" si="26"/>
        <v>0.15697615714444568</v>
      </c>
      <c r="M108" s="7">
        <f t="shared" si="26"/>
        <v>9.8210449656073173E-2</v>
      </c>
      <c r="N108" s="8">
        <f t="shared" si="27"/>
        <v>1.2550195583657877</v>
      </c>
    </row>
    <row r="109" spans="3:25" x14ac:dyDescent="0.25">
      <c r="C109" s="20" t="s">
        <v>10</v>
      </c>
      <c r="D109" s="25" t="str">
        <f>+D106</f>
        <v>Agr</v>
      </c>
      <c r="E109" s="5">
        <f t="shared" si="26"/>
        <v>0.12777294973899966</v>
      </c>
      <c r="F109" s="6">
        <f t="shared" si="26"/>
        <v>7.457288630766179E-2</v>
      </c>
      <c r="G109" s="6">
        <f t="shared" si="26"/>
        <v>0.21675555554165937</v>
      </c>
      <c r="H109" s="6">
        <f t="shared" si="26"/>
        <v>0.48251587682616659</v>
      </c>
      <c r="I109" s="6">
        <f t="shared" si="26"/>
        <v>0.44940636204743001</v>
      </c>
      <c r="J109" s="6">
        <f t="shared" si="26"/>
        <v>0.48035212095729385</v>
      </c>
      <c r="K109" s="6">
        <f t="shared" si="26"/>
        <v>0.13991970745133742</v>
      </c>
      <c r="L109" s="6">
        <f t="shared" si="26"/>
        <v>0.35444959041454904</v>
      </c>
      <c r="M109" s="7">
        <f t="shared" si="26"/>
        <v>0.12638903996440298</v>
      </c>
      <c r="N109" s="8">
        <f t="shared" si="27"/>
        <v>2.4521340892495007</v>
      </c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3:25" x14ac:dyDescent="0.25">
      <c r="C110" s="20" t="s">
        <v>10</v>
      </c>
      <c r="D110" s="25" t="str">
        <f t="shared" ref="D110:D114" si="28">+D107</f>
        <v>Ind</v>
      </c>
      <c r="E110" s="5">
        <f t="shared" si="26"/>
        <v>6.0768084683274992E-2</v>
      </c>
      <c r="F110" s="6">
        <f t="shared" si="26"/>
        <v>3.4629356225804653E-2</v>
      </c>
      <c r="G110" s="6">
        <f t="shared" si="26"/>
        <v>0.16815367629114508</v>
      </c>
      <c r="H110" s="6">
        <f t="shared" si="26"/>
        <v>0.43739240267879254</v>
      </c>
      <c r="I110" s="6">
        <f t="shared" si="26"/>
        <v>0.31629977279535826</v>
      </c>
      <c r="J110" s="6">
        <f t="shared" si="26"/>
        <v>0.23049512373087211</v>
      </c>
      <c r="K110" s="6">
        <f t="shared" si="26"/>
        <v>0.12938053189169629</v>
      </c>
      <c r="L110" s="6">
        <f t="shared" si="26"/>
        <v>9.6945400926824021E-2</v>
      </c>
      <c r="M110" s="7">
        <f t="shared" si="26"/>
        <v>0.11500491723706219</v>
      </c>
      <c r="N110" s="8">
        <f t="shared" si="27"/>
        <v>1.5890692664608301</v>
      </c>
    </row>
    <row r="111" spans="3:25" x14ac:dyDescent="0.25">
      <c r="C111" s="20" t="s">
        <v>10</v>
      </c>
      <c r="D111" s="25" t="str">
        <f t="shared" si="28"/>
        <v>Serv</v>
      </c>
      <c r="E111" s="5">
        <f t="shared" si="26"/>
        <v>8.4783891203849215E-2</v>
      </c>
      <c r="F111" s="6">
        <f t="shared" si="26"/>
        <v>6.8132692444930143E-2</v>
      </c>
      <c r="G111" s="6">
        <f t="shared" si="26"/>
        <v>0.20381380790448977</v>
      </c>
      <c r="H111" s="6">
        <f t="shared" si="26"/>
        <v>7.6882292445594858E-2</v>
      </c>
      <c r="I111" s="6">
        <f t="shared" si="26"/>
        <v>0.39851192654730472</v>
      </c>
      <c r="J111" s="6">
        <f t="shared" si="26"/>
        <v>0.10792086868498263</v>
      </c>
      <c r="K111" s="6">
        <f t="shared" si="26"/>
        <v>1.7447161987848681E-2</v>
      </c>
      <c r="L111" s="6">
        <f t="shared" si="26"/>
        <v>0.22936657966012408</v>
      </c>
      <c r="M111" s="7">
        <f t="shared" si="26"/>
        <v>1.9039088445707897E-2</v>
      </c>
      <c r="N111" s="8">
        <f t="shared" si="27"/>
        <v>1.2058983093248319</v>
      </c>
    </row>
    <row r="112" spans="3:25" x14ac:dyDescent="0.25">
      <c r="C112" s="20" t="s">
        <v>11</v>
      </c>
      <c r="D112" s="25" t="str">
        <f t="shared" si="28"/>
        <v>Agr</v>
      </c>
      <c r="E112" s="5">
        <f t="shared" si="26"/>
        <v>6.0465699739042478E-2</v>
      </c>
      <c r="F112" s="6">
        <f t="shared" si="26"/>
        <v>0.15001873960811452</v>
      </c>
      <c r="G112" s="6">
        <f t="shared" si="26"/>
        <v>0.45694790889464354</v>
      </c>
      <c r="H112" s="6">
        <f t="shared" si="26"/>
        <v>0.66210859639889375</v>
      </c>
      <c r="I112" s="6">
        <f t="shared" si="26"/>
        <v>0.48293659858185123</v>
      </c>
      <c r="J112" s="6">
        <f t="shared" si="26"/>
        <v>4.8513445913163311E-2</v>
      </c>
      <c r="K112" s="6">
        <f t="shared" si="26"/>
        <v>0.1108106469219079</v>
      </c>
      <c r="L112" s="6">
        <f t="shared" si="26"/>
        <v>0.3903130613140835</v>
      </c>
      <c r="M112" s="7">
        <f t="shared" si="26"/>
        <v>0.12291375628460344</v>
      </c>
      <c r="N112" s="8">
        <f t="shared" si="27"/>
        <v>2.4850284536563034</v>
      </c>
    </row>
    <row r="113" spans="1:14" x14ac:dyDescent="0.25">
      <c r="C113" s="20" t="s">
        <v>11</v>
      </c>
      <c r="D113" s="25" t="str">
        <f t="shared" si="28"/>
        <v>Ind</v>
      </c>
      <c r="E113" s="5">
        <f t="shared" si="26"/>
        <v>1.9188367825682784E-2</v>
      </c>
      <c r="F113" s="6">
        <f t="shared" si="26"/>
        <v>0.11067391742683075</v>
      </c>
      <c r="G113" s="6">
        <f t="shared" si="26"/>
        <v>1.3337352834829813E-2</v>
      </c>
      <c r="H113" s="6">
        <f t="shared" si="26"/>
        <v>0.62785637922627124</v>
      </c>
      <c r="I113" s="6">
        <f t="shared" si="26"/>
        <v>9.609225419214662E-3</v>
      </c>
      <c r="J113" s="6">
        <f t="shared" si="26"/>
        <v>1.5691365099566396E-2</v>
      </c>
      <c r="K113" s="6">
        <f t="shared" si="26"/>
        <v>0.11302738034873272</v>
      </c>
      <c r="L113" s="6">
        <f t="shared" si="26"/>
        <v>0.38584510064620581</v>
      </c>
      <c r="M113" s="7">
        <f t="shared" si="26"/>
        <v>2.0600445578824456E-2</v>
      </c>
      <c r="N113" s="8">
        <f t="shared" si="27"/>
        <v>1.3158295344061588</v>
      </c>
    </row>
    <row r="114" spans="1:14" x14ac:dyDescent="0.25">
      <c r="C114" s="20" t="s">
        <v>11</v>
      </c>
      <c r="D114" s="25" t="str">
        <f t="shared" si="28"/>
        <v>Serv</v>
      </c>
      <c r="E114" s="9">
        <f t="shared" si="26"/>
        <v>0.14601370605964625</v>
      </c>
      <c r="F114" s="10">
        <f t="shared" si="26"/>
        <v>3.2841256357849513E-2</v>
      </c>
      <c r="G114" s="10">
        <f t="shared" si="26"/>
        <v>0.21988186619172634</v>
      </c>
      <c r="H114" s="10">
        <f t="shared" si="26"/>
        <v>0.73204097572268623</v>
      </c>
      <c r="I114" s="10">
        <f t="shared" si="26"/>
        <v>3.2841138537581194E-2</v>
      </c>
      <c r="J114" s="10">
        <f t="shared" si="26"/>
        <v>1.6924263835506215E-2</v>
      </c>
      <c r="K114" s="10">
        <f t="shared" si="26"/>
        <v>4.9740636529657767E-2</v>
      </c>
      <c r="L114" s="10">
        <f t="shared" si="26"/>
        <v>2.2729175797755075E-2</v>
      </c>
      <c r="M114" s="11">
        <f t="shared" si="26"/>
        <v>0.1058481093876722</v>
      </c>
      <c r="N114" s="12">
        <f t="shared" si="27"/>
        <v>1.3588611284200809</v>
      </c>
    </row>
    <row r="115" spans="1:14" x14ac:dyDescent="0.25">
      <c r="C115" s="57"/>
      <c r="D115" s="57"/>
      <c r="N115" s="19">
        <f>+SUM(E106:M114)</f>
        <v>15.393151925233461</v>
      </c>
    </row>
    <row r="116" spans="1:14" x14ac:dyDescent="0.25">
      <c r="A116" s="66"/>
    </row>
    <row r="117" spans="1:14" x14ac:dyDescent="0.25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</row>
    <row r="118" spans="1:14" x14ac:dyDescent="0.25">
      <c r="A118" s="67"/>
      <c r="C118" s="20" t="s">
        <v>1</v>
      </c>
      <c r="D118" s="28" t="s">
        <v>51</v>
      </c>
      <c r="E118" s="53">
        <f t="shared" ref="E118:E126" si="29">+MAX(F60-H47-SUM(E78:M78),0)</f>
        <v>1.7988312225746412</v>
      </c>
      <c r="F118" s="53" cm="1">
        <f t="array" ref="F118">+E118/_xlfn.XLOOKUP(D118,_xlfn.ANCHORARRAY($I$118),$K$118:$K$120,,0)</f>
        <v>0.26902300292613729</v>
      </c>
      <c r="G118" s="53" cm="1">
        <f t="array" ref="G118">+E118/_xlfn.XLOOKUP(D118,_xlfn.ANCHORARRAY($I$118),$J$118:$J$120,,0)</f>
        <v>0.26315789473684109</v>
      </c>
      <c r="I118" s="54" t="str" cm="1">
        <f t="array" ref="I118:I120">+_xlfn.UNIQUE(D118:D126)</f>
        <v>Agr</v>
      </c>
      <c r="J118" s="58">
        <f>+SUMIF($D$118:$D$126,I118,$E$118:$E$126)</f>
        <v>6.8355586457836637</v>
      </c>
      <c r="K118" s="40">
        <f>+SUMIF($D$106:$D$114,I118,$N$106:$N$114)</f>
        <v>6.6865331328879964</v>
      </c>
      <c r="L118" s="40">
        <f>+J118/K118</f>
        <v>1.0222874111193256</v>
      </c>
      <c r="M118" s="18"/>
    </row>
    <row r="119" spans="1:14" x14ac:dyDescent="0.25">
      <c r="C119" s="20" t="s">
        <v>1</v>
      </c>
      <c r="D119" s="25" t="s">
        <v>52</v>
      </c>
      <c r="E119" s="8">
        <f t="shared" si="29"/>
        <v>1.8770412757300647</v>
      </c>
      <c r="F119" s="8" cm="1">
        <f t="array" ref="F119">+E119/_xlfn.XLOOKUP(D119,_xlfn.ANCHORARRAY($I$118),$K$118:$K$120,,0)</f>
        <v>0.38410125029600833</v>
      </c>
      <c r="G119" s="8" cm="1">
        <f t="array" ref="G119">+E119/_xlfn.XLOOKUP(D119,_xlfn.ANCHORARRAY($I$118),$J$118:$J$120,,0)</f>
        <v>0.38430744595676403</v>
      </c>
      <c r="I119" s="55" t="str">
        <v>Ind</v>
      </c>
      <c r="J119" s="59">
        <f t="shared" ref="J119:J120" si="30">+SUMIF($D$118:$D$126,I119,$E$118:$E$126)</f>
        <v>4.8842178195559569</v>
      </c>
      <c r="K119" s="41">
        <f t="shared" ref="K119:K120" si="31">+SUMIF($D$106:$D$114,I119,$N$106:$N$114)</f>
        <v>4.8868397962347672</v>
      </c>
      <c r="L119" s="41">
        <f t="shared" ref="L119:L120" si="32">+J119/K119</f>
        <v>0.99946346170774203</v>
      </c>
      <c r="M119" s="18"/>
    </row>
    <row r="120" spans="1:14" x14ac:dyDescent="0.25">
      <c r="C120" s="20" t="s">
        <v>1</v>
      </c>
      <c r="D120" s="25" t="s">
        <v>53</v>
      </c>
      <c r="E120" s="8">
        <f t="shared" si="29"/>
        <v>1.1801897021152854</v>
      </c>
      <c r="F120" s="8" cm="1">
        <f t="array" ref="F120">+E120/_xlfn.XLOOKUP(D120,_xlfn.ANCHORARRAY($I$118),$K$118:$K$120,,0)</f>
        <v>0.30896805896805934</v>
      </c>
      <c r="G120" s="8" cm="1">
        <f t="array" ref="G120">+E120/_xlfn.XLOOKUP(D120,_xlfn.ANCHORARRAY($I$118),$J$118:$J$120,,0)</f>
        <v>0.30896805896806029</v>
      </c>
      <c r="I120" s="56" t="str">
        <v>Serv</v>
      </c>
      <c r="J120" s="60">
        <f t="shared" si="30"/>
        <v>3.8197789961106885</v>
      </c>
      <c r="K120" s="42">
        <f t="shared" si="31"/>
        <v>3.8197789961107005</v>
      </c>
      <c r="L120" s="42">
        <f t="shared" si="32"/>
        <v>0.99999999999999689</v>
      </c>
      <c r="M120" s="18"/>
    </row>
    <row r="121" spans="1:14" x14ac:dyDescent="0.25">
      <c r="C121" s="20" t="s">
        <v>10</v>
      </c>
      <c r="D121" s="25" t="str">
        <f>+D118</f>
        <v>Agr</v>
      </c>
      <c r="E121" s="8">
        <f t="shared" si="29"/>
        <v>2.5340057222356052</v>
      </c>
      <c r="F121" s="8" cm="1">
        <f t="array" ref="F121">+E121/_xlfn.XLOOKUP(D121,_xlfn.ANCHORARRAY($I$118),$K$118:$K$120,,0)</f>
        <v>0.37897153455682298</v>
      </c>
      <c r="G121" s="8" cm="1">
        <f t="array" ref="G121">+E121/_xlfn.XLOOKUP(D121,_xlfn.ANCHORARRAY($I$118),$J$118:$J$120,,0)</f>
        <v>0.37070938215103172</v>
      </c>
    </row>
    <row r="122" spans="1:14" x14ac:dyDescent="0.25">
      <c r="C122" s="20" t="s">
        <v>10</v>
      </c>
      <c r="D122" s="25" t="str">
        <f t="shared" ref="D122:D126" si="33">+D119</f>
        <v>Ind</v>
      </c>
      <c r="E122" s="8">
        <f t="shared" si="29"/>
        <v>1.6619636295526732</v>
      </c>
      <c r="F122" s="8" cm="1">
        <f t="array" ref="F122">+E122/_xlfn.XLOOKUP(D122,_xlfn.ANCHORARRAY($I$118),$K$118:$K$120,,0)</f>
        <v>0.34008964869959313</v>
      </c>
      <c r="G122" s="8" cm="1">
        <f t="array" ref="G122">+E122/_xlfn.XLOOKUP(D122,_xlfn.ANCHORARRAY($I$118),$J$118:$J$120,,0)</f>
        <v>0.34027221777422056</v>
      </c>
      <c r="I122" s="20" t="s">
        <v>39</v>
      </c>
    </row>
    <row r="123" spans="1:14" x14ac:dyDescent="0.25">
      <c r="C123" s="20" t="s">
        <v>10</v>
      </c>
      <c r="D123" s="25" t="str">
        <f t="shared" si="33"/>
        <v>Serv</v>
      </c>
      <c r="E123" s="8">
        <f t="shared" si="29"/>
        <v>1.231808337197851</v>
      </c>
      <c r="F123" s="8" cm="1">
        <f t="array" ref="F123">+E123/_xlfn.XLOOKUP(D123,_xlfn.ANCHORARRAY($I$118),$K$118:$K$120,,0)</f>
        <v>0.32248157248156983</v>
      </c>
      <c r="G123" s="8" cm="1">
        <f t="array" ref="G123">+E123/_xlfn.XLOOKUP(D123,_xlfn.ANCHORARRAY($I$118),$J$118:$J$120,,0)</f>
        <v>0.32248157248157089</v>
      </c>
      <c r="I123" s="69">
        <v>1</v>
      </c>
    </row>
    <row r="124" spans="1:14" x14ac:dyDescent="0.25">
      <c r="C124" s="20" t="s">
        <v>11</v>
      </c>
      <c r="D124" s="25" t="str">
        <f t="shared" si="33"/>
        <v>Agr</v>
      </c>
      <c r="E124" s="8">
        <f t="shared" si="29"/>
        <v>2.5027217009734173</v>
      </c>
      <c r="F124" s="8" cm="1">
        <f t="array" ref="F124">+E124/_xlfn.XLOOKUP(D124,_xlfn.ANCHORARRAY($I$118),$K$118:$K$120,,0)</f>
        <v>0.37429287363636538</v>
      </c>
      <c r="G124" s="8" cm="1">
        <f t="array" ref="G124">+E124/_xlfn.XLOOKUP(D124,_xlfn.ANCHORARRAY($I$118),$J$118:$J$120,,0)</f>
        <v>0.36613272311212719</v>
      </c>
    </row>
    <row r="125" spans="1:14" x14ac:dyDescent="0.25">
      <c r="C125" s="20" t="s">
        <v>11</v>
      </c>
      <c r="D125" s="25" t="str">
        <f t="shared" si="33"/>
        <v>Ind</v>
      </c>
      <c r="E125" s="8">
        <f t="shared" si="29"/>
        <v>1.345212914273219</v>
      </c>
      <c r="F125" s="8" cm="1">
        <f t="array" ref="F125">+E125/_xlfn.XLOOKUP(D125,_xlfn.ANCHORARRAY($I$118),$K$118:$K$120,,0)</f>
        <v>0.27527256271214051</v>
      </c>
      <c r="G125" s="8" cm="1">
        <f t="array" ref="G125">+E125/_xlfn.XLOOKUP(D125,_xlfn.ANCHORARRAY($I$118),$J$118:$J$120,,0)</f>
        <v>0.27542033626901541</v>
      </c>
    </row>
    <row r="126" spans="1:14" x14ac:dyDescent="0.25">
      <c r="C126" s="20" t="s">
        <v>11</v>
      </c>
      <c r="D126" s="25" t="str">
        <f t="shared" si="33"/>
        <v>Serv</v>
      </c>
      <c r="E126" s="12">
        <f t="shared" si="29"/>
        <v>1.4077809567975521</v>
      </c>
      <c r="F126" s="12" cm="1">
        <f t="array" ref="F126">+E126/_xlfn.XLOOKUP(D126,_xlfn.ANCHORARRAY($I$118),$K$118:$K$120,,0)</f>
        <v>0.36855036855036766</v>
      </c>
      <c r="G126" s="12" cm="1">
        <f t="array" ref="G126">+E126/_xlfn.XLOOKUP(D126,_xlfn.ANCHORARRAY($I$118),$J$118:$J$120,,0)</f>
        <v>0.36855036855036882</v>
      </c>
    </row>
    <row r="127" spans="1:14" x14ac:dyDescent="0.25">
      <c r="E127" s="19">
        <f>SUM(E118:E126)</f>
        <v>15.539555461450309</v>
      </c>
      <c r="G127" s="19">
        <f>SUM(G118:G126)</f>
        <v>2.9999999999999996</v>
      </c>
    </row>
    <row r="128" spans="1:14" x14ac:dyDescent="0.25">
      <c r="A128" s="64"/>
      <c r="E128" s="19"/>
      <c r="G128" s="19"/>
    </row>
    <row r="129" spans="1:24" ht="15.75" thickBot="1" x14ac:dyDescent="0.3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</row>
    <row r="130" spans="1:24" ht="15.75" thickBot="1" x14ac:dyDescent="0.3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</row>
    <row r="131" spans="1:24" x14ac:dyDescent="0.25">
      <c r="D131" s="28" t="str" cm="1">
        <f t="array" ref="D131:D133">+_xlfn.UNIQUE(D118:D126)</f>
        <v>Agr</v>
      </c>
      <c r="E131" s="1">
        <f t="shared" ref="E131:M133" si="34">+SUMIF($D$106:$D$114,$D131,E$106:E$114)</f>
        <v>0.33421119683462042</v>
      </c>
      <c r="F131" s="2">
        <f t="shared" si="34"/>
        <v>0.30382836075874931</v>
      </c>
      <c r="G131" s="2">
        <f t="shared" si="34"/>
        <v>1.2124010799599199</v>
      </c>
      <c r="H131" s="2">
        <f t="shared" si="34"/>
        <v>1.2516105815518281</v>
      </c>
      <c r="I131" s="2">
        <f t="shared" si="34"/>
        <v>0.9690577869359277</v>
      </c>
      <c r="J131" s="2">
        <f t="shared" si="34"/>
        <v>0.97800893057860283</v>
      </c>
      <c r="K131" s="2">
        <f t="shared" si="34"/>
        <v>0.30382836075874797</v>
      </c>
      <c r="L131" s="2">
        <f t="shared" si="34"/>
        <v>1.0449498927887921</v>
      </c>
      <c r="M131" s="3">
        <f t="shared" si="34"/>
        <v>0.28863694272080842</v>
      </c>
    </row>
    <row r="132" spans="1:24" x14ac:dyDescent="0.25">
      <c r="D132" s="25" t="str">
        <v>Ind</v>
      </c>
      <c r="E132" s="5">
        <f t="shared" si="34"/>
        <v>0.19779095465942409</v>
      </c>
      <c r="F132" s="6">
        <f t="shared" si="34"/>
        <v>0.19779095465942609</v>
      </c>
      <c r="G132" s="6">
        <f t="shared" si="34"/>
        <v>0.66193929289355868</v>
      </c>
      <c r="H132" s="6">
        <f t="shared" si="34"/>
        <v>1.3997904319951626</v>
      </c>
      <c r="I132" s="6">
        <f t="shared" si="34"/>
        <v>0.43653483318932779</v>
      </c>
      <c r="J132" s="6">
        <f t="shared" si="34"/>
        <v>0.80615632434105444</v>
      </c>
      <c r="K132" s="6">
        <f t="shared" si="34"/>
        <v>0.27386439875920421</v>
      </c>
      <c r="L132" s="6">
        <f t="shared" si="34"/>
        <v>0.66953758461831736</v>
      </c>
      <c r="M132" s="7">
        <f t="shared" si="34"/>
        <v>0.24343502111929105</v>
      </c>
    </row>
    <row r="133" spans="1:24" x14ac:dyDescent="0.25">
      <c r="D133" s="25" t="str">
        <v>Serv</v>
      </c>
      <c r="E133" s="9">
        <f t="shared" si="34"/>
        <v>0.23797082398875019</v>
      </c>
      <c r="F133" s="10">
        <f t="shared" si="34"/>
        <v>0.10411223549507861</v>
      </c>
      <c r="G133" s="10">
        <f t="shared" si="34"/>
        <v>0.43139358912559883</v>
      </c>
      <c r="H133" s="10">
        <f t="shared" si="34"/>
        <v>1.2963782480291832</v>
      </c>
      <c r="I133" s="10">
        <f t="shared" si="34"/>
        <v>0.61640403435606295</v>
      </c>
      <c r="J133" s="10">
        <f t="shared" si="34"/>
        <v>0.33774556353198143</v>
      </c>
      <c r="K133" s="10">
        <f t="shared" si="34"/>
        <v>0.16360494149226712</v>
      </c>
      <c r="L133" s="10">
        <f t="shared" si="34"/>
        <v>0.40907191260232484</v>
      </c>
      <c r="M133" s="11">
        <f t="shared" si="34"/>
        <v>0.22309764748945327</v>
      </c>
      <c r="O133" s="19"/>
    </row>
    <row r="135" spans="1:24" ht="15.75" thickBot="1" x14ac:dyDescent="0.3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</row>
    <row r="136" spans="1:24" ht="15.75" thickBot="1" x14ac:dyDescent="0.3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</row>
    <row r="137" spans="1:24" x14ac:dyDescent="0.25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8.9910499783987935E-2</v>
      </c>
      <c r="F137" s="2" cm="1">
        <f t="array" ref="F137">+$I$123*$G118*_xlfn.XLOOKUP($D137,_xlfn.ANCHORARRAY($I$118),$L$118:$L$120,,0)*_xlfn.XLOOKUP($D137,$D$131:$D$133,F$131:F$133,,0)</f>
        <v>8.1736817985444507E-2</v>
      </c>
      <c r="G137" s="2" cm="1">
        <f t="array" ref="G137">+$I$123*$G118*_xlfn.XLOOKUP($D137,_xlfn.ANCHORARRAY($I$118),$L$118:$L$120,,0)*_xlfn.XLOOKUP($D137,$D$131:$D$133,G$131:G$133,,0)</f>
        <v>0.32616377928170953</v>
      </c>
      <c r="H137" s="2" cm="1">
        <f t="array" ref="H137">+$I$123*$G118*_xlfn.XLOOKUP($D137,_xlfn.ANCHORARRAY($I$118),$L$118:$L$120,,0)*_xlfn.XLOOKUP($D137,$D$131:$D$133,H$131:H$133,,0)</f>
        <v>0.33671203714320186</v>
      </c>
      <c r="I137" s="2" cm="1">
        <f t="array" ref="I137">+$I$123*$G118*_xlfn.XLOOKUP($D137,_xlfn.ANCHORARRAY($I$118),$L$118:$L$120,,0)*_xlfn.XLOOKUP($D137,$D$131:$D$133,I$131:I$133,,0)</f>
        <v>0.26069883585046022</v>
      </c>
      <c r="J137" s="2" cm="1">
        <f t="array" ref="J137">+$I$123*$G118*_xlfn.XLOOKUP($D137,_xlfn.ANCHORARRAY($I$118),$L$118:$L$120,,0)*_xlfn.XLOOKUP($D137,$D$131:$D$133,J$131:J$133,,0)</f>
        <v>0.26310689939283588</v>
      </c>
      <c r="K137" s="2" cm="1">
        <f t="array" ref="K137">+$I$123*$G118*_xlfn.XLOOKUP($D137,_xlfn.ANCHORARRAY($I$118),$L$118:$L$120,,0)*_xlfn.XLOOKUP($D137,$D$131:$D$133,K$131:K$133,,0)</f>
        <v>8.1736817985444146E-2</v>
      </c>
      <c r="L137" s="2" cm="1">
        <f t="array" ref="L137">+$I$123*$G118*_xlfn.XLOOKUP($D137,_xlfn.ANCHORARRAY($I$118),$L$118:$L$120,,0)*_xlfn.XLOOKUP($D137,$D$131:$D$133,L$131:L$133,,0)</f>
        <v>0.28111555806538607</v>
      </c>
      <c r="M137" s="3" cm="1">
        <f t="array" ref="M137">+$I$123*$G118*_xlfn.XLOOKUP($D137,_xlfn.ANCHORARRAY($I$118),$L$118:$L$120,,0)*_xlfn.XLOOKUP($D137,$D$131:$D$133,M$131:M$133,,0)</f>
        <v>7.7649977086171371E-2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x14ac:dyDescent="0.25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7.5971752981925905E-2</v>
      </c>
      <c r="F138" s="6" cm="1">
        <f t="array" ref="F138">+$I$123*$G119*_xlfn.XLOOKUP($D138,_xlfn.ANCHORARRAY($I$118),$L$118:$L$120,,0)*_xlfn.XLOOKUP($D138,$D$131:$D$133,F$131:F$133,,0)</f>
        <v>7.5971752981926668E-2</v>
      </c>
      <c r="G138" s="6" cm="1">
        <f t="array" ref="G138">+$I$123*$G119*_xlfn.XLOOKUP($D138,_xlfn.ANCHORARRAY($I$118),$L$118:$L$120,,0)*_xlfn.XLOOKUP($D138,$D$131:$D$133,G$131:G$133,,0)</f>
        <v>0.25425171002047159</v>
      </c>
      <c r="H138" s="6" cm="1">
        <f t="array" ref="H138">+$I$123*$G119*_xlfn.XLOOKUP($D138,_xlfn.ANCHORARRAY($I$118),$L$118:$L$120,,0)*_xlfn.XLOOKUP($D138,$D$131:$D$133,H$131:H$133,,0)</f>
        <v>0.53766125508173168</v>
      </c>
      <c r="I138" s="6" cm="1">
        <f t="array" ref="I138">+$I$123*$G119*_xlfn.XLOOKUP($D138,_xlfn.ANCHORARRAY($I$118),$L$118:$L$120,,0)*_xlfn.XLOOKUP($D138,$D$131:$D$133,I$131:I$133,,0)</f>
        <v>0.16767357522578027</v>
      </c>
      <c r="J138" s="6" cm="1">
        <f t="array" ref="J138">+$I$123*$G119*_xlfn.XLOOKUP($D138,_xlfn.ANCHORARRAY($I$118),$L$118:$L$120,,0)*_xlfn.XLOOKUP($D138,$D$131:$D$133,J$131:J$133,,0)</f>
        <v>0.30964565211343348</v>
      </c>
      <c r="K138" s="6" cm="1">
        <f t="array" ref="K138">+$I$123*$G119*_xlfn.XLOOKUP($D138,_xlfn.ANCHORARRAY($I$118),$L$118:$L$120,,0)*_xlfn.XLOOKUP($D138,$D$131:$D$133,K$131:K$133,,0)</f>
        <v>0.10519165797497494</v>
      </c>
      <c r="L138" s="6" cm="1">
        <f t="array" ref="L138">+$I$123*$G119*_xlfn.XLOOKUP($D138,_xlfn.ANCHORARRAY($I$118),$L$118:$L$120,,0)*_xlfn.XLOOKUP($D138,$D$131:$D$133,L$131:L$133,,0)</f>
        <v>0.25717022337206519</v>
      </c>
      <c r="M138" s="7" cm="1">
        <f t="array" ref="M138">+$I$123*$G119*_xlfn.XLOOKUP($D138,_xlfn.ANCHORARRAY($I$118),$L$118:$L$120,,0)*_xlfn.XLOOKUP($D138,$D$131:$D$133,M$131:M$133,,0)</f>
        <v>9.3503695977754903E-2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1:24" x14ac:dyDescent="0.25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7.3525383578833842E-2</v>
      </c>
      <c r="F139" s="6" cm="1">
        <f t="array" ref="F139">+$I$123*$G120*_xlfn.XLOOKUP($D139,_xlfn.ANCHORARRAY($I$118),$L$118:$L$120,,0)*_xlfn.XLOOKUP($D139,$D$131:$D$133,F$131:F$133,,0)</f>
        <v>3.2167355315739929E-2</v>
      </c>
      <c r="G139" s="6" cm="1">
        <f t="array" ref="G139">+$I$123*$G120*_xlfn.XLOOKUP($D139,_xlfn.ANCHORARRAY($I$118),$L$118:$L$120,,0)*_xlfn.XLOOKUP($D139,$D$131:$D$133,G$131:G$133,,0)</f>
        <v>0.13328683988340079</v>
      </c>
      <c r="H139" s="6" cm="1">
        <f t="array" ref="H139">+$I$123*$G120*_xlfn.XLOOKUP($D139,_xlfn.ANCHORARRAY($I$118),$L$118:$L$120,,0)*_xlfn.XLOOKUP($D139,$D$131:$D$133,H$131:H$133,,0)</f>
        <v>0.40053947098199016</v>
      </c>
      <c r="I139" s="6" cm="1">
        <f t="array" ref="I139">+$I$123*$G120*_xlfn.XLOOKUP($D139,_xlfn.ANCHORARRAY($I$118),$L$118:$L$120,,0)*_xlfn.XLOOKUP($D139,$D$131:$D$133,I$131:I$133,,0)</f>
        <v>0.19044915803507373</v>
      </c>
      <c r="J139" s="6" cm="1">
        <f t="array" ref="J139">+$I$123*$G120*_xlfn.XLOOKUP($D139,_xlfn.ANCHORARRAY($I$118),$L$118:$L$120,,0)*_xlfn.XLOOKUP($D139,$D$131:$D$133,J$131:J$133,,0)</f>
        <v>0.10435259118954968</v>
      </c>
      <c r="K139" s="6" cm="1">
        <f t="array" ref="K139">+$I$123*$G120*_xlfn.XLOOKUP($D139,_xlfn.ANCHORARRAY($I$118),$L$118:$L$120,,0)*_xlfn.XLOOKUP($D139,$D$131:$D$133,K$131:K$133,,0)</f>
        <v>5.0548701210448688E-2</v>
      </c>
      <c r="L139" s="6" cm="1">
        <f t="array" ref="L139">+$I$123*$G120*_xlfn.XLOOKUP($D139,_xlfn.ANCHORARRAY($I$118),$L$118:$L$120,,0)*_xlfn.XLOOKUP($D139,$D$131:$D$133,L$131:L$133,,0)</f>
        <v>0.12639015481509192</v>
      </c>
      <c r="M139" s="7" cm="1">
        <f t="array" ref="M139">+$I$123*$G120*_xlfn.XLOOKUP($D139,_xlfn.ANCHORARRAY($I$118),$L$118:$L$120,,0)*_xlfn.XLOOKUP($D139,$D$131:$D$133,M$131:M$133,,0)</f>
        <v>6.8930047105156711E-2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x14ac:dyDescent="0.25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0.12665653013048853</v>
      </c>
      <c r="F140" s="6" cm="1">
        <f t="array" ref="F140">+$I$123*$G121*_xlfn.XLOOKUP($D140,_xlfn.ANCHORARRAY($I$118),$L$118:$L$120,,0)*_xlfn.XLOOKUP($D140,$D$131:$D$133,F$131:F$133,,0)</f>
        <v>0.11514230011862724</v>
      </c>
      <c r="G140" s="6" cm="1">
        <f t="array" ref="G140">+$I$123*$G121*_xlfn.XLOOKUP($D140,_xlfn.ANCHORARRAY($I$118),$L$118:$L$120,,0)*_xlfn.XLOOKUP($D140,$D$131:$D$133,G$131:G$133,,0)</f>
        <v>0.45946549777076029</v>
      </c>
      <c r="H140" s="6" cm="1">
        <f t="array" ref="H140">+$I$123*$G121*_xlfn.XLOOKUP($D140,_xlfn.ANCHORARRAY($I$118),$L$118:$L$120,,0)*_xlfn.XLOOKUP($D140,$D$131:$D$133,H$131:H$133,,0)</f>
        <v>0.47432478275825396</v>
      </c>
      <c r="I140" s="6" cm="1">
        <f t="array" ref="I140">+$I$123*$G121*_xlfn.XLOOKUP($D140,_xlfn.ANCHORARRAY($I$118),$L$118:$L$120,,0)*_xlfn.XLOOKUP($D140,$D$131:$D$133,I$131:I$133,,0)</f>
        <v>0.36724531658934734</v>
      </c>
      <c r="J140" s="6" cm="1">
        <f t="array" ref="J140">+$I$123*$G121*_xlfn.XLOOKUP($D140,_xlfn.ANCHORARRAY($I$118),$L$118:$L$120,,0)*_xlfn.XLOOKUP($D140,$D$131:$D$133,J$131:J$133,,0)</f>
        <v>0.37063754523165049</v>
      </c>
      <c r="K140" s="6" cm="1">
        <f t="array" ref="K140">+$I$123*$G121*_xlfn.XLOOKUP($D140,_xlfn.ANCHORARRAY($I$118),$L$118:$L$120,,0)*_xlfn.XLOOKUP($D140,$D$131:$D$133,K$131:K$133,,0)</f>
        <v>0.11514230011862674</v>
      </c>
      <c r="L140" s="6" cm="1">
        <f t="array" ref="L140">+$I$123*$G121*_xlfn.XLOOKUP($D140,_xlfn.ANCHORARRAY($I$118),$L$118:$L$120,,0)*_xlfn.XLOOKUP($D140,$D$131:$D$133,L$131:L$133,,0)</f>
        <v>0.39600626440515618</v>
      </c>
      <c r="M140" s="7" cm="1">
        <f t="array" ref="M140">+$I$123*$G121*_xlfn.XLOOKUP($D140,_xlfn.ANCHORARRAY($I$118),$L$118:$L$120,,0)*_xlfn.XLOOKUP($D140,$D$131:$D$133,M$131:M$133,,0)</f>
        <v>0.10938518511269459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spans="1:24" x14ac:dyDescent="0.25">
      <c r="C141" s="20" t="s">
        <v>10</v>
      </c>
      <c r="D141" s="25" t="str">
        <f t="shared" ref="D141:D145" si="35">+D138</f>
        <v>Ind</v>
      </c>
      <c r="E141" s="5" cm="1">
        <f t="array" ref="E141">+$I$123*$G122*_xlfn.XLOOKUP($D141,_xlfn.ANCHORARRAY($I$118),$L$118:$L$120,,0)*_xlfn.XLOOKUP($D141,$D$131:$D$133,E$131:E$133,,0)</f>
        <v>6.7266656286080695E-2</v>
      </c>
      <c r="F141" s="6" cm="1">
        <f t="array" ref="F141">+$I$123*$G122*_xlfn.XLOOKUP($D141,_xlfn.ANCHORARRAY($I$118),$L$118:$L$120,,0)*_xlfn.XLOOKUP($D141,$D$131:$D$133,F$131:F$133,,0)</f>
        <v>6.7266656286081375E-2</v>
      </c>
      <c r="G141" s="6" cm="1">
        <f t="array" ref="G141">+$I$123*$G122*_xlfn.XLOOKUP($D141,_xlfn.ANCHORARRAY($I$118),$L$118:$L$120,,0)*_xlfn.XLOOKUP($D141,$D$131:$D$133,G$131:G$133,,0)</f>
        <v>0.22511870158062747</v>
      </c>
      <c r="H141" s="6" cm="1">
        <f t="array" ref="H141">+$I$123*$G122*_xlfn.XLOOKUP($D141,_xlfn.ANCHORARRAY($I$118),$L$118:$L$120,,0)*_xlfn.XLOOKUP($D141,$D$131:$D$133,H$131:H$133,,0)</f>
        <v>0.47605423627028653</v>
      </c>
      <c r="I141" s="6" cm="1">
        <f t="array" ref="I141">+$I$123*$G122*_xlfn.XLOOKUP($D141,_xlfn.ANCHORARRAY($I$118),$L$118:$L$120,,0)*_xlfn.XLOOKUP($D141,$D$131:$D$133,I$131:I$133,,0)</f>
        <v>0.14846097806449399</v>
      </c>
      <c r="J141" s="6" cm="1">
        <f t="array" ref="J141">+$I$123*$G122*_xlfn.XLOOKUP($D141,_xlfn.ANCHORARRAY($I$118),$L$118:$L$120,,0)*_xlfn.XLOOKUP($D141,$D$131:$D$133,J$131:J$133,,0)</f>
        <v>0.27416542114210446</v>
      </c>
      <c r="K141" s="6" cm="1">
        <f t="array" ref="K141">+$I$123*$G122*_xlfn.XLOOKUP($D141,_xlfn.ANCHORARRAY($I$118),$L$118:$L$120,,0)*_xlfn.XLOOKUP($D141,$D$131:$D$133,K$131:K$133,,0)</f>
        <v>9.3138447165343044E-2</v>
      </c>
      <c r="L141" s="6" cm="1">
        <f t="array" ref="L141">+$I$123*$G122*_xlfn.XLOOKUP($D141,_xlfn.ANCHORARRAY($I$118),$L$118:$L$120,,0)*_xlfn.XLOOKUP($D141,$D$131:$D$133,L$131:L$133,,0)</f>
        <v>0.22770280194401765</v>
      </c>
      <c r="M141" s="7" cm="1">
        <f t="array" ref="M141">+$I$123*$G122*_xlfn.XLOOKUP($D141,_xlfn.ANCHORARRAY($I$118),$L$118:$L$120,,0)*_xlfn.XLOOKUP($D141,$D$131:$D$133,M$131:M$133,,0)</f>
        <v>8.2789730813637732E-2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spans="1:24" x14ac:dyDescent="0.25">
      <c r="C142" s="20" t="s">
        <v>10</v>
      </c>
      <c r="D142" s="25" t="str">
        <f t="shared" si="35"/>
        <v>Serv</v>
      </c>
      <c r="E142" s="5" cm="1">
        <f t="array" ref="E142">+$I$123*$G123*_xlfn.XLOOKUP($D142,_xlfn.ANCHORARRAY($I$118),$L$118:$L$120,,0)*_xlfn.XLOOKUP($D142,$D$131:$D$133,E$131:E$133,,0)</f>
        <v>7.6741205524627057E-2</v>
      </c>
      <c r="F142" s="6" cm="1">
        <f t="array" ref="F142">+$I$123*$G123*_xlfn.XLOOKUP($D142,_xlfn.ANCHORARRAY($I$118),$L$118:$L$120,,0)*_xlfn.XLOOKUP($D142,$D$131:$D$133,F$131:F$133,,0)</f>
        <v>3.357427741702447E-2</v>
      </c>
      <c r="G142" s="6" cm="1">
        <f t="array" ref="G142">+$I$123*$G123*_xlfn.XLOOKUP($D142,_xlfn.ANCHORARRAY($I$118),$L$118:$L$120,,0)*_xlfn.XLOOKUP($D142,$D$131:$D$133,G$131:G$133,,0)</f>
        <v>0.13911648297969137</v>
      </c>
      <c r="H142" s="6" cm="1">
        <f t="array" ref="H142">+$I$123*$G123*_xlfn.XLOOKUP($D142,_xlfn.ANCHORARRAY($I$118),$L$118:$L$120,,0)*_xlfn.XLOOKUP($D142,$D$131:$D$133,H$131:H$133,,0)</f>
        <v>0.41805809595535365</v>
      </c>
      <c r="I142" s="6" cm="1">
        <f t="array" ref="I142">+$I$123*$G123*_xlfn.XLOOKUP($D142,_xlfn.ANCHORARRAY($I$118),$L$118:$L$120,,0)*_xlfn.XLOOKUP($D142,$D$131:$D$133,I$131:I$133,,0)</f>
        <v>0.19877894228312681</v>
      </c>
      <c r="J142" s="6" cm="1">
        <f t="array" ref="J142">+$I$123*$G123*_xlfn.XLOOKUP($D142,_xlfn.ANCHORARRAY($I$118),$L$118:$L$120,,0)*_xlfn.XLOOKUP($D142,$D$131:$D$133,J$131:J$133,,0)</f>
        <v>0.10891672042646734</v>
      </c>
      <c r="K142" s="6" cm="1">
        <f t="array" ref="K142">+$I$123*$G123*_xlfn.XLOOKUP($D142,_xlfn.ANCHORARRAY($I$118),$L$118:$L$120,,0)*_xlfn.XLOOKUP($D142,$D$131:$D$133,K$131:K$133,,0)</f>
        <v>5.2759578798181543E-2</v>
      </c>
      <c r="L142" s="6" cm="1">
        <f t="array" ref="L142">+$I$123*$G123*_xlfn.XLOOKUP($D142,_xlfn.ANCHORARRAY($I$118),$L$118:$L$120,,0)*_xlfn.XLOOKUP($D142,$D$131:$D$133,L$131:L$133,,0)</f>
        <v>0.13191815363404105</v>
      </c>
      <c r="M142" s="7" cm="1">
        <f t="array" ref="M142">+$I$123*$G123*_xlfn.XLOOKUP($D142,_xlfn.ANCHORARRAY($I$118),$L$118:$L$120,,0)*_xlfn.XLOOKUP($D142,$D$131:$D$133,M$131:M$133,,0)</f>
        <v>7.1944880179337853E-2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1:24" x14ac:dyDescent="0.25">
      <c r="C143" s="20" t="s">
        <v>11</v>
      </c>
      <c r="D143" s="25" t="str">
        <f t="shared" si="35"/>
        <v>Agr</v>
      </c>
      <c r="E143" s="5" cm="1">
        <f t="array" ref="E143">+$I$123*$G124*_xlfn.XLOOKUP($D143,_xlfn.ANCHORARRAY($I$118),$L$118:$L$120,,0)*_xlfn.XLOOKUP($D143,$D$131:$D$133,E$131:E$133,,0)</f>
        <v>0.12509286926467902</v>
      </c>
      <c r="F143" s="6" cm="1">
        <f t="array" ref="F143">+$I$123*$G124*_xlfn.XLOOKUP($D143,_xlfn.ANCHORARRAY($I$118),$L$118:$L$120,,0)*_xlfn.XLOOKUP($D143,$D$131:$D$133,F$131:F$133,,0)</f>
        <v>0.11372079024061858</v>
      </c>
      <c r="G143" s="6" cm="1">
        <f t="array" ref="G143">+$I$123*$G124*_xlfn.XLOOKUP($D143,_xlfn.ANCHORARRAY($I$118),$L$118:$L$120,,0)*_xlfn.XLOOKUP($D143,$D$131:$D$133,G$131:G$133,,0)</f>
        <v>0.45379308421803122</v>
      </c>
      <c r="H143" s="6" cm="1">
        <f t="array" ref="H143">+$I$123*$G124*_xlfn.XLOOKUP($D143,_xlfn.ANCHORARRAY($I$118),$L$118:$L$120,,0)*_xlfn.XLOOKUP($D143,$D$131:$D$133,H$131:H$133,,0)</f>
        <v>0.46846892124271616</v>
      </c>
      <c r="I143" s="6" cm="1">
        <f t="array" ref="I143">+$I$123*$G124*_xlfn.XLOOKUP($D143,_xlfn.ANCHORARRAY($I$118),$L$118:$L$120,,0)*_xlfn.XLOOKUP($D143,$D$131:$D$133,I$131:I$133,,0)</f>
        <v>0.36271142379194504</v>
      </c>
      <c r="J143" s="6" cm="1">
        <f t="array" ref="J143">+$I$123*$G124*_xlfn.XLOOKUP($D143,_xlfn.ANCHORARRAY($I$118),$L$118:$L$120,,0)*_xlfn.XLOOKUP($D143,$D$131:$D$133,J$131:J$133,,0)</f>
        <v>0.36606177306829385</v>
      </c>
      <c r="K143" s="6" cm="1">
        <f t="array" ref="K143">+$I$123*$G124*_xlfn.XLOOKUP($D143,_xlfn.ANCHORARRAY($I$118),$L$118:$L$120,,0)*_xlfn.XLOOKUP($D143,$D$131:$D$133,K$131:K$133,,0)</f>
        <v>0.11372079024061808</v>
      </c>
      <c r="L143" s="6" cm="1">
        <f t="array" ref="L143">+$I$123*$G124*_xlfn.XLOOKUP($D143,_xlfn.ANCHORARRAY($I$118),$L$118:$L$120,,0)*_xlfn.XLOOKUP($D143,$D$131:$D$133,L$131:L$133,,0)</f>
        <v>0.3911172981779289</v>
      </c>
      <c r="M143" s="7" cm="1">
        <f t="array" ref="M143">+$I$123*$G124*_xlfn.XLOOKUP($D143,_xlfn.ANCHORARRAY($I$118),$L$118:$L$120,,0)*_xlfn.XLOOKUP($D143,$D$131:$D$133,M$131:M$133,,0)</f>
        <v>0.10803475072858637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spans="1:24" x14ac:dyDescent="0.25">
      <c r="C144" s="20" t="s">
        <v>11</v>
      </c>
      <c r="D144" s="25" t="str">
        <f t="shared" si="35"/>
        <v>Ind</v>
      </c>
      <c r="E144" s="5" cm="1">
        <f t="array" ref="E144">+$I$123*$G125*_xlfn.XLOOKUP($D144,_xlfn.ANCHORARRAY($I$118),$L$118:$L$120,,0)*_xlfn.XLOOKUP($D144,$D$131:$D$133,E$131:E$133,,0)</f>
        <v>5.4446422970380458E-2</v>
      </c>
      <c r="F144" s="6" cm="1">
        <f t="array" ref="F144">+$I$123*$G125*_xlfn.XLOOKUP($D144,_xlfn.ANCHORARRAY($I$118),$L$118:$L$120,,0)*_xlfn.XLOOKUP($D144,$D$131:$D$133,F$131:F$133,,0)</f>
        <v>5.4446422970381006E-2</v>
      </c>
      <c r="G144" s="6" cm="1">
        <f t="array" ref="G144">+$I$123*$G125*_xlfn.XLOOKUP($D144,_xlfn.ANCHORARRAY($I$118),$L$118:$L$120,,0)*_xlfn.XLOOKUP($D144,$D$131:$D$133,G$131:G$133,,0)</f>
        <v>0.18221372551467208</v>
      </c>
      <c r="H144" s="6" cm="1">
        <f t="array" ref="H144">+$I$123*$G125*_xlfn.XLOOKUP($D144,_xlfn.ANCHORARRAY($I$118),$L$118:$L$120,,0)*_xlfn.XLOOKUP($D144,$D$131:$D$133,H$131:H$133,,0)</f>
        <v>0.38532389947524265</v>
      </c>
      <c r="I144" s="6" cm="1">
        <f t="array" ref="I144">+$I$123*$G125*_xlfn.XLOOKUP($D144,_xlfn.ANCHORARRAY($I$118),$L$118:$L$120,,0)*_xlfn.XLOOKUP($D144,$D$131:$D$133,I$131:I$133,,0)</f>
        <v>0.12016606224514303</v>
      </c>
      <c r="J144" s="6" cm="1">
        <f t="array" ref="J144">+$I$123*$G125*_xlfn.XLOOKUP($D144,_xlfn.ANCHORARRAY($I$118),$L$118:$L$120,,0)*_xlfn.XLOOKUP($D144,$D$131:$D$133,J$131:J$133,,0)</f>
        <v>0.22191271734796159</v>
      </c>
      <c r="K144" s="6" cm="1">
        <f t="array" ref="K144">+$I$123*$G125*_xlfn.XLOOKUP($D144,_xlfn.ANCHORARRAY($I$118),$L$118:$L$120,,0)*_xlfn.XLOOKUP($D144,$D$131:$D$133,K$131:K$133,,0)</f>
        <v>7.5387354882065702E-2</v>
      </c>
      <c r="L144" s="6" cm="1">
        <f t="array" ref="L144">+$I$123*$G125*_xlfn.XLOOKUP($D144,_xlfn.ANCHORARRAY($I$118),$L$118:$L$120,,0)*_xlfn.XLOOKUP($D144,$D$131:$D$133,L$131:L$133,,0)</f>
        <v>0.18430532674998085</v>
      </c>
      <c r="M144" s="7" cm="1">
        <f t="array" ref="M144">+$I$123*$G125*_xlfn.XLOOKUP($D144,_xlfn.ANCHORARRAY($I$118),$L$118:$L$120,,0)*_xlfn.XLOOKUP($D144,$D$131:$D$133,M$131:M$133,,0)</f>
        <v>6.7010982117391302E-2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3:24" x14ac:dyDescent="0.25">
      <c r="C145" s="20" t="s">
        <v>11</v>
      </c>
      <c r="D145" s="25" t="str">
        <f t="shared" si="35"/>
        <v>Serv</v>
      </c>
      <c r="E145" s="9" cm="1">
        <f t="array" ref="E145">+$I$123*$G126*_xlfn.XLOOKUP($D145,_xlfn.ANCHORARRAY($I$118),$L$118:$L$120,,0)*_xlfn.XLOOKUP($D145,$D$131:$D$133,E$131:E$133,,0)</f>
        <v>8.7704234885288557E-2</v>
      </c>
      <c r="F145" s="10" cm="1">
        <f t="array" ref="F145">+$I$123*$G126*_xlfn.XLOOKUP($D145,_xlfn.ANCHORARRAY($I$118),$L$118:$L$120,,0)*_xlfn.XLOOKUP($D145,$D$131:$D$133,F$131:F$133,,0)</f>
        <v>3.8370602762313889E-2</v>
      </c>
      <c r="G145" s="10" cm="1">
        <f t="array" ref="G145">+$I$123*$G126*_xlfn.XLOOKUP($D145,_xlfn.ANCHORARRAY($I$118),$L$118:$L$120,,0)*_xlfn.XLOOKUP($D145,$D$131:$D$133,G$131:G$133,,0)</f>
        <v>0.15899026626250531</v>
      </c>
      <c r="H145" s="10" cm="1">
        <f t="array" ref="H145">+$I$123*$G126*_xlfn.XLOOKUP($D145,_xlfn.ANCHORARRAY($I$118),$L$118:$L$120,,0)*_xlfn.XLOOKUP($D145,$D$131:$D$133,H$131:H$133,,0)</f>
        <v>0.47778068109183541</v>
      </c>
      <c r="I145" s="10" cm="1">
        <f t="array" ref="I145">+$I$123*$G126*_xlfn.XLOOKUP($D145,_xlfn.ANCHORARRAY($I$118),$L$118:$L$120,,0)*_xlfn.XLOOKUP($D145,$D$131:$D$133,I$131:I$133,,0)</f>
        <v>0.22717593403786049</v>
      </c>
      <c r="J145" s="10" cm="1">
        <f t="array" ref="J145">+$I$123*$G126*_xlfn.XLOOKUP($D145,_xlfn.ANCHORARRAY($I$118),$L$118:$L$120,,0)*_xlfn.XLOOKUP($D145,$D$131:$D$133,J$131:J$133,,0)</f>
        <v>0.12447625191596337</v>
      </c>
      <c r="K145" s="10" cm="1">
        <f t="array" ref="K145">+$I$123*$G126*_xlfn.XLOOKUP($D145,_xlfn.ANCHORARRAY($I$118),$L$118:$L$120,,0)*_xlfn.XLOOKUP($D145,$D$131:$D$133,K$131:K$133,,0)</f>
        <v>6.0296661483636382E-2</v>
      </c>
      <c r="L145" s="10" cm="1">
        <f t="array" ref="L145">+$I$123*$G126*_xlfn.XLOOKUP($D145,_xlfn.ANCHORARRAY($I$118),$L$118:$L$120,,0)*_xlfn.XLOOKUP($D145,$D$131:$D$133,L$131:L$133,,0)</f>
        <v>0.15076360415319059</v>
      </c>
      <c r="M145" s="11" cm="1">
        <f t="array" ref="M145">+$I$123*$G126*_xlfn.XLOOKUP($D145,_xlfn.ANCHORARRAY($I$118),$L$118:$L$120,,0)*_xlfn.XLOOKUP($D145,$D$131:$D$133,M$131:M$133,,0)</f>
        <v>8.2222720204958008E-2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3:24" x14ac:dyDescent="0.25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4" x14ac:dyDescent="0.25">
      <c r="O147" s="19"/>
    </row>
    <row r="148" spans="3:24" ht="15.75" thickBot="1" x14ac:dyDescent="0.3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4" ht="15.75" thickBot="1" x14ac:dyDescent="0.3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4" x14ac:dyDescent="0.25">
      <c r="C150" s="20" t="s">
        <v>1</v>
      </c>
      <c r="D150" s="28" t="s">
        <v>51</v>
      </c>
      <c r="E150" s="1">
        <f t="shared" ref="E150:M158" si="36">+E78+E137</f>
        <v>9.1620029667688794</v>
      </c>
      <c r="F150" s="2">
        <f t="shared" si="36"/>
        <v>5.0062448730612923</v>
      </c>
      <c r="G150" s="2">
        <f t="shared" si="36"/>
        <v>9.1702922152359623</v>
      </c>
      <c r="H150" s="2">
        <f t="shared" si="36"/>
        <v>1.6249387916697935</v>
      </c>
      <c r="I150" s="2">
        <f t="shared" si="36"/>
        <v>0.95124730474996277</v>
      </c>
      <c r="J150" s="2">
        <f t="shared" si="36"/>
        <v>7.3080533927770759</v>
      </c>
      <c r="K150" s="2">
        <f t="shared" si="36"/>
        <v>3.381741047993978</v>
      </c>
      <c r="L150" s="2">
        <f t="shared" si="36"/>
        <v>6.8732395378023794</v>
      </c>
      <c r="M150" s="3">
        <f t="shared" si="36"/>
        <v>2.5222398699406705</v>
      </c>
      <c r="N150" s="19"/>
      <c r="O150" s="19"/>
    </row>
    <row r="151" spans="3:24" x14ac:dyDescent="0.25">
      <c r="C151" s="20" t="s">
        <v>1</v>
      </c>
      <c r="D151" s="25" t="s">
        <v>52</v>
      </c>
      <c r="E151" s="5">
        <f t="shared" si="36"/>
        <v>7.3993042471310932</v>
      </c>
      <c r="F151" s="6">
        <f t="shared" si="36"/>
        <v>3.3380446844628056</v>
      </c>
      <c r="G151" s="6">
        <f t="shared" si="36"/>
        <v>8.1420648897048604</v>
      </c>
      <c r="H151" s="6">
        <f t="shared" si="36"/>
        <v>4.5658992281206219</v>
      </c>
      <c r="I151" s="6">
        <f t="shared" si="36"/>
        <v>2.2483725365801588</v>
      </c>
      <c r="J151" s="6">
        <f t="shared" si="36"/>
        <v>9.0929381325182543</v>
      </c>
      <c r="K151" s="6">
        <f t="shared" si="36"/>
        <v>2.0601904543423526</v>
      </c>
      <c r="L151" s="6">
        <f t="shared" si="36"/>
        <v>4.3581437355742905</v>
      </c>
      <c r="M151" s="7">
        <f t="shared" si="36"/>
        <v>6.7950420915655521</v>
      </c>
      <c r="N151" s="19"/>
      <c r="O151" s="19"/>
    </row>
    <row r="152" spans="3:24" x14ac:dyDescent="0.25">
      <c r="C152" s="20" t="s">
        <v>1</v>
      </c>
      <c r="D152" s="25" t="s">
        <v>53</v>
      </c>
      <c r="E152" s="5">
        <f t="shared" si="36"/>
        <v>0.51933644405989388</v>
      </c>
      <c r="F152" s="6">
        <f t="shared" si="36"/>
        <v>0.22720969427620319</v>
      </c>
      <c r="G152" s="6">
        <f t="shared" si="36"/>
        <v>0.25966822202994699</v>
      </c>
      <c r="H152" s="6">
        <f t="shared" si="36"/>
        <v>6.2700168873029831</v>
      </c>
      <c r="I152" s="6">
        <f t="shared" si="36"/>
        <v>3.6709685109332941</v>
      </c>
      <c r="J152" s="6">
        <f t="shared" si="36"/>
        <v>3.4437588166570889</v>
      </c>
      <c r="K152" s="6">
        <f t="shared" si="36"/>
        <v>6.0428071930267775</v>
      </c>
      <c r="L152" s="6">
        <f t="shared" si="36"/>
        <v>3.5735929276720637</v>
      </c>
      <c r="M152" s="7">
        <f t="shared" si="36"/>
        <v>6.1726413040417505</v>
      </c>
      <c r="N152" s="19"/>
      <c r="O152" s="19"/>
    </row>
    <row r="153" spans="3:24" x14ac:dyDescent="0.25">
      <c r="C153" s="20" t="s">
        <v>10</v>
      </c>
      <c r="D153" s="25" t="str">
        <f>+D150</f>
        <v>Agr</v>
      </c>
      <c r="E153" s="5">
        <f t="shared" si="36"/>
        <v>8.0676566414735813</v>
      </c>
      <c r="F153" s="6">
        <f t="shared" si="36"/>
        <v>4.7497954069143455</v>
      </c>
      <c r="G153" s="6">
        <f t="shared" si="36"/>
        <v>4.0180741070806674</v>
      </c>
      <c r="H153" s="6">
        <f t="shared" si="36"/>
        <v>6.2843301351615999</v>
      </c>
      <c r="I153" s="6">
        <f t="shared" si="36"/>
        <v>8.819876213807218</v>
      </c>
      <c r="J153" s="6">
        <f t="shared" si="36"/>
        <v>7.9051026260220656</v>
      </c>
      <c r="K153" s="6">
        <f t="shared" si="36"/>
        <v>8.8110549695826332</v>
      </c>
      <c r="L153" s="6">
        <f t="shared" si="36"/>
        <v>8.1797336351212291</v>
      </c>
      <c r="M153" s="7">
        <f t="shared" si="36"/>
        <v>7.9643762648366723</v>
      </c>
      <c r="N153" s="19"/>
      <c r="O153" s="19"/>
    </row>
    <row r="154" spans="3:24" x14ac:dyDescent="0.25">
      <c r="C154" s="20" t="s">
        <v>10</v>
      </c>
      <c r="D154" s="25" t="str">
        <f t="shared" ref="D154:D158" si="37">+D151</f>
        <v>Ind</v>
      </c>
      <c r="E154" s="5">
        <f t="shared" si="36"/>
        <v>3.8439609270351323</v>
      </c>
      <c r="F154" s="6">
        <f t="shared" si="36"/>
        <v>2.2194571019678175</v>
      </c>
      <c r="G154" s="6">
        <f t="shared" si="36"/>
        <v>2.9858005149783424</v>
      </c>
      <c r="H154" s="6">
        <f t="shared" si="36"/>
        <v>5.7427248738871839</v>
      </c>
      <c r="I154" s="6">
        <f t="shared" si="36"/>
        <v>6.0975650809362616</v>
      </c>
      <c r="J154" s="6">
        <f t="shared" si="36"/>
        <v>3.8895496055228107</v>
      </c>
      <c r="K154" s="6">
        <f t="shared" si="36"/>
        <v>8.1340486731266903</v>
      </c>
      <c r="L154" s="6">
        <f t="shared" si="36"/>
        <v>2.3566277353220464</v>
      </c>
      <c r="M154" s="7">
        <f t="shared" si="36"/>
        <v>7.2302654872237255</v>
      </c>
      <c r="N154" s="19"/>
      <c r="O154" s="19"/>
    </row>
    <row r="155" spans="3:24" x14ac:dyDescent="0.25">
      <c r="C155" s="20" t="s">
        <v>10</v>
      </c>
      <c r="D155" s="25" t="str">
        <f t="shared" si="37"/>
        <v>Serv</v>
      </c>
      <c r="E155" s="5">
        <f t="shared" si="36"/>
        <v>5.3460011769437878</v>
      </c>
      <c r="F155" s="6">
        <f t="shared" si="36"/>
        <v>4.2679738071803435</v>
      </c>
      <c r="G155" s="6">
        <f t="shared" si="36"/>
        <v>3.4852525010055504</v>
      </c>
      <c r="H155" s="6">
        <f t="shared" si="36"/>
        <v>1.3438028269932309</v>
      </c>
      <c r="I155" s="6">
        <f t="shared" si="36"/>
        <v>7.6941650954681657</v>
      </c>
      <c r="J155" s="6">
        <f t="shared" si="36"/>
        <v>1.8016874632205053</v>
      </c>
      <c r="K155" s="6">
        <f t="shared" si="36"/>
        <v>1.1370885824811754</v>
      </c>
      <c r="L155" s="6">
        <f t="shared" si="36"/>
        <v>5.1688175387905968</v>
      </c>
      <c r="M155" s="7">
        <f t="shared" si="36"/>
        <v>1.2552110079166361</v>
      </c>
      <c r="N155" s="19"/>
    </row>
    <row r="156" spans="3:24" x14ac:dyDescent="0.25">
      <c r="C156" s="20" t="s">
        <v>11</v>
      </c>
      <c r="D156" s="25" t="str">
        <f t="shared" si="37"/>
        <v>Agr</v>
      </c>
      <c r="E156" s="5">
        <f t="shared" si="36"/>
        <v>3.8829941256807015</v>
      </c>
      <c r="F156" s="6">
        <f t="shared" si="36"/>
        <v>9.4372812963181456</v>
      </c>
      <c r="G156" s="6">
        <f t="shared" si="36"/>
        <v>7.9557865557814536</v>
      </c>
      <c r="H156" s="6">
        <f t="shared" si="36"/>
        <v>8.4409620011662359</v>
      </c>
      <c r="I156" s="6">
        <f t="shared" si="36"/>
        <v>9.4459936362930428</v>
      </c>
      <c r="J156" s="6">
        <f t="shared" si="36"/>
        <v>1.1270095200108767</v>
      </c>
      <c r="K156" s="6">
        <f t="shared" si="36"/>
        <v>7.0005255587171753</v>
      </c>
      <c r="L156" s="6">
        <f t="shared" si="36"/>
        <v>8.962407943330609</v>
      </c>
      <c r="M156" s="7">
        <f t="shared" si="36"/>
        <v>7.7470393627017557</v>
      </c>
      <c r="N156" s="19"/>
    </row>
    <row r="157" spans="3:24" x14ac:dyDescent="0.25">
      <c r="C157" s="20" t="s">
        <v>11</v>
      </c>
      <c r="D157" s="25" t="str">
        <f t="shared" si="37"/>
        <v>Ind</v>
      </c>
      <c r="E157" s="5">
        <f t="shared" si="36"/>
        <v>1.2469901605258893</v>
      </c>
      <c r="F157" s="6">
        <f t="shared" si="36"/>
        <v>6.9327535482614904</v>
      </c>
      <c r="G157" s="6">
        <f t="shared" si="36"/>
        <v>0.40118120943831737</v>
      </c>
      <c r="H157" s="6">
        <f t="shared" si="36"/>
        <v>7.9453837835967587</v>
      </c>
      <c r="I157" s="6">
        <f t="shared" si="36"/>
        <v>0.30090056566148093</v>
      </c>
      <c r="J157" s="6">
        <f t="shared" si="36"/>
        <v>0.46803641963744824</v>
      </c>
      <c r="K157" s="6">
        <f t="shared" si="36"/>
        <v>7.0999605667200418</v>
      </c>
      <c r="L157" s="6">
        <f t="shared" si="36"/>
        <v>8.6574793745575604</v>
      </c>
      <c r="M157" s="7">
        <f t="shared" si="36"/>
        <v>1.3473143716010196</v>
      </c>
      <c r="N157" s="19"/>
    </row>
    <row r="158" spans="3:24" x14ac:dyDescent="0.25">
      <c r="C158" s="20" t="s">
        <v>11</v>
      </c>
      <c r="D158" s="25" t="str">
        <f t="shared" si="37"/>
        <v>Serv</v>
      </c>
      <c r="E158" s="9">
        <f t="shared" si="36"/>
        <v>9.162354686688623</v>
      </c>
      <c r="F158" s="10">
        <f t="shared" si="36"/>
        <v>2.0794318831588363</v>
      </c>
      <c r="G158" s="10">
        <f t="shared" si="36"/>
        <v>3.7689254308106541</v>
      </c>
      <c r="H158" s="10">
        <f t="shared" si="36"/>
        <v>9.2923341318576309</v>
      </c>
      <c r="I158" s="10">
        <f t="shared" si="36"/>
        <v>0.8448663935985421</v>
      </c>
      <c r="J158" s="10">
        <f t="shared" si="36"/>
        <v>0.38993833550701851</v>
      </c>
      <c r="K158" s="10">
        <f t="shared" si="36"/>
        <v>3.1516426860305073</v>
      </c>
      <c r="L158" s="10">
        <f t="shared" si="36"/>
        <v>0.64989722584503251</v>
      </c>
      <c r="M158" s="11">
        <f t="shared" si="36"/>
        <v>6.6606092265031487</v>
      </c>
      <c r="N158" s="19"/>
    </row>
    <row r="159" spans="3:24" x14ac:dyDescent="0.25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397.38</v>
      </c>
    </row>
    <row r="161" spans="1:13" x14ac:dyDescent="0.25">
      <c r="A161" s="66"/>
    </row>
    <row r="162" spans="1:13" ht="15.75" thickBot="1" x14ac:dyDescent="0.3">
      <c r="A162" s="68" t="s">
        <v>41</v>
      </c>
      <c r="E162" s="20"/>
      <c r="F162" s="20"/>
      <c r="G162" s="20"/>
      <c r="H162" s="20"/>
      <c r="I162" s="20"/>
      <c r="J162" s="20"/>
      <c r="K162" s="20"/>
      <c r="L162" s="20"/>
      <c r="M162" s="20"/>
    </row>
    <row r="163" spans="1:13" ht="15.75" thickBot="1" x14ac:dyDescent="0.3">
      <c r="D163" s="23"/>
      <c r="E163" s="27"/>
      <c r="F163" s="26"/>
      <c r="G163" s="26"/>
      <c r="H163" s="26"/>
      <c r="I163" s="26"/>
      <c r="J163" s="26"/>
      <c r="K163" s="26"/>
      <c r="L163" s="26"/>
      <c r="M163" s="26"/>
    </row>
    <row r="164" spans="1:13" x14ac:dyDescent="0.25">
      <c r="D164" s="28"/>
      <c r="E164" s="1"/>
      <c r="F164" s="2"/>
      <c r="G164" s="2"/>
      <c r="H164" s="2"/>
      <c r="I164" s="2"/>
      <c r="J164" s="2"/>
      <c r="K164" s="2"/>
      <c r="L164" s="2"/>
      <c r="M164" s="3"/>
    </row>
    <row r="165" spans="1:13" x14ac:dyDescent="0.25">
      <c r="D165" s="25"/>
      <c r="E165" s="5"/>
      <c r="F165" s="6"/>
      <c r="G165" s="6"/>
      <c r="H165" s="6"/>
      <c r="I165" s="6"/>
      <c r="J165" s="6"/>
      <c r="K165" s="6"/>
      <c r="L165" s="6"/>
      <c r="M165" s="7"/>
    </row>
    <row r="166" spans="1:13" x14ac:dyDescent="0.25">
      <c r="D166" s="25"/>
      <c r="E166" s="9"/>
      <c r="F166" s="10"/>
      <c r="G166" s="10"/>
      <c r="H166" s="10"/>
      <c r="I166" s="10"/>
      <c r="J166" s="10"/>
      <c r="K166" s="10"/>
      <c r="L166" s="10"/>
      <c r="M166" s="11"/>
    </row>
    <row r="167" spans="1:13" x14ac:dyDescent="0.25">
      <c r="D167" s="25"/>
      <c r="E167" s="70"/>
      <c r="F167" s="71"/>
      <c r="G167" s="71"/>
      <c r="H167" s="71"/>
      <c r="I167" s="71"/>
      <c r="J167" s="71"/>
      <c r="K167" s="71"/>
      <c r="L167" s="71"/>
      <c r="M167" s="72"/>
    </row>
    <row r="169" spans="1:13" ht="15.75" thickBot="1" x14ac:dyDescent="0.3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</row>
    <row r="170" spans="1:13" ht="15.75" thickBot="1" x14ac:dyDescent="0.3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</row>
    <row r="171" spans="1:13" x14ac:dyDescent="0.25">
      <c r="D171" s="28" t="str" cm="1">
        <f t="array" ref="D171:D173">+_xlfn.UNIQUE($D$150:$D$158)</f>
        <v>Agr</v>
      </c>
      <c r="E171" s="1">
        <f>+IO_sub_model!E171</f>
        <v>0.30985915492957744</v>
      </c>
      <c r="F171" s="2">
        <f>+IO_sub_model!F171</f>
        <v>0.36363636363636365</v>
      </c>
      <c r="G171" s="2">
        <f>+IO_sub_model!G171</f>
        <v>0.46808510638297873</v>
      </c>
      <c r="H171" s="2">
        <f>+IO_sub_model!H171</f>
        <v>0.2073170731707317</v>
      </c>
      <c r="I171" s="2">
        <f>+IO_sub_model!I171</f>
        <v>0.4</v>
      </c>
      <c r="J171" s="2">
        <f>+IO_sub_model!J171</f>
        <v>0.30909090909090908</v>
      </c>
      <c r="K171" s="2">
        <f>+IO_sub_model!K171</f>
        <v>0.25316455696202533</v>
      </c>
      <c r="L171" s="2">
        <f>+IO_sub_model!L171</f>
        <v>0.38461538461538464</v>
      </c>
      <c r="M171" s="3">
        <f>+IO_sub_model!M171</f>
        <v>0.31666666666666665</v>
      </c>
    </row>
    <row r="172" spans="1:13" x14ac:dyDescent="0.25">
      <c r="D172" s="25" t="str">
        <v>Ind</v>
      </c>
      <c r="E172" s="5">
        <f>+IO_sub_model!E172</f>
        <v>0.18309859154929578</v>
      </c>
      <c r="F172" s="6">
        <f>+IO_sub_model!F172</f>
        <v>0.23636363636363636</v>
      </c>
      <c r="G172" s="6">
        <f>+IO_sub_model!G172</f>
        <v>0.25531914893617019</v>
      </c>
      <c r="H172" s="6">
        <f>+IO_sub_model!H172</f>
        <v>0.23170731707317074</v>
      </c>
      <c r="I172" s="6">
        <f>+IO_sub_model!I172</f>
        <v>0.18</v>
      </c>
      <c r="J172" s="6">
        <f>+IO_sub_model!J172</f>
        <v>0.25454545454545452</v>
      </c>
      <c r="K172" s="6">
        <f>+IO_sub_model!K172</f>
        <v>0.22784810126582278</v>
      </c>
      <c r="L172" s="6">
        <f>+IO_sub_model!L172</f>
        <v>0.24615384615384617</v>
      </c>
      <c r="M172" s="7">
        <f>+IO_sub_model!M172</f>
        <v>0.26666666666666666</v>
      </c>
    </row>
    <row r="173" spans="1:13" x14ac:dyDescent="0.25">
      <c r="D173" s="25" t="str">
        <v>Serv</v>
      </c>
      <c r="E173" s="9">
        <f>+IO_sub_model!E173</f>
        <v>0.22535211267605634</v>
      </c>
      <c r="F173" s="10">
        <f>+IO_sub_model!F173</f>
        <v>0.12727272727272726</v>
      </c>
      <c r="G173" s="10">
        <f>+IO_sub_model!G173</f>
        <v>0.1702127659574468</v>
      </c>
      <c r="H173" s="10">
        <f>+IO_sub_model!H173</f>
        <v>0.21951219512195122</v>
      </c>
      <c r="I173" s="10">
        <f>+IO_sub_model!I173</f>
        <v>0.26</v>
      </c>
      <c r="J173" s="10">
        <f>+IO_sub_model!J173</f>
        <v>0.10909090909090909</v>
      </c>
      <c r="K173" s="10">
        <f>+IO_sub_model!K173</f>
        <v>0.13924050632911392</v>
      </c>
      <c r="L173" s="10">
        <f>+IO_sub_model!L173</f>
        <v>0.15384615384615385</v>
      </c>
      <c r="M173" s="11">
        <f>+IO_sub_model!M173</f>
        <v>0.25</v>
      </c>
    </row>
    <row r="175" spans="1:13" ht="15.75" thickBot="1" x14ac:dyDescent="0.3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</row>
    <row r="176" spans="1:13" ht="15.75" thickBot="1" x14ac:dyDescent="0.3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</row>
    <row r="177" spans="2:14" x14ac:dyDescent="0.25">
      <c r="D177" s="28" t="str" cm="1">
        <f t="array" ref="D177:D179">+_xlfn.UNIQUE($D$150:$D$158)</f>
        <v>Agr</v>
      </c>
      <c r="E177" s="1">
        <f>+SUMIF($D$150:$D$158,$D177,E$150:E$158)</f>
        <v>21.11265373392316</v>
      </c>
      <c r="F177" s="2">
        <f t="shared" ref="F177:M179" si="38">+SUMIF($D$150:$D$158,$D177,F$150:F$158)</f>
        <v>19.193321576293783</v>
      </c>
      <c r="G177" s="2">
        <f t="shared" si="38"/>
        <v>21.144152878098083</v>
      </c>
      <c r="H177" s="2">
        <f t="shared" si="38"/>
        <v>16.350230927997629</v>
      </c>
      <c r="I177" s="2">
        <f t="shared" si="38"/>
        <v>19.217117154850222</v>
      </c>
      <c r="J177" s="2">
        <f t="shared" si="38"/>
        <v>16.34016553881002</v>
      </c>
      <c r="K177" s="2">
        <f t="shared" si="38"/>
        <v>19.193321576293787</v>
      </c>
      <c r="L177" s="2">
        <f t="shared" si="38"/>
        <v>24.015381116254218</v>
      </c>
      <c r="M177" s="3">
        <f t="shared" si="38"/>
        <v>18.233655497479099</v>
      </c>
    </row>
    <row r="178" spans="2:14" x14ac:dyDescent="0.25">
      <c r="D178" s="25" t="str">
        <v>Ind</v>
      </c>
      <c r="E178" s="5">
        <f t="shared" ref="E178:E179" si="39">+SUMIF($D$150:$D$158,$D178,E$150:E$158)</f>
        <v>12.490255334692115</v>
      </c>
      <c r="F178" s="6">
        <f t="shared" si="38"/>
        <v>12.490255334692113</v>
      </c>
      <c r="G178" s="6">
        <f t="shared" si="38"/>
        <v>11.529046614121519</v>
      </c>
      <c r="H178" s="6">
        <f t="shared" si="38"/>
        <v>18.254007885604565</v>
      </c>
      <c r="I178" s="6">
        <f t="shared" si="38"/>
        <v>8.6468381831779002</v>
      </c>
      <c r="J178" s="6">
        <f t="shared" si="38"/>
        <v>13.450524157678514</v>
      </c>
      <c r="K178" s="6">
        <f t="shared" si="38"/>
        <v>17.294199694189086</v>
      </c>
      <c r="L178" s="6">
        <f t="shared" si="38"/>
        <v>15.372250845453898</v>
      </c>
      <c r="M178" s="7">
        <f t="shared" si="38"/>
        <v>15.372621950390297</v>
      </c>
    </row>
    <row r="179" spans="2:14" x14ac:dyDescent="0.25">
      <c r="D179" s="25" t="str">
        <v>Serv</v>
      </c>
      <c r="E179" s="9">
        <f t="shared" si="39"/>
        <v>15.027692307692305</v>
      </c>
      <c r="F179" s="10">
        <f t="shared" si="38"/>
        <v>6.5746153846153828</v>
      </c>
      <c r="G179" s="10">
        <f t="shared" si="38"/>
        <v>7.513846153846151</v>
      </c>
      <c r="H179" s="10">
        <f t="shared" si="38"/>
        <v>16.906153846153845</v>
      </c>
      <c r="I179" s="10">
        <f t="shared" si="38"/>
        <v>12.210000000000003</v>
      </c>
      <c r="J179" s="10">
        <f t="shared" si="38"/>
        <v>5.6353846153846128</v>
      </c>
      <c r="K179" s="10">
        <f t="shared" si="38"/>
        <v>10.331538461538461</v>
      </c>
      <c r="L179" s="10">
        <f t="shared" si="38"/>
        <v>9.3923076923076927</v>
      </c>
      <c r="M179" s="11">
        <f t="shared" si="38"/>
        <v>14.088461538461535</v>
      </c>
    </row>
    <row r="181" spans="2:14" x14ac:dyDescent="0.25">
      <c r="E181" s="1">
        <f>+E177/E171</f>
        <v>68.136291595842934</v>
      </c>
      <c r="F181" s="2">
        <f t="shared" ref="F181:M181" si="40">+F177/F171</f>
        <v>52.781634334807904</v>
      </c>
      <c r="G181" s="2">
        <f t="shared" si="40"/>
        <v>45.171599330482266</v>
      </c>
      <c r="H181" s="2">
        <f t="shared" si="40"/>
        <v>78.865819770341503</v>
      </c>
      <c r="I181" s="2">
        <f t="shared" si="40"/>
        <v>48.04279288712555</v>
      </c>
      <c r="J181" s="2">
        <f t="shared" si="40"/>
        <v>52.865241449091243</v>
      </c>
      <c r="K181" s="2">
        <f t="shared" si="40"/>
        <v>75.813620226360456</v>
      </c>
      <c r="L181" s="2">
        <f t="shared" si="40"/>
        <v>62.439990902260966</v>
      </c>
      <c r="M181" s="3">
        <f t="shared" si="40"/>
        <v>57.579964728881365</v>
      </c>
    </row>
    <row r="182" spans="2:14" x14ac:dyDescent="0.25">
      <c r="E182" s="5">
        <f t="shared" ref="E182:M183" si="41">+E178/E172</f>
        <v>68.216009904856932</v>
      </c>
      <c r="F182" s="6">
        <f t="shared" si="41"/>
        <v>52.843387954466635</v>
      </c>
      <c r="G182" s="6">
        <f t="shared" si="41"/>
        <v>45.15543257197595</v>
      </c>
      <c r="H182" s="6">
        <f t="shared" si="41"/>
        <v>78.780455085240746</v>
      </c>
      <c r="I182" s="6">
        <f t="shared" si="41"/>
        <v>48.037989906543892</v>
      </c>
      <c r="J182" s="6">
        <f t="shared" si="41"/>
        <v>52.841344905165592</v>
      </c>
      <c r="K182" s="6">
        <f t="shared" si="41"/>
        <v>75.902320880052102</v>
      </c>
      <c r="L182" s="6">
        <f t="shared" si="41"/>
        <v>62.449769059656461</v>
      </c>
      <c r="M182" s="7">
        <f t="shared" si="41"/>
        <v>57.647332313963616</v>
      </c>
    </row>
    <row r="183" spans="2:14" x14ac:dyDescent="0.25">
      <c r="E183" s="73">
        <f t="shared" si="41"/>
        <v>66.685384615384606</v>
      </c>
      <c r="F183" s="74">
        <f t="shared" si="41"/>
        <v>51.657692307692301</v>
      </c>
      <c r="G183" s="74">
        <f t="shared" si="41"/>
        <v>44.143846153846141</v>
      </c>
      <c r="H183" s="74">
        <f t="shared" si="41"/>
        <v>77.016923076923078</v>
      </c>
      <c r="I183" s="74">
        <f t="shared" si="41"/>
        <v>46.961538461538467</v>
      </c>
      <c r="J183" s="74">
        <f t="shared" si="41"/>
        <v>51.657692307692287</v>
      </c>
      <c r="K183" s="74">
        <f t="shared" si="41"/>
        <v>74.199230769230766</v>
      </c>
      <c r="L183" s="74">
        <f t="shared" si="41"/>
        <v>61.05</v>
      </c>
      <c r="M183" s="75">
        <f t="shared" si="41"/>
        <v>56.353846153846142</v>
      </c>
    </row>
    <row r="184" spans="2:14" x14ac:dyDescent="0.25">
      <c r="D184" s="25" t="s">
        <v>47</v>
      </c>
      <c r="E184" s="13">
        <f>+MIN(E181:E183)</f>
        <v>66.685384615384606</v>
      </c>
      <c r="F184" s="14">
        <f t="shared" ref="F184:M184" si="42">+MIN(F181:F183)</f>
        <v>51.657692307692301</v>
      </c>
      <c r="G184" s="14">
        <f t="shared" si="42"/>
        <v>44.143846153846141</v>
      </c>
      <c r="H184" s="14">
        <f t="shared" si="42"/>
        <v>77.016923076923078</v>
      </c>
      <c r="I184" s="14">
        <f t="shared" si="42"/>
        <v>46.961538461538467</v>
      </c>
      <c r="J184" s="14">
        <f t="shared" si="42"/>
        <v>51.657692307692287</v>
      </c>
      <c r="K184" s="14">
        <f t="shared" si="42"/>
        <v>74.199230769230766</v>
      </c>
      <c r="L184" s="14">
        <f t="shared" si="42"/>
        <v>61.05</v>
      </c>
      <c r="M184" s="15">
        <f t="shared" si="42"/>
        <v>56.353846153846142</v>
      </c>
      <c r="N184" s="19">
        <f>+SUM(E184:M184)</f>
        <v>529.72615384615381</v>
      </c>
    </row>
    <row r="187" spans="2:14" x14ac:dyDescent="0.25">
      <c r="C187" s="115" t="s">
        <v>61</v>
      </c>
      <c r="D187" s="77" t="s">
        <v>48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</row>
    <row r="188" spans="2:14" x14ac:dyDescent="0.25">
      <c r="B188" s="18" cm="1">
        <f t="array" ref="B188:B196">+TRANSPOSE(E184:M184)</f>
        <v>66.685384615384606</v>
      </c>
      <c r="C188" s="5" cm="1">
        <f t="array" ref="C188:C196">+H47:H55</f>
        <v>22.300273077911072</v>
      </c>
      <c r="D188" s="79">
        <f>+G188-SUM(E150:M150)</f>
        <v>20.685384615384621</v>
      </c>
      <c r="E188" s="117">
        <f>+C188-D188</f>
        <v>1.6148884625264515</v>
      </c>
      <c r="F188" s="78">
        <f>+SUM(E150:M150)+C188</f>
        <v>68.300273077911058</v>
      </c>
      <c r="G188" s="79">
        <f>+MIN(B188,F188)</f>
        <v>66.685384615384606</v>
      </c>
      <c r="H188" s="117">
        <f>+F188-G188</f>
        <v>1.6148884625264515</v>
      </c>
      <c r="I188" s="120" t="b">
        <f>+H188&lt;0.001</f>
        <v>0</v>
      </c>
    </row>
    <row r="189" spans="2:14" x14ac:dyDescent="0.25">
      <c r="B189" s="18">
        <v>51.657692307692301</v>
      </c>
      <c r="C189" s="5">
        <v>4.9086622434522553</v>
      </c>
      <c r="D189" s="79">
        <f t="shared" ref="D189:D196" si="43">+G189-SUM(E151:M151)</f>
        <v>3.6576923076923151</v>
      </c>
      <c r="E189" s="117">
        <f t="shared" ref="E189:E196" si="44">+C189-D189</f>
        <v>1.2509699357599402</v>
      </c>
      <c r="F189" s="78">
        <f t="shared" ref="F189:F196" si="45">+SUM(E151:M151)+C189</f>
        <v>52.908662243452241</v>
      </c>
      <c r="G189" s="79">
        <f t="shared" ref="G189:G196" si="46">+MIN(B189,F189)</f>
        <v>51.657692307692301</v>
      </c>
      <c r="H189" s="117">
        <f t="shared" ref="H189:H196" si="47">+F189-G189</f>
        <v>1.2509699357599402</v>
      </c>
      <c r="I189" s="120" t="b">
        <f t="shared" ref="I189:I196" si="48">+H189&lt;0.001</f>
        <v>0</v>
      </c>
    </row>
    <row r="190" spans="2:14" x14ac:dyDescent="0.25">
      <c r="B190" s="18">
        <v>44.143846153846141</v>
      </c>
      <c r="C190" s="5">
        <v>13.122764577421641</v>
      </c>
      <c r="D190" s="79">
        <f t="shared" si="43"/>
        <v>13.122764577421638</v>
      </c>
      <c r="E190" s="117">
        <f t="shared" si="44"/>
        <v>0</v>
      </c>
      <c r="F190" s="78">
        <f t="shared" si="45"/>
        <v>43.302764577421641</v>
      </c>
      <c r="G190" s="79">
        <f t="shared" si="46"/>
        <v>43.302764577421641</v>
      </c>
      <c r="H190" s="117">
        <f t="shared" si="47"/>
        <v>0</v>
      </c>
      <c r="I190" s="120" t="b">
        <f t="shared" si="48"/>
        <v>1</v>
      </c>
    </row>
    <row r="191" spans="2:14" x14ac:dyDescent="0.25">
      <c r="B191" s="18">
        <v>77.016923076923078</v>
      </c>
      <c r="C191" s="5">
        <v>9.2051742530665734</v>
      </c>
      <c r="D191" s="79">
        <f t="shared" si="43"/>
        <v>9.2051742530665734</v>
      </c>
      <c r="E191" s="117">
        <f t="shared" si="44"/>
        <v>0</v>
      </c>
      <c r="F191" s="78">
        <f t="shared" si="45"/>
        <v>74.005174253066585</v>
      </c>
      <c r="G191" s="79">
        <f t="shared" si="46"/>
        <v>74.005174253066585</v>
      </c>
      <c r="H191" s="117">
        <f t="shared" si="47"/>
        <v>0</v>
      </c>
      <c r="I191" s="120" t="b">
        <f t="shared" si="48"/>
        <v>1</v>
      </c>
    </row>
    <row r="192" spans="2:14" x14ac:dyDescent="0.25">
      <c r="B192" s="18">
        <v>46.961538461538467</v>
      </c>
      <c r="C192" s="5">
        <v>3.9054396654842094</v>
      </c>
      <c r="D192" s="79">
        <f t="shared" si="43"/>
        <v>3.9054396654842094</v>
      </c>
      <c r="E192" s="117">
        <f t="shared" si="44"/>
        <v>0</v>
      </c>
      <c r="F192" s="78">
        <f t="shared" si="45"/>
        <v>46.405439665484217</v>
      </c>
      <c r="G192" s="79">
        <f t="shared" si="46"/>
        <v>46.405439665484217</v>
      </c>
      <c r="H192" s="117">
        <f t="shared" si="47"/>
        <v>0</v>
      </c>
      <c r="I192" s="120" t="b">
        <f t="shared" si="48"/>
        <v>1</v>
      </c>
    </row>
    <row r="193" spans="2:13" x14ac:dyDescent="0.25">
      <c r="B193" s="18">
        <v>51.657692307692287</v>
      </c>
      <c r="C193" s="5">
        <v>19.037980374372765</v>
      </c>
      <c r="D193" s="79">
        <f t="shared" si="43"/>
        <v>19.037980374372765</v>
      </c>
      <c r="E193" s="117">
        <f t="shared" si="44"/>
        <v>0</v>
      </c>
      <c r="F193" s="78">
        <f t="shared" si="45"/>
        <v>50.537980374372758</v>
      </c>
      <c r="G193" s="79">
        <f t="shared" si="46"/>
        <v>50.537980374372758</v>
      </c>
      <c r="H193" s="117">
        <f t="shared" si="47"/>
        <v>0</v>
      </c>
      <c r="I193" s="120" t="b">
        <f t="shared" si="48"/>
        <v>1</v>
      </c>
    </row>
    <row r="194" spans="2:13" x14ac:dyDescent="0.25">
      <c r="B194" s="18">
        <v>74.199230769230766</v>
      </c>
      <c r="C194" s="5">
        <v>11.996078495140495</v>
      </c>
      <c r="D194" s="79">
        <f t="shared" si="43"/>
        <v>10.199230769230766</v>
      </c>
      <c r="E194" s="117">
        <f t="shared" si="44"/>
        <v>1.7968477259097284</v>
      </c>
      <c r="F194" s="78">
        <f t="shared" si="45"/>
        <v>75.996078495140495</v>
      </c>
      <c r="G194" s="79">
        <f t="shared" si="46"/>
        <v>74.199230769230766</v>
      </c>
      <c r="H194" s="117">
        <f t="shared" si="47"/>
        <v>1.7968477259097284</v>
      </c>
      <c r="I194" s="120" t="b">
        <f t="shared" si="48"/>
        <v>0</v>
      </c>
    </row>
    <row r="195" spans="2:13" x14ac:dyDescent="0.25">
      <c r="B195" s="18">
        <v>61.05</v>
      </c>
      <c r="C195" s="5">
        <v>26.367341055101377</v>
      </c>
      <c r="D195" s="79">
        <f t="shared" si="43"/>
        <v>26.367341055101377</v>
      </c>
      <c r="E195" s="117">
        <f t="shared" si="44"/>
        <v>0</v>
      </c>
      <c r="F195" s="78">
        <f t="shared" si="45"/>
        <v>60.76734105510139</v>
      </c>
      <c r="G195" s="79">
        <f t="shared" si="46"/>
        <v>60.76734105510139</v>
      </c>
      <c r="H195" s="117">
        <f t="shared" si="47"/>
        <v>0</v>
      </c>
      <c r="I195" s="120" t="b">
        <f t="shared" si="48"/>
        <v>1</v>
      </c>
    </row>
    <row r="196" spans="2:13" x14ac:dyDescent="0.25">
      <c r="B196" s="18">
        <v>56.353846153846142</v>
      </c>
      <c r="C196" s="9">
        <v>21.718540629220634</v>
      </c>
      <c r="D196" s="81">
        <f t="shared" si="43"/>
        <v>20.353846153846149</v>
      </c>
      <c r="E196" s="118">
        <f t="shared" si="44"/>
        <v>1.3646944753744847</v>
      </c>
      <c r="F196" s="80">
        <f t="shared" si="45"/>
        <v>57.718540629220627</v>
      </c>
      <c r="G196" s="81">
        <f t="shared" si="46"/>
        <v>56.353846153846142</v>
      </c>
      <c r="H196" s="118">
        <f t="shared" si="47"/>
        <v>1.3646944753744847</v>
      </c>
      <c r="I196" s="120" t="b">
        <f t="shared" si="48"/>
        <v>0</v>
      </c>
    </row>
    <row r="198" spans="2:13" ht="15.75" thickBot="1" x14ac:dyDescent="0.3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13" ht="15.75" thickBot="1" x14ac:dyDescent="0.3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13" x14ac:dyDescent="0.25">
      <c r="C200" s="20" t="s">
        <v>1</v>
      </c>
      <c r="D200" s="28" t="s">
        <v>51</v>
      </c>
      <c r="E200" s="1">
        <f t="shared" ref="E200:M208" si="49">+E150/E$184</f>
        <v>0.13739146920441042</v>
      </c>
      <c r="F200" s="2">
        <f t="shared" si="49"/>
        <v>9.691189539095646E-2</v>
      </c>
      <c r="G200" s="2">
        <f t="shared" si="49"/>
        <v>0.20773659330173652</v>
      </c>
      <c r="H200" s="2">
        <f t="shared" si="49"/>
        <v>2.1098464165425497E-2</v>
      </c>
      <c r="I200" s="2">
        <f t="shared" si="49"/>
        <v>2.0255880363226068E-2</v>
      </c>
      <c r="J200" s="2">
        <f t="shared" si="49"/>
        <v>0.14147076778512699</v>
      </c>
      <c r="K200" s="2">
        <f t="shared" si="49"/>
        <v>4.5576497396740287E-2</v>
      </c>
      <c r="L200" s="2">
        <f t="shared" si="49"/>
        <v>0.11258377621297919</v>
      </c>
      <c r="M200" s="3">
        <f t="shared" si="49"/>
        <v>4.475719124928846E-2</v>
      </c>
    </row>
    <row r="201" spans="2:13" x14ac:dyDescent="0.25">
      <c r="C201" s="20" t="s">
        <v>1</v>
      </c>
      <c r="D201" s="25" t="s">
        <v>52</v>
      </c>
      <c r="E201" s="5">
        <f t="shared" si="49"/>
        <v>0.11095840999954347</v>
      </c>
      <c r="F201" s="6">
        <f t="shared" si="49"/>
        <v>6.4618540537586894E-2</v>
      </c>
      <c r="G201" s="6">
        <f t="shared" si="49"/>
        <v>0.18444393950923244</v>
      </c>
      <c r="H201" s="6">
        <f t="shared" si="49"/>
        <v>5.9284363042656045E-2</v>
      </c>
      <c r="I201" s="6">
        <f t="shared" si="49"/>
        <v>4.7876892670830569E-2</v>
      </c>
      <c r="J201" s="6">
        <f t="shared" si="49"/>
        <v>0.17602292565369274</v>
      </c>
      <c r="K201" s="6">
        <f t="shared" si="49"/>
        <v>2.7765657850952825E-2</v>
      </c>
      <c r="L201" s="6">
        <f t="shared" si="49"/>
        <v>7.1386465775172658E-2</v>
      </c>
      <c r="M201" s="7">
        <f t="shared" si="49"/>
        <v>0.12057814249297324</v>
      </c>
    </row>
    <row r="202" spans="2:13" x14ac:dyDescent="0.25">
      <c r="C202" s="20" t="s">
        <v>1</v>
      </c>
      <c r="D202" s="25" t="s">
        <v>53</v>
      </c>
      <c r="E202" s="5">
        <f t="shared" si="49"/>
        <v>7.7878600694173804E-3</v>
      </c>
      <c r="F202" s="6">
        <f t="shared" si="49"/>
        <v>4.398370971023218E-3</v>
      </c>
      <c r="G202" s="6">
        <f t="shared" si="49"/>
        <v>5.8823198396663213E-3</v>
      </c>
      <c r="H202" s="6">
        <f t="shared" si="49"/>
        <v>8.1410898239087093E-2</v>
      </c>
      <c r="I202" s="6">
        <f t="shared" si="49"/>
        <v>7.8169681641495195E-2</v>
      </c>
      <c r="J202" s="6">
        <f t="shared" si="49"/>
        <v>6.6664975975790602E-2</v>
      </c>
      <c r="K202" s="6">
        <f t="shared" si="49"/>
        <v>8.1440294331631163E-2</v>
      </c>
      <c r="L202" s="6">
        <f t="shared" si="49"/>
        <v>5.85355106907791E-2</v>
      </c>
      <c r="M202" s="7">
        <f t="shared" si="49"/>
        <v>0.10953362947385036</v>
      </c>
    </row>
    <row r="203" spans="2:13" x14ac:dyDescent="0.25">
      <c r="C203" s="20" t="s">
        <v>10</v>
      </c>
      <c r="D203" s="25" t="str">
        <f>+D200</f>
        <v>Agr</v>
      </c>
      <c r="E203" s="5">
        <f t="shared" si="49"/>
        <v>0.12098088191295125</v>
      </c>
      <c r="F203" s="6">
        <f t="shared" si="49"/>
        <v>9.1947495033707846E-2</v>
      </c>
      <c r="G203" s="6">
        <f t="shared" si="49"/>
        <v>9.1022293188437603E-2</v>
      </c>
      <c r="H203" s="6">
        <f t="shared" si="49"/>
        <v>8.1596743729750495E-2</v>
      </c>
      <c r="I203" s="6">
        <f t="shared" si="49"/>
        <v>0.18781063190744279</v>
      </c>
      <c r="J203" s="6">
        <f t="shared" si="49"/>
        <v>0.15302856695448872</v>
      </c>
      <c r="K203" s="6">
        <f t="shared" si="49"/>
        <v>0.11874860262347135</v>
      </c>
      <c r="L203" s="6">
        <f t="shared" si="49"/>
        <v>0.13398417092745665</v>
      </c>
      <c r="M203" s="7">
        <f t="shared" si="49"/>
        <v>0.14132799814752492</v>
      </c>
    </row>
    <row r="204" spans="2:13" x14ac:dyDescent="0.25">
      <c r="C204" s="20" t="s">
        <v>10</v>
      </c>
      <c r="D204" s="25" t="str">
        <f t="shared" ref="D204:D208" si="50">+D201</f>
        <v>Ind</v>
      </c>
      <c r="E204" s="5">
        <f t="shared" si="49"/>
        <v>5.764322946033236E-2</v>
      </c>
      <c r="F204" s="6">
        <f t="shared" si="49"/>
        <v>4.2964697082245006E-2</v>
      </c>
      <c r="G204" s="6">
        <f t="shared" si="49"/>
        <v>6.7637978452817646E-2</v>
      </c>
      <c r="H204" s="6">
        <f t="shared" si="49"/>
        <v>7.4564454725767948E-2</v>
      </c>
      <c r="I204" s="6">
        <f t="shared" si="49"/>
        <v>0.12984168067513741</v>
      </c>
      <c r="J204" s="6">
        <f t="shared" si="49"/>
        <v>7.5294683749231719E-2</v>
      </c>
      <c r="K204" s="6">
        <f t="shared" si="49"/>
        <v>0.10962443395706671</v>
      </c>
      <c r="L204" s="6">
        <f t="shared" si="49"/>
        <v>3.860160090617603E-2</v>
      </c>
      <c r="M204" s="7">
        <f t="shared" si="49"/>
        <v>0.12830118937197441</v>
      </c>
    </row>
    <row r="205" spans="2:13" x14ac:dyDescent="0.25">
      <c r="C205" s="20" t="s">
        <v>10</v>
      </c>
      <c r="D205" s="25" t="str">
        <f t="shared" si="50"/>
        <v>Serv</v>
      </c>
      <c r="E205" s="5">
        <f t="shared" si="49"/>
        <v>8.0167509084298538E-2</v>
      </c>
      <c r="F205" s="6">
        <f t="shared" si="49"/>
        <v>8.262029557493035E-2</v>
      </c>
      <c r="G205" s="6">
        <f t="shared" si="49"/>
        <v>7.8952171246226791E-2</v>
      </c>
      <c r="H205" s="6">
        <f t="shared" si="49"/>
        <v>1.7448150007902362E-2</v>
      </c>
      <c r="I205" s="6">
        <f t="shared" si="49"/>
        <v>0.16383971538261449</v>
      </c>
      <c r="J205" s="6">
        <f t="shared" si="49"/>
        <v>3.4877428369989694E-2</v>
      </c>
      <c r="K205" s="6">
        <f t="shared" si="49"/>
        <v>1.532480284084977E-2</v>
      </c>
      <c r="L205" s="6">
        <f t="shared" si="49"/>
        <v>8.4665315950705936E-2</v>
      </c>
      <c r="M205" s="7">
        <f t="shared" si="49"/>
        <v>2.2273741609222322E-2</v>
      </c>
    </row>
    <row r="206" spans="2:13" x14ac:dyDescent="0.25">
      <c r="C206" s="20" t="s">
        <v>11</v>
      </c>
      <c r="D206" s="25" t="str">
        <f t="shared" si="50"/>
        <v>Agr</v>
      </c>
      <c r="E206" s="5">
        <f t="shared" si="49"/>
        <v>5.8228563096341175E-2</v>
      </c>
      <c r="F206" s="6">
        <f t="shared" si="49"/>
        <v>0.18268878989224319</v>
      </c>
      <c r="G206" s="6">
        <f t="shared" si="49"/>
        <v>0.18022413652074323</v>
      </c>
      <c r="H206" s="6">
        <f t="shared" si="49"/>
        <v>0.10959879548466976</v>
      </c>
      <c r="I206" s="6">
        <f t="shared" si="49"/>
        <v>0.20114318963441366</v>
      </c>
      <c r="J206" s="6">
        <f t="shared" si="49"/>
        <v>2.1816877016069398E-2</v>
      </c>
      <c r="K206" s="6">
        <f t="shared" si="49"/>
        <v>9.4347683744723965E-2</v>
      </c>
      <c r="L206" s="6">
        <f t="shared" si="49"/>
        <v>0.14680438891614431</v>
      </c>
      <c r="M206" s="7">
        <f t="shared" si="49"/>
        <v>0.13747135096249366</v>
      </c>
    </row>
    <row r="207" spans="2:13" x14ac:dyDescent="0.25">
      <c r="C207" s="20" t="s">
        <v>11</v>
      </c>
      <c r="D207" s="25" t="str">
        <f t="shared" si="50"/>
        <v>Ind</v>
      </c>
      <c r="E207" s="5">
        <f t="shared" si="49"/>
        <v>1.8699602134981213E-2</v>
      </c>
      <c r="F207" s="6">
        <f t="shared" si="49"/>
        <v>0.13420563789352899</v>
      </c>
      <c r="G207" s="6">
        <f t="shared" si="49"/>
        <v>9.0880438473837748E-3</v>
      </c>
      <c r="H207" s="6">
        <f t="shared" si="49"/>
        <v>0.10316412894943955</v>
      </c>
      <c r="I207" s="6">
        <f t="shared" si="49"/>
        <v>6.4073830525786272E-3</v>
      </c>
      <c r="J207" s="6">
        <f t="shared" si="49"/>
        <v>9.0603431692157389E-3</v>
      </c>
      <c r="K207" s="6">
        <f t="shared" si="49"/>
        <v>9.5687792085093717E-2</v>
      </c>
      <c r="L207" s="6">
        <f t="shared" si="49"/>
        <v>0.1418096539649068</v>
      </c>
      <c r="M207" s="7">
        <f t="shared" si="49"/>
        <v>2.3908117432177529E-2</v>
      </c>
    </row>
    <row r="208" spans="2:13" x14ac:dyDescent="0.25">
      <c r="C208" s="20" t="s">
        <v>11</v>
      </c>
      <c r="D208" s="25" t="str">
        <f t="shared" si="50"/>
        <v>Serv</v>
      </c>
      <c r="E208" s="9">
        <f t="shared" si="49"/>
        <v>0.13739674352234041</v>
      </c>
      <c r="F208" s="10">
        <f t="shared" si="49"/>
        <v>4.0254060726773698E-2</v>
      </c>
      <c r="G208" s="10">
        <f t="shared" si="49"/>
        <v>8.5378274871553694E-2</v>
      </c>
      <c r="H208" s="10">
        <f t="shared" si="49"/>
        <v>0.12065314687496174</v>
      </c>
      <c r="I208" s="10">
        <f t="shared" si="49"/>
        <v>1.7990602975890328E-2</v>
      </c>
      <c r="J208" s="10">
        <f t="shared" si="49"/>
        <v>7.5485047451287956E-3</v>
      </c>
      <c r="K208" s="10">
        <f t="shared" si="49"/>
        <v>4.2475409156632969E-2</v>
      </c>
      <c r="L208" s="10">
        <f t="shared" si="49"/>
        <v>1.0645327204668837E-2</v>
      </c>
      <c r="M208" s="11">
        <f t="shared" si="49"/>
        <v>0.11819262891692732</v>
      </c>
    </row>
    <row r="211" spans="3:13" ht="15.75" thickBot="1" x14ac:dyDescent="0.3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.75" thickBot="1" x14ac:dyDescent="0.3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25">
      <c r="C213" s="20" t="s">
        <v>1</v>
      </c>
      <c r="D213" s="28" t="s">
        <v>51</v>
      </c>
      <c r="E213" s="1" cm="1">
        <f t="array" ref="E213:M221">+MINVERSE(_xlfn.MUNIT(COUNTA($D$213:$D$221))-E200:M208)</f>
        <v>1.3666790309714925</v>
      </c>
      <c r="F213" s="2">
        <v>0.3279346896764489</v>
      </c>
      <c r="G213" s="2">
        <v>0.4916840093588899</v>
      </c>
      <c r="H213" s="2">
        <v>0.23843241905349002</v>
      </c>
      <c r="I213" s="2">
        <v>0.28093002276983625</v>
      </c>
      <c r="J213" s="2">
        <v>0.36538435297971789</v>
      </c>
      <c r="K213" s="2">
        <v>0.24849645003023682</v>
      </c>
      <c r="L213" s="2">
        <v>0.37239900949102578</v>
      </c>
      <c r="M213" s="3">
        <v>0.3124380956450713</v>
      </c>
    </row>
    <row r="214" spans="3:13" x14ac:dyDescent="0.25">
      <c r="C214" s="20" t="s">
        <v>1</v>
      </c>
      <c r="D214" s="25" t="s">
        <v>52</v>
      </c>
      <c r="E214" s="5">
        <v>0.35973518518240544</v>
      </c>
      <c r="F214" s="6">
        <v>1.3000617346591186</v>
      </c>
      <c r="G214" s="6">
        <v>0.47871657344456253</v>
      </c>
      <c r="H214" s="6">
        <v>0.28840660842704458</v>
      </c>
      <c r="I214" s="6">
        <v>0.32785424636553495</v>
      </c>
      <c r="J214" s="6">
        <v>0.40594440462763315</v>
      </c>
      <c r="K214" s="6">
        <v>0.23969848702132379</v>
      </c>
      <c r="L214" s="6">
        <v>0.33385119992759577</v>
      </c>
      <c r="M214" s="7">
        <v>0.4060917256645451</v>
      </c>
    </row>
    <row r="215" spans="3:13" x14ac:dyDescent="0.25">
      <c r="C215" s="20" t="s">
        <v>1</v>
      </c>
      <c r="D215" s="25" t="s">
        <v>53</v>
      </c>
      <c r="E215" s="5">
        <v>0.17363915046369885</v>
      </c>
      <c r="F215" s="6">
        <v>0.16971072758027003</v>
      </c>
      <c r="G215" s="6">
        <v>1.2010450936490253</v>
      </c>
      <c r="H215" s="6">
        <v>0.24139881783408995</v>
      </c>
      <c r="I215" s="6">
        <v>0.27372921347868279</v>
      </c>
      <c r="J215" s="6">
        <v>0.20876229215413533</v>
      </c>
      <c r="K215" s="6">
        <v>0.22922069687898067</v>
      </c>
      <c r="L215" s="6">
        <v>0.23243304423103828</v>
      </c>
      <c r="M215" s="7">
        <v>0.30703333877575739</v>
      </c>
    </row>
    <row r="216" spans="3:13" x14ac:dyDescent="0.25">
      <c r="C216" s="20" t="s">
        <v>10</v>
      </c>
      <c r="D216" s="25" t="str">
        <f>+D213</f>
        <v>Agr</v>
      </c>
      <c r="E216" s="5">
        <v>0.46996389068281941</v>
      </c>
      <c r="F216" s="6">
        <v>0.4384925635320423</v>
      </c>
      <c r="G216" s="6">
        <v>0.51583737592660184</v>
      </c>
      <c r="H216" s="6">
        <v>1.4108643583375839</v>
      </c>
      <c r="I216" s="6">
        <v>0.58883946170371049</v>
      </c>
      <c r="J216" s="6">
        <v>0.47286679559245171</v>
      </c>
      <c r="K216" s="6">
        <v>0.42716611667173709</v>
      </c>
      <c r="L216" s="6">
        <v>0.50663845568992405</v>
      </c>
      <c r="M216" s="7">
        <v>0.55195756451363176</v>
      </c>
    </row>
    <row r="217" spans="3:13" x14ac:dyDescent="0.25">
      <c r="C217" s="20" t="s">
        <v>10</v>
      </c>
      <c r="D217" s="25" t="str">
        <f t="shared" ref="D217:D221" si="51">+D214</f>
        <v>Ind</v>
      </c>
      <c r="E217" s="5">
        <v>0.29434019501234848</v>
      </c>
      <c r="F217" s="6">
        <v>0.27222344499115103</v>
      </c>
      <c r="G217" s="6">
        <v>0.35375299705497021</v>
      </c>
      <c r="H217" s="6">
        <v>0.29943344656086035</v>
      </c>
      <c r="I217" s="6">
        <v>1.4058562759438986</v>
      </c>
      <c r="J217" s="6">
        <v>0.28748034188846738</v>
      </c>
      <c r="K217" s="6">
        <v>0.3185873037696183</v>
      </c>
      <c r="L217" s="6">
        <v>0.28335744674778507</v>
      </c>
      <c r="M217" s="7">
        <v>0.41325542774948298</v>
      </c>
    </row>
    <row r="218" spans="3:13" x14ac:dyDescent="0.25">
      <c r="C218" s="20" t="s">
        <v>10</v>
      </c>
      <c r="D218" s="25" t="str">
        <f t="shared" si="51"/>
        <v>Serv</v>
      </c>
      <c r="E218" s="5">
        <v>0.24924221880289191</v>
      </c>
      <c r="F218" s="6">
        <v>0.24939008106913718</v>
      </c>
      <c r="G218" s="6">
        <v>0.28786118967571739</v>
      </c>
      <c r="H218" s="6">
        <v>0.17978174950748679</v>
      </c>
      <c r="I218" s="6">
        <v>0.35711864037526464</v>
      </c>
      <c r="J218" s="6">
        <v>1.2026001447837158</v>
      </c>
      <c r="K218" s="6">
        <v>0.17223806430074942</v>
      </c>
      <c r="L218" s="6">
        <v>0.26814062277164957</v>
      </c>
      <c r="M218" s="7">
        <v>0.22778074293670683</v>
      </c>
    </row>
    <row r="219" spans="3:13" x14ac:dyDescent="0.25">
      <c r="C219" s="20" t="s">
        <v>11</v>
      </c>
      <c r="D219" s="25" t="str">
        <f t="shared" si="51"/>
        <v>Agr</v>
      </c>
      <c r="E219" s="5">
        <v>0.40806072463228277</v>
      </c>
      <c r="F219" s="6">
        <v>0.52482415668348281</v>
      </c>
      <c r="G219" s="6">
        <v>0.60405550662648222</v>
      </c>
      <c r="H219" s="6">
        <v>0.4549213896807886</v>
      </c>
      <c r="I219" s="6">
        <v>0.60100718416667964</v>
      </c>
      <c r="J219" s="6">
        <v>0.35763662034073335</v>
      </c>
      <c r="K219" s="6">
        <v>1.4154244908511666</v>
      </c>
      <c r="L219" s="6">
        <v>0.5209483700523414</v>
      </c>
      <c r="M219" s="7">
        <v>0.57168330148631552</v>
      </c>
    </row>
    <row r="220" spans="3:13" x14ac:dyDescent="0.25">
      <c r="C220" s="20" t="s">
        <v>11</v>
      </c>
      <c r="D220" s="25" t="str">
        <f t="shared" si="51"/>
        <v>Ind</v>
      </c>
      <c r="E220" s="5">
        <v>0.20418942770762114</v>
      </c>
      <c r="F220" s="6">
        <v>0.33438089507415292</v>
      </c>
      <c r="G220" s="6">
        <v>0.24244751042066645</v>
      </c>
      <c r="H220" s="6">
        <v>0.28566265001323909</v>
      </c>
      <c r="I220" s="6">
        <v>0.21873790303741986</v>
      </c>
      <c r="J220" s="6">
        <v>0.19067989448327652</v>
      </c>
      <c r="K220" s="6">
        <v>0.26453344253151423</v>
      </c>
      <c r="L220" s="6">
        <v>1.357942422642046</v>
      </c>
      <c r="M220" s="7">
        <v>0.24668580724678124</v>
      </c>
    </row>
    <row r="221" spans="3:13" x14ac:dyDescent="0.25">
      <c r="C221" s="20" t="s">
        <v>11</v>
      </c>
      <c r="D221" s="25" t="str">
        <f t="shared" si="51"/>
        <v>Serv</v>
      </c>
      <c r="E221" s="9">
        <v>0.34074182951164411</v>
      </c>
      <c r="F221" s="10">
        <v>0.22387739853136399</v>
      </c>
      <c r="G221" s="10">
        <v>0.32703539024112099</v>
      </c>
      <c r="H221" s="10">
        <v>0.29973987423955395</v>
      </c>
      <c r="I221" s="10">
        <v>0.22913924310342776</v>
      </c>
      <c r="J221" s="10">
        <v>0.19606385380980565</v>
      </c>
      <c r="K221" s="10">
        <v>0.20964821499314687</v>
      </c>
      <c r="L221" s="10">
        <v>0.21465300574002147</v>
      </c>
      <c r="M221" s="11">
        <v>1.3473995595360193</v>
      </c>
    </row>
    <row r="223" spans="3:13" x14ac:dyDescent="0.25">
      <c r="E223" s="16"/>
      <c r="F223" s="16"/>
      <c r="G223" s="18"/>
      <c r="I223" s="16"/>
      <c r="L223" s="16"/>
    </row>
    <row r="224" spans="3:13" x14ac:dyDescent="0.25">
      <c r="E224" s="16"/>
      <c r="F224" s="16"/>
      <c r="G224" s="18"/>
      <c r="I224" s="16"/>
      <c r="L224" s="16"/>
    </row>
    <row r="225" spans="5:12" x14ac:dyDescent="0.25">
      <c r="E225" s="16"/>
      <c r="F225" s="16"/>
      <c r="G225" s="18"/>
      <c r="I225" s="16"/>
      <c r="L225" s="16"/>
    </row>
    <row r="226" spans="5:12" x14ac:dyDescent="0.25">
      <c r="E226" s="16"/>
      <c r="F226" s="16"/>
      <c r="G226" s="18"/>
      <c r="I226" s="16"/>
      <c r="L226" s="16"/>
    </row>
    <row r="227" spans="5:12" x14ac:dyDescent="0.25">
      <c r="E227" s="16"/>
      <c r="F227" s="16"/>
      <c r="G227" s="18"/>
      <c r="I227" s="16"/>
      <c r="L227" s="16"/>
    </row>
    <row r="228" spans="5:12" x14ac:dyDescent="0.25">
      <c r="E228" s="16"/>
      <c r="F228" s="16"/>
      <c r="G228" s="18"/>
      <c r="I228" s="16"/>
      <c r="L228" s="16"/>
    </row>
    <row r="229" spans="5:12" x14ac:dyDescent="0.25">
      <c r="E229" s="16"/>
      <c r="F229" s="16"/>
      <c r="G229" s="18"/>
      <c r="I229" s="16"/>
      <c r="L229" s="16"/>
    </row>
    <row r="230" spans="5:12" x14ac:dyDescent="0.25">
      <c r="E230" s="16"/>
      <c r="F230" s="16"/>
      <c r="G230" s="18"/>
      <c r="I230" s="16"/>
      <c r="L230" s="16"/>
    </row>
    <row r="231" spans="5:12" x14ac:dyDescent="0.25">
      <c r="E231" s="16"/>
      <c r="F231" s="16"/>
      <c r="G231" s="18"/>
      <c r="I231" s="16"/>
      <c r="L231" s="16"/>
    </row>
    <row r="234" spans="5:12" x14ac:dyDescent="0.25">
      <c r="E234" s="16"/>
    </row>
    <row r="235" spans="5:12" x14ac:dyDescent="0.25">
      <c r="E235" s="16"/>
      <c r="F235" s="18"/>
    </row>
    <row r="236" spans="5:12" x14ac:dyDescent="0.25">
      <c r="E236" s="16"/>
      <c r="F236" s="18"/>
    </row>
    <row r="237" spans="5:12" x14ac:dyDescent="0.25">
      <c r="E237" s="16"/>
      <c r="F237" s="18"/>
    </row>
    <row r="238" spans="5:12" x14ac:dyDescent="0.25">
      <c r="E238" s="16"/>
      <c r="F238" s="18"/>
    </row>
    <row r="239" spans="5:12" x14ac:dyDescent="0.25">
      <c r="E239" s="16"/>
      <c r="F239" s="18"/>
    </row>
    <row r="240" spans="5:12" x14ac:dyDescent="0.25">
      <c r="E240" s="16"/>
      <c r="F240" s="18"/>
    </row>
    <row r="241" spans="5:6" x14ac:dyDescent="0.25">
      <c r="E241" s="16"/>
      <c r="F241" s="18"/>
    </row>
    <row r="242" spans="5:6" x14ac:dyDescent="0.25">
      <c r="E242" s="16"/>
      <c r="F242" s="18"/>
    </row>
    <row r="243" spans="5:6" x14ac:dyDescent="0.25">
      <c r="F243" s="18"/>
    </row>
  </sheetData>
  <conditionalFormatting sqref="E106:M114">
    <cfRule type="expression" dxfId="8" priority="1">
      <formula>E106&lt;0</formula>
    </cfRule>
  </conditionalFormatting>
  <conditionalFormatting sqref="E131:M133">
    <cfRule type="expression" dxfId="7" priority="3">
      <formula>E131&lt;0</formula>
    </cfRule>
  </conditionalFormatting>
  <conditionalFormatting sqref="E137:M145">
    <cfRule type="expression" dxfId="6" priority="4">
      <formula>E137&lt;0</formula>
    </cfRule>
  </conditionalFormatting>
  <conditionalFormatting sqref="O137:W1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D1149-6AC3-4480-B90F-51F4F0B8E153}">
  <dimension ref="A3:Y243"/>
  <sheetViews>
    <sheetView showGridLines="0" topLeftCell="A165" zoomScaleNormal="100" workbookViewId="0">
      <selection activeCell="N184" sqref="N184"/>
    </sheetView>
  </sheetViews>
  <sheetFormatPr defaultRowHeight="15" x14ac:dyDescent="0.25"/>
  <cols>
    <col min="1" max="1" width="12.7109375" style="65" customWidth="1"/>
    <col min="2" max="23" width="12.7109375" customWidth="1"/>
  </cols>
  <sheetData>
    <row r="3" spans="3:18" ht="15.75" thickBot="1" x14ac:dyDescent="0.3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.75" thickBot="1" x14ac:dyDescent="0.3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25">
      <c r="C5" s="20" t="s">
        <v>1</v>
      </c>
      <c r="D5" s="28" t="s">
        <v>51</v>
      </c>
      <c r="E5" s="82" cm="1">
        <f t="array" ref="E5:M13">+'IO_sub_model (3)'!E150:M158</f>
        <v>9.1620029667688794</v>
      </c>
      <c r="F5" s="83">
        <v>5.0062448730612923</v>
      </c>
      <c r="G5" s="83">
        <v>9.1702922152359623</v>
      </c>
      <c r="H5" s="83">
        <v>1.6249387916697935</v>
      </c>
      <c r="I5" s="83">
        <v>0.95124730474996277</v>
      </c>
      <c r="J5" s="83">
        <v>7.3080533927770759</v>
      </c>
      <c r="K5" s="83">
        <v>3.381741047993978</v>
      </c>
      <c r="L5" s="83">
        <v>6.8732395378023794</v>
      </c>
      <c r="M5" s="84">
        <v>2.5222398699406705</v>
      </c>
      <c r="N5" s="24">
        <f>+O5-SUM(E5:M5)</f>
        <v>20.685384615384621</v>
      </c>
      <c r="O5" s="29" cm="1">
        <f t="array" ref="O5:O13">+TRANSPOSE(_xlfn.ANCHORARRAY(E15))</f>
        <v>66.685384615384606</v>
      </c>
      <c r="P5" s="62" cm="1">
        <f t="array" ref="P5:P13">+MMULT(E21:M29,O5:O13)</f>
        <v>45.999999999999986</v>
      </c>
      <c r="Q5" s="61">
        <f>+P5+N5</f>
        <v>66.685384615384606</v>
      </c>
      <c r="R5" s="61" t="b">
        <f>+Q5=O5</f>
        <v>1</v>
      </c>
    </row>
    <row r="6" spans="3:18" x14ac:dyDescent="0.25">
      <c r="C6" s="20" t="s">
        <v>1</v>
      </c>
      <c r="D6" s="25" t="s">
        <v>52</v>
      </c>
      <c r="E6" s="85">
        <v>7.3993042471310932</v>
      </c>
      <c r="F6" s="86">
        <v>3.3380446844628056</v>
      </c>
      <c r="G6" s="86">
        <v>8.1420648897048604</v>
      </c>
      <c r="H6" s="86">
        <v>4.5658992281206219</v>
      </c>
      <c r="I6" s="86">
        <v>2.2483725365801588</v>
      </c>
      <c r="J6" s="86">
        <v>9.0929381325182543</v>
      </c>
      <c r="K6" s="86">
        <v>2.0601904543423526</v>
      </c>
      <c r="L6" s="86">
        <v>4.3581437355742905</v>
      </c>
      <c r="M6" s="87">
        <v>6.7950420915655521</v>
      </c>
      <c r="N6" s="24">
        <f t="shared" ref="N6:N13" si="0">+O6-SUM(E6:M6)</f>
        <v>3.6576923076923151</v>
      </c>
      <c r="O6" s="30">
        <v>51.657692307692301</v>
      </c>
      <c r="P6" s="62">
        <v>47.999999999999986</v>
      </c>
      <c r="Q6" s="61">
        <f t="shared" ref="Q6:Q13" si="1">+P6+N6</f>
        <v>51.657692307692301</v>
      </c>
      <c r="R6" s="61" t="b">
        <f t="shared" ref="R6:R13" si="2">+Q6=O6</f>
        <v>1</v>
      </c>
    </row>
    <row r="7" spans="3:18" x14ac:dyDescent="0.25">
      <c r="C7" s="20" t="s">
        <v>1</v>
      </c>
      <c r="D7" s="25" t="s">
        <v>53</v>
      </c>
      <c r="E7" s="85">
        <v>0.51933644405989388</v>
      </c>
      <c r="F7" s="86">
        <v>0.22720969427620319</v>
      </c>
      <c r="G7" s="86">
        <v>0.25966822202994699</v>
      </c>
      <c r="H7" s="86">
        <v>6.2700168873029831</v>
      </c>
      <c r="I7" s="86">
        <v>3.6709685109332941</v>
      </c>
      <c r="J7" s="86">
        <v>3.4437588166570889</v>
      </c>
      <c r="K7" s="86">
        <v>6.0428071930267775</v>
      </c>
      <c r="L7" s="86">
        <v>3.5735929276720637</v>
      </c>
      <c r="M7" s="87">
        <v>6.1726413040417505</v>
      </c>
      <c r="N7" s="24">
        <f t="shared" si="0"/>
        <v>13.963846153846138</v>
      </c>
      <c r="O7" s="30">
        <v>44.143846153846141</v>
      </c>
      <c r="P7" s="62">
        <v>30.18</v>
      </c>
      <c r="Q7" s="61">
        <f t="shared" si="1"/>
        <v>44.143846153846141</v>
      </c>
      <c r="R7" s="61" t="b">
        <f t="shared" si="2"/>
        <v>1</v>
      </c>
    </row>
    <row r="8" spans="3:18" x14ac:dyDescent="0.25">
      <c r="C8" s="20" t="s">
        <v>10</v>
      </c>
      <c r="D8" s="25" t="str">
        <f>+D5</f>
        <v>Agr</v>
      </c>
      <c r="E8" s="85">
        <v>8.0676566414735813</v>
      </c>
      <c r="F8" s="86">
        <v>4.7497954069143455</v>
      </c>
      <c r="G8" s="86">
        <v>4.0180741070806674</v>
      </c>
      <c r="H8" s="86">
        <v>6.2843301351615999</v>
      </c>
      <c r="I8" s="86">
        <v>8.819876213807218</v>
      </c>
      <c r="J8" s="86">
        <v>7.9051026260220656</v>
      </c>
      <c r="K8" s="86">
        <v>8.8110549695826332</v>
      </c>
      <c r="L8" s="86">
        <v>8.1797336351212291</v>
      </c>
      <c r="M8" s="87">
        <v>7.9643762648366723</v>
      </c>
      <c r="N8" s="24">
        <f t="shared" si="0"/>
        <v>12.216923076923067</v>
      </c>
      <c r="O8" s="30">
        <v>77.016923076923078</v>
      </c>
      <c r="P8" s="62">
        <v>64.800000000000011</v>
      </c>
      <c r="Q8" s="61">
        <f t="shared" si="1"/>
        <v>77.016923076923078</v>
      </c>
      <c r="R8" s="61" t="b">
        <f t="shared" si="2"/>
        <v>1</v>
      </c>
    </row>
    <row r="9" spans="3:18" x14ac:dyDescent="0.25">
      <c r="C9" s="20" t="s">
        <v>10</v>
      </c>
      <c r="D9" s="25" t="str">
        <f t="shared" ref="D9:D13" si="3">+D6</f>
        <v>Ind</v>
      </c>
      <c r="E9" s="85">
        <v>3.8439609270351323</v>
      </c>
      <c r="F9" s="86">
        <v>2.2194571019678175</v>
      </c>
      <c r="G9" s="86">
        <v>2.9858005149783424</v>
      </c>
      <c r="H9" s="86">
        <v>5.7427248738871839</v>
      </c>
      <c r="I9" s="86">
        <v>6.0975650809362616</v>
      </c>
      <c r="J9" s="86">
        <v>3.8895496055228107</v>
      </c>
      <c r="K9" s="86">
        <v>8.1340486731266903</v>
      </c>
      <c r="L9" s="86">
        <v>2.3566277353220464</v>
      </c>
      <c r="M9" s="87">
        <v>7.2302654872237255</v>
      </c>
      <c r="N9" s="24">
        <f t="shared" si="0"/>
        <v>4.4615384615384599</v>
      </c>
      <c r="O9" s="30">
        <v>46.961538461538467</v>
      </c>
      <c r="P9" s="62">
        <v>42.500000000000007</v>
      </c>
      <c r="Q9" s="61">
        <f t="shared" si="1"/>
        <v>46.961538461538467</v>
      </c>
      <c r="R9" s="61" t="b">
        <f t="shared" si="2"/>
        <v>1</v>
      </c>
    </row>
    <row r="10" spans="3:18" x14ac:dyDescent="0.25">
      <c r="C10" s="20" t="s">
        <v>10</v>
      </c>
      <c r="D10" s="25" t="str">
        <f t="shared" si="3"/>
        <v>Serv</v>
      </c>
      <c r="E10" s="85">
        <v>5.3460011769437878</v>
      </c>
      <c r="F10" s="86">
        <v>4.2679738071803435</v>
      </c>
      <c r="G10" s="86">
        <v>3.4852525010055504</v>
      </c>
      <c r="H10" s="86">
        <v>1.3438028269932309</v>
      </c>
      <c r="I10" s="86">
        <v>7.6941650954681657</v>
      </c>
      <c r="J10" s="86">
        <v>1.8016874632205053</v>
      </c>
      <c r="K10" s="86">
        <v>1.1370885824811754</v>
      </c>
      <c r="L10" s="86">
        <v>5.1688175387905968</v>
      </c>
      <c r="M10" s="87">
        <v>1.2552110079166361</v>
      </c>
      <c r="N10" s="24">
        <f t="shared" si="0"/>
        <v>20.157692307692294</v>
      </c>
      <c r="O10" s="30">
        <v>51.657692307692287</v>
      </c>
      <c r="P10" s="62">
        <v>31.499999999999993</v>
      </c>
      <c r="Q10" s="61">
        <f t="shared" si="1"/>
        <v>51.657692307692287</v>
      </c>
      <c r="R10" s="61" t="b">
        <f t="shared" si="2"/>
        <v>1</v>
      </c>
    </row>
    <row r="11" spans="3:18" x14ac:dyDescent="0.25">
      <c r="C11" s="20" t="s">
        <v>11</v>
      </c>
      <c r="D11" s="25" t="str">
        <f t="shared" si="3"/>
        <v>Agr</v>
      </c>
      <c r="E11" s="85">
        <v>3.8829941256807015</v>
      </c>
      <c r="F11" s="86">
        <v>9.4372812963181456</v>
      </c>
      <c r="G11" s="86">
        <v>7.9557865557814536</v>
      </c>
      <c r="H11" s="86">
        <v>8.4409620011662359</v>
      </c>
      <c r="I11" s="86">
        <v>9.4459936362930428</v>
      </c>
      <c r="J11" s="86">
        <v>1.1270095200108767</v>
      </c>
      <c r="K11" s="86">
        <v>7.0005255587171753</v>
      </c>
      <c r="L11" s="86">
        <v>8.962407943330609</v>
      </c>
      <c r="M11" s="87">
        <v>7.7470393627017557</v>
      </c>
      <c r="N11" s="24">
        <f t="shared" si="0"/>
        <v>10.199230769230766</v>
      </c>
      <c r="O11" s="30">
        <v>74.199230769230766</v>
      </c>
      <c r="P11" s="62">
        <v>64.000000000000014</v>
      </c>
      <c r="Q11" s="61">
        <f t="shared" si="1"/>
        <v>74.19923076923078</v>
      </c>
      <c r="R11" s="61" t="b">
        <f t="shared" si="2"/>
        <v>1</v>
      </c>
    </row>
    <row r="12" spans="3:18" x14ac:dyDescent="0.25">
      <c r="C12" s="20" t="s">
        <v>11</v>
      </c>
      <c r="D12" s="25" t="str">
        <f t="shared" si="3"/>
        <v>Ind</v>
      </c>
      <c r="E12" s="85">
        <v>1.2469901605258893</v>
      </c>
      <c r="F12" s="86">
        <v>6.9327535482614904</v>
      </c>
      <c r="G12" s="86">
        <v>0.40118120943831737</v>
      </c>
      <c r="H12" s="86">
        <v>7.9453837835967587</v>
      </c>
      <c r="I12" s="86">
        <v>0.30090056566148093</v>
      </c>
      <c r="J12" s="86">
        <v>0.46803641963744824</v>
      </c>
      <c r="K12" s="86">
        <v>7.0999605667200418</v>
      </c>
      <c r="L12" s="86">
        <v>8.6574793745575604</v>
      </c>
      <c r="M12" s="87">
        <v>1.3473143716010196</v>
      </c>
      <c r="N12" s="24">
        <f t="shared" si="0"/>
        <v>26.649999999999984</v>
      </c>
      <c r="O12" s="30">
        <v>61.05</v>
      </c>
      <c r="P12" s="62">
        <v>34.400000000000013</v>
      </c>
      <c r="Q12" s="61">
        <f t="shared" si="1"/>
        <v>61.05</v>
      </c>
      <c r="R12" s="61" t="b">
        <f t="shared" si="2"/>
        <v>1</v>
      </c>
    </row>
    <row r="13" spans="3:18" x14ac:dyDescent="0.25">
      <c r="C13" s="20" t="s">
        <v>11</v>
      </c>
      <c r="D13" s="25" t="str">
        <f t="shared" si="3"/>
        <v>Serv</v>
      </c>
      <c r="E13" s="88">
        <v>9.162354686688623</v>
      </c>
      <c r="F13" s="89">
        <v>2.0794318831588363</v>
      </c>
      <c r="G13" s="89">
        <v>3.7689254308106541</v>
      </c>
      <c r="H13" s="89">
        <v>9.2923341318576309</v>
      </c>
      <c r="I13" s="89">
        <v>0.8448663935985421</v>
      </c>
      <c r="J13" s="89">
        <v>0.38993833550701851</v>
      </c>
      <c r="K13" s="89">
        <v>3.1516426860305073</v>
      </c>
      <c r="L13" s="89">
        <v>0.64989722584503251</v>
      </c>
      <c r="M13" s="90">
        <v>6.6606092265031487</v>
      </c>
      <c r="N13" s="24">
        <f t="shared" si="0"/>
        <v>20.353846153846149</v>
      </c>
      <c r="O13" s="31">
        <v>56.353846153846142</v>
      </c>
      <c r="P13" s="62">
        <v>35.999999999999993</v>
      </c>
      <c r="Q13" s="61">
        <f t="shared" si="1"/>
        <v>56.353846153846142</v>
      </c>
      <c r="R13" s="61" t="b">
        <f t="shared" si="2"/>
        <v>1</v>
      </c>
    </row>
    <row r="14" spans="3:18" x14ac:dyDescent="0.25">
      <c r="D14" s="22" t="s">
        <v>9</v>
      </c>
      <c r="E14" s="13">
        <f>+E15-SUM(E5:E13)</f>
        <v>18.054783239077018</v>
      </c>
      <c r="F14" s="13">
        <f t="shared" ref="F14:M14" si="4">+F15-SUM(F5:F13)</f>
        <v>13.399500012091025</v>
      </c>
      <c r="G14" s="13">
        <f t="shared" si="4"/>
        <v>3.956800507780379</v>
      </c>
      <c r="H14" s="13">
        <f t="shared" si="4"/>
        <v>25.506530417167042</v>
      </c>
      <c r="I14" s="13">
        <f t="shared" si="4"/>
        <v>6.8875831235103462</v>
      </c>
      <c r="J14" s="13">
        <f t="shared" si="4"/>
        <v>16.231617995819143</v>
      </c>
      <c r="K14" s="13">
        <f t="shared" si="4"/>
        <v>27.380171037209429</v>
      </c>
      <c r="L14" s="13">
        <f t="shared" si="4"/>
        <v>12.270060345984191</v>
      </c>
      <c r="M14" s="13">
        <f t="shared" si="4"/>
        <v>8.6591071675152094</v>
      </c>
      <c r="N14" s="19">
        <f>+SUM(E5:M13)</f>
        <v>397.38</v>
      </c>
      <c r="R14" s="18"/>
    </row>
    <row r="15" spans="3:18" x14ac:dyDescent="0.25">
      <c r="D15" s="20" t="s">
        <v>8</v>
      </c>
      <c r="E15" s="130" cm="1">
        <f t="array" ref="E15:M15">+'IO_sub_model (3)'!E184:M184</f>
        <v>66.685384615384606</v>
      </c>
      <c r="F15" s="131">
        <v>51.657692307692301</v>
      </c>
      <c r="G15" s="131">
        <v>44.143846153846141</v>
      </c>
      <c r="H15" s="131">
        <v>77.016923076923078</v>
      </c>
      <c r="I15" s="131">
        <v>46.961538461538467</v>
      </c>
      <c r="J15" s="131">
        <v>51.657692307692287</v>
      </c>
      <c r="K15" s="131">
        <v>74.199230769230766</v>
      </c>
      <c r="L15" s="131">
        <v>61.05</v>
      </c>
      <c r="M15" s="132">
        <v>56.353846153846142</v>
      </c>
      <c r="R15" s="18"/>
    </row>
    <row r="16" spans="3:18" x14ac:dyDescent="0.25">
      <c r="E16" s="97" cm="1">
        <f t="array" ref="E16:M16">+TRANSPOSE(O5:O13)</f>
        <v>66.685384615384606</v>
      </c>
      <c r="F16" s="97">
        <v>51.657692307692301</v>
      </c>
      <c r="G16" s="97">
        <v>44.143846153846141</v>
      </c>
      <c r="H16" s="97">
        <v>77.016923076923078</v>
      </c>
      <c r="I16" s="97">
        <v>46.961538461538467</v>
      </c>
      <c r="J16" s="97">
        <v>51.657692307692287</v>
      </c>
      <c r="K16" s="97">
        <v>74.199230769230766</v>
      </c>
      <c r="L16" s="97">
        <v>61.05</v>
      </c>
      <c r="M16" s="97">
        <v>56.353846153846142</v>
      </c>
      <c r="R16" s="18"/>
    </row>
    <row r="17" spans="3:18" x14ac:dyDescent="0.25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25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.75" thickBot="1" x14ac:dyDescent="0.3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.75" thickBot="1" x14ac:dyDescent="0.3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25">
      <c r="C21" s="20" t="s">
        <v>1</v>
      </c>
      <c r="D21" s="28" t="s">
        <v>51</v>
      </c>
      <c r="E21" s="82" cm="1">
        <f t="array" ref="E21:M29">+'IO_sub_model (3)'!E200:M208</f>
        <v>0.13739146920441042</v>
      </c>
      <c r="F21" s="83">
        <v>9.691189539095646E-2</v>
      </c>
      <c r="G21" s="83">
        <v>0.20773659330173652</v>
      </c>
      <c r="H21" s="83">
        <v>2.1098464165425497E-2</v>
      </c>
      <c r="I21" s="83">
        <v>2.0255880363226068E-2</v>
      </c>
      <c r="J21" s="83">
        <v>0.14147076778512699</v>
      </c>
      <c r="K21" s="83">
        <v>4.5576497396740287E-2</v>
      </c>
      <c r="L21" s="83">
        <v>0.11258377621297919</v>
      </c>
      <c r="M21" s="84">
        <v>4.475719124928846E-2</v>
      </c>
    </row>
    <row r="22" spans="3:18" x14ac:dyDescent="0.25">
      <c r="C22" s="20" t="s">
        <v>1</v>
      </c>
      <c r="D22" s="25" t="s">
        <v>52</v>
      </c>
      <c r="E22" s="85">
        <v>0.11095840999954347</v>
      </c>
      <c r="F22" s="86">
        <v>6.4618540537586894E-2</v>
      </c>
      <c r="G22" s="86">
        <v>0.18444393950923244</v>
      </c>
      <c r="H22" s="86">
        <v>5.9284363042656045E-2</v>
      </c>
      <c r="I22" s="86">
        <v>4.7876892670830569E-2</v>
      </c>
      <c r="J22" s="86">
        <v>0.17602292565369274</v>
      </c>
      <c r="K22" s="86">
        <v>2.7765657850952825E-2</v>
      </c>
      <c r="L22" s="86">
        <v>7.1386465775172658E-2</v>
      </c>
      <c r="M22" s="87">
        <v>0.12057814249297324</v>
      </c>
    </row>
    <row r="23" spans="3:18" x14ac:dyDescent="0.25">
      <c r="C23" s="20" t="s">
        <v>1</v>
      </c>
      <c r="D23" s="25" t="s">
        <v>53</v>
      </c>
      <c r="E23" s="85">
        <v>7.7878600694173804E-3</v>
      </c>
      <c r="F23" s="86">
        <v>4.398370971023218E-3</v>
      </c>
      <c r="G23" s="86">
        <v>5.8823198396663213E-3</v>
      </c>
      <c r="H23" s="86">
        <v>8.1410898239087093E-2</v>
      </c>
      <c r="I23" s="86">
        <v>7.8169681641495195E-2</v>
      </c>
      <c r="J23" s="86">
        <v>6.6664975975790602E-2</v>
      </c>
      <c r="K23" s="86">
        <v>8.1440294331631163E-2</v>
      </c>
      <c r="L23" s="86">
        <v>5.85355106907791E-2</v>
      </c>
      <c r="M23" s="87">
        <v>0.10953362947385036</v>
      </c>
    </row>
    <row r="24" spans="3:18" x14ac:dyDescent="0.25">
      <c r="C24" s="20" t="s">
        <v>10</v>
      </c>
      <c r="D24" s="25" t="str">
        <f>+D21</f>
        <v>Agr</v>
      </c>
      <c r="E24" s="85">
        <v>0.12098088191295125</v>
      </c>
      <c r="F24" s="86">
        <v>9.1947495033707846E-2</v>
      </c>
      <c r="G24" s="86">
        <v>9.1022293188437603E-2</v>
      </c>
      <c r="H24" s="86">
        <v>8.1596743729750495E-2</v>
      </c>
      <c r="I24" s="86">
        <v>0.18781063190744279</v>
      </c>
      <c r="J24" s="86">
        <v>0.15302856695448872</v>
      </c>
      <c r="K24" s="86">
        <v>0.11874860262347135</v>
      </c>
      <c r="L24" s="86">
        <v>0.13398417092745665</v>
      </c>
      <c r="M24" s="87">
        <v>0.14132799814752492</v>
      </c>
    </row>
    <row r="25" spans="3:18" x14ac:dyDescent="0.25">
      <c r="C25" s="20" t="s">
        <v>10</v>
      </c>
      <c r="D25" s="25" t="str">
        <f t="shared" ref="D25:D29" si="6">+D22</f>
        <v>Ind</v>
      </c>
      <c r="E25" s="85">
        <v>5.764322946033236E-2</v>
      </c>
      <c r="F25" s="86">
        <v>4.2964697082245006E-2</v>
      </c>
      <c r="G25" s="86">
        <v>6.7637978452817646E-2</v>
      </c>
      <c r="H25" s="86">
        <v>7.4564454725767948E-2</v>
      </c>
      <c r="I25" s="86">
        <v>0.12984168067513741</v>
      </c>
      <c r="J25" s="86">
        <v>7.5294683749231719E-2</v>
      </c>
      <c r="K25" s="86">
        <v>0.10962443395706671</v>
      </c>
      <c r="L25" s="86">
        <v>3.860160090617603E-2</v>
      </c>
      <c r="M25" s="87">
        <v>0.12830118937197441</v>
      </c>
    </row>
    <row r="26" spans="3:18" x14ac:dyDescent="0.25">
      <c r="C26" s="20" t="s">
        <v>10</v>
      </c>
      <c r="D26" s="25" t="str">
        <f t="shared" si="6"/>
        <v>Serv</v>
      </c>
      <c r="E26" s="85">
        <v>8.0167509084298538E-2</v>
      </c>
      <c r="F26" s="86">
        <v>8.262029557493035E-2</v>
      </c>
      <c r="G26" s="86">
        <v>7.8952171246226791E-2</v>
      </c>
      <c r="H26" s="86">
        <v>1.7448150007902362E-2</v>
      </c>
      <c r="I26" s="86">
        <v>0.16383971538261449</v>
      </c>
      <c r="J26" s="86">
        <v>3.4877428369989694E-2</v>
      </c>
      <c r="K26" s="86">
        <v>1.532480284084977E-2</v>
      </c>
      <c r="L26" s="86">
        <v>8.4665315950705936E-2</v>
      </c>
      <c r="M26" s="87">
        <v>2.2273741609222322E-2</v>
      </c>
    </row>
    <row r="27" spans="3:18" x14ac:dyDescent="0.25">
      <c r="C27" s="20" t="s">
        <v>11</v>
      </c>
      <c r="D27" s="25" t="str">
        <f t="shared" si="6"/>
        <v>Agr</v>
      </c>
      <c r="E27" s="85">
        <v>5.8228563096341175E-2</v>
      </c>
      <c r="F27" s="86">
        <v>0.18268878989224319</v>
      </c>
      <c r="G27" s="86">
        <v>0.18022413652074323</v>
      </c>
      <c r="H27" s="86">
        <v>0.10959879548466976</v>
      </c>
      <c r="I27" s="86">
        <v>0.20114318963441366</v>
      </c>
      <c r="J27" s="86">
        <v>2.1816877016069398E-2</v>
      </c>
      <c r="K27" s="86">
        <v>9.4347683744723965E-2</v>
      </c>
      <c r="L27" s="86">
        <v>0.14680438891614431</v>
      </c>
      <c r="M27" s="87">
        <v>0.13747135096249366</v>
      </c>
    </row>
    <row r="28" spans="3:18" x14ac:dyDescent="0.25">
      <c r="C28" s="20" t="s">
        <v>11</v>
      </c>
      <c r="D28" s="25" t="str">
        <f t="shared" si="6"/>
        <v>Ind</v>
      </c>
      <c r="E28" s="85">
        <v>1.8699602134981213E-2</v>
      </c>
      <c r="F28" s="86">
        <v>0.13420563789352899</v>
      </c>
      <c r="G28" s="86">
        <v>9.0880438473837748E-3</v>
      </c>
      <c r="H28" s="86">
        <v>0.10316412894943955</v>
      </c>
      <c r="I28" s="86">
        <v>6.4073830525786272E-3</v>
      </c>
      <c r="J28" s="86">
        <v>9.0603431692157389E-3</v>
      </c>
      <c r="K28" s="86">
        <v>9.5687792085093717E-2</v>
      </c>
      <c r="L28" s="86">
        <v>0.1418096539649068</v>
      </c>
      <c r="M28" s="87">
        <v>2.3908117432177529E-2</v>
      </c>
    </row>
    <row r="29" spans="3:18" x14ac:dyDescent="0.25">
      <c r="C29" s="20" t="s">
        <v>11</v>
      </c>
      <c r="D29" s="25" t="str">
        <f t="shared" si="6"/>
        <v>Serv</v>
      </c>
      <c r="E29" s="88">
        <v>0.13739674352234041</v>
      </c>
      <c r="F29" s="89">
        <v>4.0254060726773698E-2</v>
      </c>
      <c r="G29" s="89">
        <v>8.5378274871553694E-2</v>
      </c>
      <c r="H29" s="89">
        <v>0.12065314687496174</v>
      </c>
      <c r="I29" s="89">
        <v>1.7990602975890328E-2</v>
      </c>
      <c r="J29" s="89">
        <v>7.5485047451287956E-3</v>
      </c>
      <c r="K29" s="89">
        <v>4.2475409156632969E-2</v>
      </c>
      <c r="L29" s="89">
        <v>1.0645327204668837E-2</v>
      </c>
      <c r="M29" s="90">
        <v>0.11819262891692732</v>
      </c>
    </row>
    <row r="30" spans="3:18" x14ac:dyDescent="0.25">
      <c r="D30" s="22" t="s">
        <v>9</v>
      </c>
      <c r="E30" s="13">
        <f t="shared" ref="E30:M30" si="7">+E14/E$15</f>
        <v>0.27074573151538367</v>
      </c>
      <c r="F30" s="14">
        <f t="shared" si="7"/>
        <v>0.25939021689700448</v>
      </c>
      <c r="G30" s="14">
        <f t="shared" si="7"/>
        <v>8.9634249222201784E-2</v>
      </c>
      <c r="H30" s="14">
        <f t="shared" si="7"/>
        <v>0.33118085478033954</v>
      </c>
      <c r="I30" s="14">
        <f t="shared" si="7"/>
        <v>0.14666434169637099</v>
      </c>
      <c r="J30" s="14">
        <f t="shared" si="7"/>
        <v>0.31421492658126565</v>
      </c>
      <c r="K30" s="14">
        <f t="shared" si="7"/>
        <v>0.36900882601283713</v>
      </c>
      <c r="L30" s="14">
        <f t="shared" si="7"/>
        <v>0.20098378945101053</v>
      </c>
      <c r="M30" s="15">
        <f t="shared" si="7"/>
        <v>0.15365601034356777</v>
      </c>
    </row>
    <row r="31" spans="3:18" x14ac:dyDescent="0.25">
      <c r="D31" s="20" t="s">
        <v>8</v>
      </c>
      <c r="E31" s="13">
        <f t="shared" ref="E31:M31" si="8">SUM(E21:E30)</f>
        <v>1</v>
      </c>
      <c r="F31" s="14">
        <f t="shared" si="8"/>
        <v>1.0000000000000002</v>
      </c>
      <c r="G31" s="14">
        <f t="shared" si="8"/>
        <v>0.99999999999999978</v>
      </c>
      <c r="H31" s="14">
        <f t="shared" si="8"/>
        <v>1</v>
      </c>
      <c r="I31" s="14">
        <f t="shared" si="8"/>
        <v>1</v>
      </c>
      <c r="J31" s="14">
        <f t="shared" si="8"/>
        <v>1</v>
      </c>
      <c r="K31" s="14">
        <f t="shared" si="8"/>
        <v>0.99999999999999989</v>
      </c>
      <c r="L31" s="14">
        <f t="shared" si="8"/>
        <v>1</v>
      </c>
      <c r="M31" s="15">
        <f t="shared" si="8"/>
        <v>1</v>
      </c>
    </row>
    <row r="34" spans="3:18" ht="15.75" thickBot="1" x14ac:dyDescent="0.3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3:18" ht="15.75" thickBot="1" x14ac:dyDescent="0.3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3:18" x14ac:dyDescent="0.25">
      <c r="C36" s="20" t="s">
        <v>1</v>
      </c>
      <c r="D36" s="28" t="s">
        <v>51</v>
      </c>
      <c r="E36" s="1" cm="1">
        <f t="array" ref="E36:M44">+MINVERSE(_xlfn.MUNIT(COUNTA($D$36:$D$44))-E21:M29)</f>
        <v>1.3666790309714925</v>
      </c>
      <c r="F36" s="2">
        <v>0.3279346896764489</v>
      </c>
      <c r="G36" s="2">
        <v>0.4916840093588899</v>
      </c>
      <c r="H36" s="2">
        <v>0.23843241905349002</v>
      </c>
      <c r="I36" s="2">
        <v>0.28093002276983625</v>
      </c>
      <c r="J36" s="2">
        <v>0.36538435297971789</v>
      </c>
      <c r="K36" s="2">
        <v>0.24849645003023682</v>
      </c>
      <c r="L36" s="2">
        <v>0.37239900949102578</v>
      </c>
      <c r="M36" s="3">
        <v>0.3124380956450713</v>
      </c>
      <c r="N36" s="16"/>
    </row>
    <row r="37" spans="3:18" x14ac:dyDescent="0.25">
      <c r="C37" s="20" t="s">
        <v>1</v>
      </c>
      <c r="D37" s="25" t="s">
        <v>52</v>
      </c>
      <c r="E37" s="5">
        <v>0.35973518518240544</v>
      </c>
      <c r="F37" s="6">
        <v>1.3000617346591186</v>
      </c>
      <c r="G37" s="6">
        <v>0.47871657344456253</v>
      </c>
      <c r="H37" s="6">
        <v>0.28840660842704458</v>
      </c>
      <c r="I37" s="6">
        <v>0.32785424636553495</v>
      </c>
      <c r="J37" s="6">
        <v>0.40594440462763315</v>
      </c>
      <c r="K37" s="6">
        <v>0.23969848702132379</v>
      </c>
      <c r="L37" s="6">
        <v>0.33385119992759577</v>
      </c>
      <c r="M37" s="7">
        <v>0.4060917256645451</v>
      </c>
      <c r="N37" s="16"/>
    </row>
    <row r="38" spans="3:18" x14ac:dyDescent="0.25">
      <c r="C38" s="20" t="s">
        <v>1</v>
      </c>
      <c r="D38" s="25" t="s">
        <v>53</v>
      </c>
      <c r="E38" s="5">
        <v>0.17363915046369885</v>
      </c>
      <c r="F38" s="6">
        <v>0.16971072758027003</v>
      </c>
      <c r="G38" s="6">
        <v>1.2010450936490253</v>
      </c>
      <c r="H38" s="6">
        <v>0.24139881783408995</v>
      </c>
      <c r="I38" s="6">
        <v>0.27372921347868279</v>
      </c>
      <c r="J38" s="6">
        <v>0.20876229215413533</v>
      </c>
      <c r="K38" s="6">
        <v>0.22922069687898067</v>
      </c>
      <c r="L38" s="6">
        <v>0.23243304423103828</v>
      </c>
      <c r="M38" s="7">
        <v>0.30703333877575739</v>
      </c>
      <c r="N38" s="16"/>
    </row>
    <row r="39" spans="3:18" x14ac:dyDescent="0.25">
      <c r="C39" s="20" t="s">
        <v>10</v>
      </c>
      <c r="D39" s="25" t="str">
        <f>+D36</f>
        <v>Agr</v>
      </c>
      <c r="E39" s="5">
        <v>0.46996389068281941</v>
      </c>
      <c r="F39" s="6">
        <v>0.4384925635320423</v>
      </c>
      <c r="G39" s="6">
        <v>0.51583737592660184</v>
      </c>
      <c r="H39" s="6">
        <v>1.4108643583375839</v>
      </c>
      <c r="I39" s="6">
        <v>0.58883946170371049</v>
      </c>
      <c r="J39" s="6">
        <v>0.47286679559245171</v>
      </c>
      <c r="K39" s="6">
        <v>0.42716611667173709</v>
      </c>
      <c r="L39" s="6">
        <v>0.50663845568992405</v>
      </c>
      <c r="M39" s="7">
        <v>0.55195756451363176</v>
      </c>
      <c r="N39" s="16"/>
    </row>
    <row r="40" spans="3:18" x14ac:dyDescent="0.25">
      <c r="C40" s="20" t="s">
        <v>10</v>
      </c>
      <c r="D40" s="25" t="str">
        <f t="shared" ref="D40:D44" si="9">+D37</f>
        <v>Ind</v>
      </c>
      <c r="E40" s="5">
        <v>0.29434019501234848</v>
      </c>
      <c r="F40" s="6">
        <v>0.27222344499115103</v>
      </c>
      <c r="G40" s="6">
        <v>0.35375299705497021</v>
      </c>
      <c r="H40" s="6">
        <v>0.29943344656086035</v>
      </c>
      <c r="I40" s="6">
        <v>1.4058562759438986</v>
      </c>
      <c r="J40" s="6">
        <v>0.28748034188846738</v>
      </c>
      <c r="K40" s="6">
        <v>0.3185873037696183</v>
      </c>
      <c r="L40" s="6">
        <v>0.28335744674778507</v>
      </c>
      <c r="M40" s="7">
        <v>0.41325542774948298</v>
      </c>
      <c r="N40" s="16"/>
    </row>
    <row r="41" spans="3:18" x14ac:dyDescent="0.25">
      <c r="C41" s="20" t="s">
        <v>10</v>
      </c>
      <c r="D41" s="25" t="str">
        <f t="shared" si="9"/>
        <v>Serv</v>
      </c>
      <c r="E41" s="5">
        <v>0.24924221880289191</v>
      </c>
      <c r="F41" s="6">
        <v>0.24939008106913718</v>
      </c>
      <c r="G41" s="6">
        <v>0.28786118967571739</v>
      </c>
      <c r="H41" s="6">
        <v>0.17978174950748679</v>
      </c>
      <c r="I41" s="6">
        <v>0.35711864037526464</v>
      </c>
      <c r="J41" s="6">
        <v>1.2026001447837158</v>
      </c>
      <c r="K41" s="6">
        <v>0.17223806430074942</v>
      </c>
      <c r="L41" s="6">
        <v>0.26814062277164957</v>
      </c>
      <c r="M41" s="7">
        <v>0.22778074293670683</v>
      </c>
      <c r="N41" s="16"/>
    </row>
    <row r="42" spans="3:18" x14ac:dyDescent="0.25">
      <c r="C42" s="20" t="s">
        <v>11</v>
      </c>
      <c r="D42" s="25" t="str">
        <f t="shared" si="9"/>
        <v>Agr</v>
      </c>
      <c r="E42" s="5">
        <v>0.40806072463228277</v>
      </c>
      <c r="F42" s="6">
        <v>0.52482415668348281</v>
      </c>
      <c r="G42" s="6">
        <v>0.60405550662648222</v>
      </c>
      <c r="H42" s="6">
        <v>0.4549213896807886</v>
      </c>
      <c r="I42" s="6">
        <v>0.60100718416667964</v>
      </c>
      <c r="J42" s="6">
        <v>0.35763662034073335</v>
      </c>
      <c r="K42" s="6">
        <v>1.4154244908511666</v>
      </c>
      <c r="L42" s="6">
        <v>0.5209483700523414</v>
      </c>
      <c r="M42" s="7">
        <v>0.57168330148631552</v>
      </c>
      <c r="N42" s="16"/>
    </row>
    <row r="43" spans="3:18" x14ac:dyDescent="0.25">
      <c r="C43" s="20" t="s">
        <v>11</v>
      </c>
      <c r="D43" s="25" t="str">
        <f t="shared" si="9"/>
        <v>Ind</v>
      </c>
      <c r="E43" s="5">
        <v>0.20418942770762114</v>
      </c>
      <c r="F43" s="6">
        <v>0.33438089507415292</v>
      </c>
      <c r="G43" s="6">
        <v>0.24244751042066645</v>
      </c>
      <c r="H43" s="6">
        <v>0.28566265001323909</v>
      </c>
      <c r="I43" s="6">
        <v>0.21873790303741986</v>
      </c>
      <c r="J43" s="6">
        <v>0.19067989448327652</v>
      </c>
      <c r="K43" s="6">
        <v>0.26453344253151423</v>
      </c>
      <c r="L43" s="6">
        <v>1.357942422642046</v>
      </c>
      <c r="M43" s="7">
        <v>0.24668580724678124</v>
      </c>
      <c r="N43" s="16"/>
    </row>
    <row r="44" spans="3:18" x14ac:dyDescent="0.25">
      <c r="C44" s="20" t="s">
        <v>11</v>
      </c>
      <c r="D44" s="25" t="str">
        <f t="shared" si="9"/>
        <v>Serv</v>
      </c>
      <c r="E44" s="9">
        <v>0.34074182951164411</v>
      </c>
      <c r="F44" s="10">
        <v>0.22387739853136399</v>
      </c>
      <c r="G44" s="10">
        <v>0.32703539024112099</v>
      </c>
      <c r="H44" s="10">
        <v>0.29973987423955395</v>
      </c>
      <c r="I44" s="10">
        <v>0.22913924310342776</v>
      </c>
      <c r="J44" s="10">
        <v>0.19606385380980565</v>
      </c>
      <c r="K44" s="10">
        <v>0.20964821499314687</v>
      </c>
      <c r="L44" s="10">
        <v>0.21465300574002147</v>
      </c>
      <c r="M44" s="11">
        <v>1.3473995595360193</v>
      </c>
      <c r="N44" s="16"/>
    </row>
    <row r="45" spans="3:18" ht="15.75" thickBot="1" x14ac:dyDescent="0.3"/>
    <row r="46" spans="3:18" ht="15.75" thickBot="1" x14ac:dyDescent="0.3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3:18" x14ac:dyDescent="0.25">
      <c r="C47" s="22" t="s">
        <v>1</v>
      </c>
      <c r="D47" s="28" t="s">
        <v>51</v>
      </c>
      <c r="E47" s="32"/>
      <c r="F47" s="35"/>
      <c r="G47" s="1"/>
      <c r="H47" s="84" cm="1">
        <f t="array" ref="H47:H55">+N5:N13</f>
        <v>20.685384615384621</v>
      </c>
      <c r="J47" s="22" t="s">
        <v>1</v>
      </c>
      <c r="K47" s="28" t="s">
        <v>51</v>
      </c>
      <c r="L47" s="32">
        <v>0</v>
      </c>
      <c r="M47" s="35">
        <f>1-L47%</f>
        <v>1</v>
      </c>
      <c r="N47" s="1" cm="1">
        <f t="array" ref="N47:N55">+_xlfn.ANCHORARRAY(O5)</f>
        <v>66.685384615384606</v>
      </c>
      <c r="O47" s="3" cm="1">
        <f t="array" ref="O47:O55">+_xlfn.ANCHORARRAY(O5)</f>
        <v>66.685384615384606</v>
      </c>
      <c r="P47" s="18"/>
      <c r="Q47" s="18"/>
      <c r="R47" s="18"/>
    </row>
    <row r="48" spans="3:18" x14ac:dyDescent="0.25">
      <c r="C48" s="20" t="s">
        <v>1</v>
      </c>
      <c r="D48" s="25" t="s">
        <v>52</v>
      </c>
      <c r="E48" s="33"/>
      <c r="F48" s="35"/>
      <c r="G48" s="5"/>
      <c r="H48" s="87">
        <v>3.6576923076923151</v>
      </c>
      <c r="J48" s="20" t="s">
        <v>1</v>
      </c>
      <c r="K48" s="25" t="s">
        <v>52</v>
      </c>
      <c r="L48" s="33"/>
      <c r="M48" s="35">
        <f t="shared" ref="M48:M55" si="10">1-L48%</f>
        <v>1</v>
      </c>
      <c r="N48" s="5">
        <v>51.657692307692301</v>
      </c>
      <c r="O48" s="7">
        <v>51.657692307692301</v>
      </c>
      <c r="P48" s="18"/>
    </row>
    <row r="49" spans="1:16" x14ac:dyDescent="0.25">
      <c r="C49" s="20" t="s">
        <v>1</v>
      </c>
      <c r="D49" s="25" t="s">
        <v>53</v>
      </c>
      <c r="E49" s="33"/>
      <c r="F49" s="35"/>
      <c r="G49" s="5"/>
      <c r="H49" s="87">
        <v>13.963846153846138</v>
      </c>
      <c r="J49" s="20" t="s">
        <v>1</v>
      </c>
      <c r="K49" s="25" t="s">
        <v>53</v>
      </c>
      <c r="L49" s="33"/>
      <c r="M49" s="35">
        <f t="shared" si="10"/>
        <v>1</v>
      </c>
      <c r="N49" s="5">
        <v>44.143846153846141</v>
      </c>
      <c r="O49" s="7">
        <v>44.143846153846141</v>
      </c>
      <c r="P49" s="18"/>
    </row>
    <row r="50" spans="1:16" x14ac:dyDescent="0.25">
      <c r="C50" s="20" t="s">
        <v>10</v>
      </c>
      <c r="D50" s="25" t="str">
        <f>+D47</f>
        <v>Agr</v>
      </c>
      <c r="E50" s="33"/>
      <c r="F50" s="35"/>
      <c r="G50" s="5"/>
      <c r="H50" s="87">
        <v>12.216923076923067</v>
      </c>
      <c r="J50" s="20" t="s">
        <v>10</v>
      </c>
      <c r="K50" s="25" t="str">
        <f>+K47</f>
        <v>Agr</v>
      </c>
      <c r="L50" s="33"/>
      <c r="M50" s="35">
        <f t="shared" si="10"/>
        <v>1</v>
      </c>
      <c r="N50" s="5">
        <v>77.016923076923078</v>
      </c>
      <c r="O50" s="7">
        <v>77.016923076923078</v>
      </c>
      <c r="P50" s="18"/>
    </row>
    <row r="51" spans="1:16" x14ac:dyDescent="0.25">
      <c r="C51" s="20" t="s">
        <v>10</v>
      </c>
      <c r="D51" s="25" t="str">
        <f t="shared" ref="D51:D55" si="11">+D48</f>
        <v>Ind</v>
      </c>
      <c r="E51" s="33"/>
      <c r="F51" s="35"/>
      <c r="G51" s="5"/>
      <c r="H51" s="87">
        <v>4.4615384615384599</v>
      </c>
      <c r="J51" s="20" t="s">
        <v>10</v>
      </c>
      <c r="K51" s="25" t="str">
        <f t="shared" ref="K51:K55" si="12">+K48</f>
        <v>Ind</v>
      </c>
      <c r="L51" s="33"/>
      <c r="M51" s="35">
        <f t="shared" si="10"/>
        <v>1</v>
      </c>
      <c r="N51" s="5">
        <v>46.961538461538467</v>
      </c>
      <c r="O51" s="7">
        <v>46.961538461538467</v>
      </c>
      <c r="P51" s="18"/>
    </row>
    <row r="52" spans="1:16" x14ac:dyDescent="0.25">
      <c r="C52" s="20" t="s">
        <v>10</v>
      </c>
      <c r="D52" s="25" t="str">
        <f t="shared" si="11"/>
        <v>Serv</v>
      </c>
      <c r="E52" s="33"/>
      <c r="F52" s="35"/>
      <c r="G52" s="5"/>
      <c r="H52" s="87">
        <v>20.157692307692294</v>
      </c>
      <c r="J52" s="20" t="s">
        <v>10</v>
      </c>
      <c r="K52" s="25" t="str">
        <f t="shared" si="12"/>
        <v>Serv</v>
      </c>
      <c r="L52" s="33"/>
      <c r="M52" s="35">
        <f t="shared" si="10"/>
        <v>1</v>
      </c>
      <c r="N52" s="5">
        <v>51.657692307692287</v>
      </c>
      <c r="O52" s="7">
        <v>51.657692307692287</v>
      </c>
      <c r="P52" s="18"/>
    </row>
    <row r="53" spans="1:16" x14ac:dyDescent="0.25">
      <c r="C53" s="20" t="s">
        <v>11</v>
      </c>
      <c r="D53" s="25" t="str">
        <f t="shared" si="11"/>
        <v>Agr</v>
      </c>
      <c r="E53" s="33"/>
      <c r="F53" s="35"/>
      <c r="G53" s="5"/>
      <c r="H53" s="87">
        <v>10.199230769230766</v>
      </c>
      <c r="J53" s="20" t="s">
        <v>11</v>
      </c>
      <c r="K53" s="25" t="str">
        <f t="shared" si="12"/>
        <v>Agr</v>
      </c>
      <c r="L53" s="33"/>
      <c r="M53" s="35">
        <f t="shared" si="10"/>
        <v>1</v>
      </c>
      <c r="N53" s="5">
        <v>74.199230769230766</v>
      </c>
      <c r="O53" s="7">
        <v>74.199230769230766</v>
      </c>
      <c r="P53" s="18"/>
    </row>
    <row r="54" spans="1:16" x14ac:dyDescent="0.25">
      <c r="C54" s="20" t="s">
        <v>11</v>
      </c>
      <c r="D54" s="25" t="str">
        <f t="shared" si="11"/>
        <v>Ind</v>
      </c>
      <c r="E54" s="33"/>
      <c r="F54" s="35"/>
      <c r="G54" s="5"/>
      <c r="H54" s="87">
        <v>26.649999999999984</v>
      </c>
      <c r="J54" s="20" t="s">
        <v>11</v>
      </c>
      <c r="K54" s="25" t="str">
        <f t="shared" si="12"/>
        <v>Ind</v>
      </c>
      <c r="L54" s="33"/>
      <c r="M54" s="35">
        <f t="shared" si="10"/>
        <v>1</v>
      </c>
      <c r="N54" s="5">
        <v>61.05</v>
      </c>
      <c r="O54" s="7">
        <v>61.05</v>
      </c>
      <c r="P54" s="18"/>
    </row>
    <row r="55" spans="1:16" x14ac:dyDescent="0.25">
      <c r="C55" s="20" t="s">
        <v>11</v>
      </c>
      <c r="D55" s="25" t="str">
        <f t="shared" si="11"/>
        <v>Serv</v>
      </c>
      <c r="E55" s="34"/>
      <c r="F55" s="35"/>
      <c r="G55" s="9"/>
      <c r="H55" s="90">
        <v>20.353846153846149</v>
      </c>
      <c r="J55" s="20" t="s">
        <v>11</v>
      </c>
      <c r="K55" s="25" t="str">
        <f t="shared" si="12"/>
        <v>Serv</v>
      </c>
      <c r="L55" s="34"/>
      <c r="M55" s="35">
        <f t="shared" si="10"/>
        <v>1</v>
      </c>
      <c r="N55" s="9">
        <v>56.353846153846142</v>
      </c>
      <c r="O55" s="11">
        <v>56.353846153846142</v>
      </c>
      <c r="P55" s="18"/>
    </row>
    <row r="56" spans="1:16" x14ac:dyDescent="0.25">
      <c r="G56" s="13">
        <f t="shared" ref="G56:H56" si="13">SUM(G47:G55)</f>
        <v>0</v>
      </c>
      <c r="H56" s="15">
        <f t="shared" si="13"/>
        <v>132.34615384615378</v>
      </c>
      <c r="N56" s="13">
        <f t="shared" ref="N56:O56" si="14">SUM(N47:N55)</f>
        <v>529.72615384615381</v>
      </c>
      <c r="O56" s="15">
        <f t="shared" si="14"/>
        <v>529.72615384615381</v>
      </c>
    </row>
    <row r="58" spans="1:16" x14ac:dyDescent="0.25">
      <c r="A58" s="66"/>
    </row>
    <row r="59" spans="1:16" x14ac:dyDescent="0.25">
      <c r="A59" s="68" t="s">
        <v>30</v>
      </c>
      <c r="E59" s="20" t="s">
        <v>20</v>
      </c>
      <c r="F59" s="20" t="s">
        <v>19</v>
      </c>
      <c r="G59" s="20" t="s">
        <v>3</v>
      </c>
    </row>
    <row r="60" spans="1:16" x14ac:dyDescent="0.25">
      <c r="A60" s="67"/>
      <c r="C60" s="20" t="s">
        <v>1</v>
      </c>
      <c r="D60" s="28" t="s">
        <v>51</v>
      </c>
      <c r="E60" s="91" cm="1">
        <f t="array" ref="E60:E68">+'IO_sub_model (3)'!F188:F196</f>
        <v>68.300273077911058</v>
      </c>
      <c r="F60" s="133" cm="1">
        <f t="array" ref="F60:F68">+_xlfn.ANCHORARRAY(O5)</f>
        <v>66.685384615384606</v>
      </c>
      <c r="G60" s="94">
        <f>+MIN(F60/E60,1)</f>
        <v>0.97635604676595766</v>
      </c>
      <c r="H60" s="18"/>
    </row>
    <row r="61" spans="1:16" x14ac:dyDescent="0.25">
      <c r="C61" s="20" t="s">
        <v>1</v>
      </c>
      <c r="D61" s="25" t="s">
        <v>52</v>
      </c>
      <c r="E61" s="92">
        <v>52.908662243452241</v>
      </c>
      <c r="F61" s="134">
        <v>51.657692307692301</v>
      </c>
      <c r="G61" s="95">
        <f t="shared" ref="G61:G68" si="15">+MIN(F61/E61,1)</f>
        <v>0.97635604676595744</v>
      </c>
      <c r="H61" s="18"/>
    </row>
    <row r="62" spans="1:16" x14ac:dyDescent="0.25">
      <c r="C62" s="20" t="s">
        <v>1</v>
      </c>
      <c r="D62" s="25" t="s">
        <v>53</v>
      </c>
      <c r="E62" s="92">
        <v>43.302764577421641</v>
      </c>
      <c r="F62" s="134">
        <v>44.143846153846141</v>
      </c>
      <c r="G62" s="95">
        <f t="shared" si="15"/>
        <v>1</v>
      </c>
      <c r="H62" s="18"/>
    </row>
    <row r="63" spans="1:16" x14ac:dyDescent="0.25">
      <c r="C63" s="20" t="s">
        <v>10</v>
      </c>
      <c r="D63" s="25" t="str">
        <f>+D60</f>
        <v>Agr</v>
      </c>
      <c r="E63" s="92">
        <v>74.005174253066585</v>
      </c>
      <c r="F63" s="134">
        <v>77.016923076923078</v>
      </c>
      <c r="G63" s="95">
        <f t="shared" si="15"/>
        <v>1</v>
      </c>
      <c r="H63" s="18"/>
    </row>
    <row r="64" spans="1:16" x14ac:dyDescent="0.25">
      <c r="C64" s="20" t="s">
        <v>10</v>
      </c>
      <c r="D64" s="25" t="str">
        <f t="shared" ref="D64:D68" si="16">+D61</f>
        <v>Ind</v>
      </c>
      <c r="E64" s="92">
        <v>46.405439665484217</v>
      </c>
      <c r="F64" s="134">
        <v>46.961538461538467</v>
      </c>
      <c r="G64" s="95">
        <f t="shared" si="15"/>
        <v>1</v>
      </c>
      <c r="H64" s="18"/>
    </row>
    <row r="65" spans="1:13" x14ac:dyDescent="0.25">
      <c r="C65" s="20" t="s">
        <v>10</v>
      </c>
      <c r="D65" s="25" t="str">
        <f t="shared" si="16"/>
        <v>Serv</v>
      </c>
      <c r="E65" s="92">
        <v>50.537980374372758</v>
      </c>
      <c r="F65" s="134">
        <v>51.657692307692287</v>
      </c>
      <c r="G65" s="95">
        <f t="shared" si="15"/>
        <v>1</v>
      </c>
      <c r="H65" s="18"/>
    </row>
    <row r="66" spans="1:13" x14ac:dyDescent="0.25">
      <c r="C66" s="20" t="s">
        <v>11</v>
      </c>
      <c r="D66" s="25" t="str">
        <f t="shared" si="16"/>
        <v>Agr</v>
      </c>
      <c r="E66" s="92">
        <v>75.996078495140495</v>
      </c>
      <c r="F66" s="134">
        <v>74.199230769230766</v>
      </c>
      <c r="G66" s="95">
        <f t="shared" si="15"/>
        <v>0.97635604676595744</v>
      </c>
      <c r="H66" s="18"/>
    </row>
    <row r="67" spans="1:13" x14ac:dyDescent="0.25">
      <c r="C67" s="20" t="s">
        <v>11</v>
      </c>
      <c r="D67" s="25" t="str">
        <f t="shared" si="16"/>
        <v>Ind</v>
      </c>
      <c r="E67" s="92">
        <v>60.76734105510139</v>
      </c>
      <c r="F67" s="134">
        <v>61.05</v>
      </c>
      <c r="G67" s="95">
        <f t="shared" si="15"/>
        <v>1</v>
      </c>
      <c r="H67" s="18"/>
    </row>
    <row r="68" spans="1:13" x14ac:dyDescent="0.25">
      <c r="C68" s="20" t="s">
        <v>11</v>
      </c>
      <c r="D68" s="25" t="str">
        <f t="shared" si="16"/>
        <v>Serv</v>
      </c>
      <c r="E68" s="93">
        <v>57.718540629220627</v>
      </c>
      <c r="F68" s="135">
        <v>56.353846153846142</v>
      </c>
      <c r="G68" s="96">
        <f t="shared" si="15"/>
        <v>0.97635604676595733</v>
      </c>
      <c r="H68" s="18"/>
    </row>
    <row r="69" spans="1:13" x14ac:dyDescent="0.25">
      <c r="A69" s="66"/>
    </row>
    <row r="70" spans="1:13" x14ac:dyDescent="0.25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13" x14ac:dyDescent="0.25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13" x14ac:dyDescent="0.25">
      <c r="C72" t="s">
        <v>25</v>
      </c>
      <c r="D72" s="20" t="s">
        <v>4</v>
      </c>
      <c r="E72" s="43" cm="1">
        <f t="array" ref="E72">+MIN(_xlfn._xlws.FILTER($G$60:$G$68,E21:E29&gt;0))</f>
        <v>0.97635604676595733</v>
      </c>
      <c r="F72" s="44" cm="1">
        <f t="array" ref="F72">+MIN(_xlfn._xlws.FILTER($G$60:$G$68,F21:F29&gt;0))</f>
        <v>0.97635604676595733</v>
      </c>
      <c r="G72" s="44" cm="1">
        <f t="array" ref="G72">+MIN(_xlfn._xlws.FILTER($G$60:$G$68,G21:G29&gt;0))</f>
        <v>0.97635604676595733</v>
      </c>
      <c r="H72" s="44" cm="1">
        <f t="array" ref="H72">+MIN(_xlfn._xlws.FILTER($G$60:$G$68,H21:H29&gt;0))</f>
        <v>0.97635604676595733</v>
      </c>
      <c r="I72" s="44" cm="1">
        <f t="array" ref="I72">+MIN(_xlfn._xlws.FILTER($G$60:$G$68,I21:I29&gt;0))</f>
        <v>0.97635604676595733</v>
      </c>
      <c r="J72" s="44" cm="1">
        <f t="array" ref="J72">+MIN(_xlfn._xlws.FILTER($G$60:$G$68,J21:J29&gt;0))</f>
        <v>0.97635604676595733</v>
      </c>
      <c r="K72" s="44" cm="1">
        <f t="array" ref="K72">+MIN(_xlfn._xlws.FILTER($G$60:$G$68,K21:K29&gt;0))</f>
        <v>0.97635604676595733</v>
      </c>
      <c r="L72" s="44" cm="1">
        <f t="array" ref="L72">+MIN(_xlfn._xlws.FILTER($G$60:$G$68,L21:L29&gt;0))</f>
        <v>0.97635604676595733</v>
      </c>
      <c r="M72" s="45" cm="1">
        <f t="array" ref="M72">+MIN(_xlfn._xlws.FILTER($G$60:$G$68,M21:M29&gt;0))</f>
        <v>0.97635604676595733</v>
      </c>
    </row>
    <row r="73" spans="1:13" ht="15.75" thickBot="1" x14ac:dyDescent="0.3">
      <c r="C73" t="s">
        <v>26</v>
      </c>
      <c r="D73" s="49" t="s">
        <v>18</v>
      </c>
      <c r="E73" s="50" cm="1">
        <f t="array" ref="E73:M73">+TRANSPOSE(M47:M55)</f>
        <v>1</v>
      </c>
      <c r="F73" s="51">
        <v>1</v>
      </c>
      <c r="G73" s="51">
        <v>1</v>
      </c>
      <c r="H73" s="51">
        <v>1</v>
      </c>
      <c r="I73" s="51">
        <v>1</v>
      </c>
      <c r="J73" s="51">
        <v>1</v>
      </c>
      <c r="K73" s="51">
        <v>1</v>
      </c>
      <c r="L73" s="51">
        <v>1</v>
      </c>
      <c r="M73" s="52">
        <v>1</v>
      </c>
    </row>
    <row r="74" spans="1:13" x14ac:dyDescent="0.25">
      <c r="D74" s="22" t="s">
        <v>22</v>
      </c>
      <c r="E74" s="46">
        <f>+MIN(E72:E73)</f>
        <v>0.97635604676595733</v>
      </c>
      <c r="F74" s="47">
        <f t="shared" ref="F74:M74" si="17">+MIN(F72:F73)</f>
        <v>0.97635604676595733</v>
      </c>
      <c r="G74" s="47">
        <f t="shared" si="17"/>
        <v>0.97635604676595733</v>
      </c>
      <c r="H74" s="47">
        <f t="shared" si="17"/>
        <v>0.97635604676595733</v>
      </c>
      <c r="I74" s="47">
        <f t="shared" si="17"/>
        <v>0.97635604676595733</v>
      </c>
      <c r="J74" s="47">
        <f t="shared" si="17"/>
        <v>0.97635604676595733</v>
      </c>
      <c r="K74" s="47">
        <f t="shared" si="17"/>
        <v>0.97635604676595733</v>
      </c>
      <c r="L74" s="47">
        <f t="shared" si="17"/>
        <v>0.97635604676595733</v>
      </c>
      <c r="M74" s="48">
        <f t="shared" si="17"/>
        <v>0.97635604676595733</v>
      </c>
    </row>
    <row r="75" spans="1:13" x14ac:dyDescent="0.25">
      <c r="A75" s="66"/>
    </row>
    <row r="76" spans="1:13" ht="15.75" thickBot="1" x14ac:dyDescent="0.3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13" ht="15.75" thickBot="1" x14ac:dyDescent="0.3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13" x14ac:dyDescent="0.25">
      <c r="B78" s="63" cm="1">
        <f t="array" ref="B78:B86">+TRANSPOSE(E74:M74)</f>
        <v>0.97635604676595733</v>
      </c>
      <c r="C78" s="20" t="s">
        <v>1</v>
      </c>
      <c r="D78" s="28" t="s">
        <v>51</v>
      </c>
      <c r="E78" s="1">
        <f>+E5*$B78</f>
        <v>8.9453769970924366</v>
      </c>
      <c r="F78" s="2">
        <f t="shared" ref="F78:M78" si="18">+F5*$B78</f>
        <v>4.8878774534044656</v>
      </c>
      <c r="G78" s="2">
        <f t="shared" si="18"/>
        <v>8.953470254956418</v>
      </c>
      <c r="H78" s="2">
        <f t="shared" si="18"/>
        <v>1.5865188148713711</v>
      </c>
      <c r="I78" s="2">
        <f t="shared" si="18"/>
        <v>0.92875605796244554</v>
      </c>
      <c r="J78" s="2">
        <f t="shared" si="18"/>
        <v>7.1352621201263675</v>
      </c>
      <c r="K78" s="2">
        <f t="shared" si="18"/>
        <v>3.301783320805566</v>
      </c>
      <c r="L78" s="2">
        <f t="shared" si="18"/>
        <v>6.7107289836042066</v>
      </c>
      <c r="M78" s="3">
        <f t="shared" si="18"/>
        <v>2.4626041484107555</v>
      </c>
    </row>
    <row r="79" spans="1:13" x14ac:dyDescent="0.25">
      <c r="B79" s="30">
        <v>0.97635604676595733</v>
      </c>
      <c r="C79" s="20" t="s">
        <v>1</v>
      </c>
      <c r="D79" s="25" t="s">
        <v>52</v>
      </c>
      <c r="E79" s="5">
        <f t="shared" ref="E79:M86" si="19">+E6*$B79</f>
        <v>7.2243554435474726</v>
      </c>
      <c r="F79" s="6">
        <f t="shared" si="19"/>
        <v>3.2591201120502222</v>
      </c>
      <c r="G79" s="6">
        <f t="shared" si="19"/>
        <v>7.9495542882241379</v>
      </c>
      <c r="H79" s="6">
        <f t="shared" si="19"/>
        <v>4.4579433202995862</v>
      </c>
      <c r="I79" s="6">
        <f t="shared" si="19"/>
        <v>2.1952121214725517</v>
      </c>
      <c r="J79" s="6">
        <f t="shared" si="19"/>
        <v>8.87794512855295</v>
      </c>
      <c r="K79" s="6">
        <f t="shared" si="19"/>
        <v>2.0114794075866609</v>
      </c>
      <c r="L79" s="6">
        <f t="shared" si="19"/>
        <v>4.2550999889031358</v>
      </c>
      <c r="M79" s="7">
        <f t="shared" si="19"/>
        <v>6.6343804341292243</v>
      </c>
    </row>
    <row r="80" spans="1:13" x14ac:dyDescent="0.25">
      <c r="B80" s="30">
        <v>0.97635604676595733</v>
      </c>
      <c r="C80" s="20" t="s">
        <v>1</v>
      </c>
      <c r="D80" s="25" t="s">
        <v>53</v>
      </c>
      <c r="E80" s="5">
        <f t="shared" si="19"/>
        <v>0.50705727746380769</v>
      </c>
      <c r="F80" s="6">
        <f t="shared" si="19"/>
        <v>0.22183755889041551</v>
      </c>
      <c r="G80" s="6">
        <f t="shared" si="19"/>
        <v>0.2535286387319039</v>
      </c>
      <c r="H80" s="6">
        <f t="shared" si="19"/>
        <v>6.1217689012429339</v>
      </c>
      <c r="I80" s="6">
        <f t="shared" si="19"/>
        <v>3.584172303137144</v>
      </c>
      <c r="J80" s="6">
        <f t="shared" si="19"/>
        <v>3.3623347442467266</v>
      </c>
      <c r="K80" s="6">
        <f t="shared" si="19"/>
        <v>5.8999313423525157</v>
      </c>
      <c r="L80" s="6">
        <f t="shared" si="19"/>
        <v>3.48909906361268</v>
      </c>
      <c r="M80" s="7">
        <f t="shared" si="19"/>
        <v>6.0266956617184668</v>
      </c>
    </row>
    <row r="81" spans="1:14" x14ac:dyDescent="0.25">
      <c r="B81" s="30">
        <v>0.97635604676595733</v>
      </c>
      <c r="C81" s="20" t="s">
        <v>10</v>
      </c>
      <c r="D81" s="25" t="str">
        <f>+D78</f>
        <v>Agr</v>
      </c>
      <c r="E81" s="5">
        <f t="shared" si="19"/>
        <v>7.8769053451342659</v>
      </c>
      <c r="F81" s="6">
        <f t="shared" si="19"/>
        <v>4.6374914664419924</v>
      </c>
      <c r="G81" s="6">
        <f t="shared" si="19"/>
        <v>3.9230709508019341</v>
      </c>
      <c r="H81" s="6">
        <f t="shared" si="19"/>
        <v>6.1357437273385536</v>
      </c>
      <c r="I81" s="6">
        <f t="shared" si="19"/>
        <v>8.6113394730779156</v>
      </c>
      <c r="J81" s="6">
        <f t="shared" si="19"/>
        <v>7.7181947492220919</v>
      </c>
      <c r="K81" s="6">
        <f t="shared" si="19"/>
        <v>8.6027267979392423</v>
      </c>
      <c r="L81" s="6">
        <f t="shared" si="19"/>
        <v>7.9863323955854968</v>
      </c>
      <c r="M81" s="7">
        <f t="shared" si="19"/>
        <v>7.7760669248925547</v>
      </c>
    </row>
    <row r="82" spans="1:14" x14ac:dyDescent="0.25">
      <c r="B82" s="30">
        <v>0.97635604676595733</v>
      </c>
      <c r="C82" s="20" t="s">
        <v>10</v>
      </c>
      <c r="D82" s="25" t="str">
        <f t="shared" ref="D82:D86" si="20">+D79</f>
        <v>Ind</v>
      </c>
      <c r="E82" s="5">
        <f t="shared" si="19"/>
        <v>3.7530744946428265</v>
      </c>
      <c r="F82" s="6">
        <f t="shared" si="19"/>
        <v>2.1669803620439265</v>
      </c>
      <c r="G82" s="6">
        <f t="shared" si="19"/>
        <v>2.915204387236014</v>
      </c>
      <c r="H82" s="6">
        <f t="shared" si="19"/>
        <v>5.6069441555330215</v>
      </c>
      <c r="I82" s="6">
        <f t="shared" si="19"/>
        <v>5.9533945373210733</v>
      </c>
      <c r="J82" s="6">
        <f t="shared" si="19"/>
        <v>3.7975852765483404</v>
      </c>
      <c r="K82" s="6">
        <f t="shared" si="19"/>
        <v>7.9417276066958564</v>
      </c>
      <c r="L82" s="6">
        <f t="shared" si="19"/>
        <v>2.3009077393580442</v>
      </c>
      <c r="M82" s="7">
        <f t="shared" si="19"/>
        <v>7.0593134281740948</v>
      </c>
    </row>
    <row r="83" spans="1:14" x14ac:dyDescent="0.25">
      <c r="B83" s="30">
        <v>0.97635604676595733</v>
      </c>
      <c r="C83" s="20" t="s">
        <v>10</v>
      </c>
      <c r="D83" s="25" t="str">
        <f t="shared" si="20"/>
        <v>Serv</v>
      </c>
      <c r="E83" s="5">
        <f t="shared" si="19"/>
        <v>5.219600575126992</v>
      </c>
      <c r="F83" s="6">
        <f t="shared" si="19"/>
        <v>4.1670620340792528</v>
      </c>
      <c r="G83" s="6">
        <f t="shared" si="19"/>
        <v>3.4028473538629451</v>
      </c>
      <c r="H83" s="6">
        <f t="shared" si="19"/>
        <v>1.3120300157960287</v>
      </c>
      <c r="I83" s="6">
        <f t="shared" si="19"/>
        <v>7.5122446157759128</v>
      </c>
      <c r="J83" s="6">
        <f t="shared" si="19"/>
        <v>1.7590884490977587</v>
      </c>
      <c r="K83" s="6">
        <f t="shared" si="19"/>
        <v>1.1102033132140265</v>
      </c>
      <c r="L83" s="6">
        <f t="shared" si="19"/>
        <v>5.0466062586281328</v>
      </c>
      <c r="M83" s="7">
        <f t="shared" si="19"/>
        <v>1.2255328575465996</v>
      </c>
    </row>
    <row r="84" spans="1:14" x14ac:dyDescent="0.25">
      <c r="B84" s="30">
        <v>0.97635604676595733</v>
      </c>
      <c r="C84" s="20" t="s">
        <v>11</v>
      </c>
      <c r="D84" s="25" t="str">
        <f t="shared" si="20"/>
        <v>Agr</v>
      </c>
      <c r="E84" s="5">
        <f t="shared" si="19"/>
        <v>3.7911847941650447</v>
      </c>
      <c r="F84" s="6">
        <f t="shared" si="19"/>
        <v>9.2141466586914937</v>
      </c>
      <c r="G84" s="6">
        <f t="shared" si="19"/>
        <v>7.7676803105165311</v>
      </c>
      <c r="H84" s="6">
        <f t="shared" si="19"/>
        <v>8.2413842903603296</v>
      </c>
      <c r="I84" s="6">
        <f t="shared" si="19"/>
        <v>9.2226530045074657</v>
      </c>
      <c r="J84" s="6">
        <f t="shared" si="19"/>
        <v>1.1003625596254187</v>
      </c>
      <c r="K84" s="6">
        <f t="shared" si="19"/>
        <v>6.8350054597931456</v>
      </c>
      <c r="L84" s="6">
        <f t="shared" si="19"/>
        <v>8.7505011890540878</v>
      </c>
      <c r="M84" s="7">
        <f t="shared" si="19"/>
        <v>7.5638687263077475</v>
      </c>
    </row>
    <row r="85" spans="1:14" x14ac:dyDescent="0.25">
      <c r="B85" s="30">
        <v>0.97635604676595733</v>
      </c>
      <c r="C85" s="20" t="s">
        <v>11</v>
      </c>
      <c r="D85" s="25" t="str">
        <f t="shared" si="20"/>
        <v>Ind</v>
      </c>
      <c r="E85" s="5">
        <f t="shared" si="19"/>
        <v>1.2175063834871038</v>
      </c>
      <c r="F85" s="6">
        <f t="shared" si="19"/>
        <v>6.7688358475832526</v>
      </c>
      <c r="G85" s="6">
        <f t="shared" si="19"/>
        <v>0.3916956996839811</v>
      </c>
      <c r="H85" s="6">
        <f t="shared" si="19"/>
        <v>7.7575235009908763</v>
      </c>
      <c r="I85" s="6">
        <f t="shared" si="19"/>
        <v>0.2937860867588839</v>
      </c>
      <c r="J85" s="6">
        <f t="shared" si="19"/>
        <v>0.45697018841971165</v>
      </c>
      <c r="K85" s="6">
        <f t="shared" si="19"/>
        <v>6.9320894311169665</v>
      </c>
      <c r="L85" s="6">
        <f t="shared" si="19"/>
        <v>8.4527823371008317</v>
      </c>
      <c r="M85" s="7">
        <f t="shared" si="19"/>
        <v>1.3154585336073314</v>
      </c>
    </row>
    <row r="86" spans="1:14" x14ac:dyDescent="0.25">
      <c r="B86" s="31">
        <v>0.97635604676595733</v>
      </c>
      <c r="C86" s="20" t="s">
        <v>11</v>
      </c>
      <c r="D86" s="25" t="str">
        <f t="shared" si="20"/>
        <v>Serv</v>
      </c>
      <c r="E86" s="9">
        <f t="shared" si="19"/>
        <v>8.9457204009628448</v>
      </c>
      <c r="F86" s="10">
        <f t="shared" si="19"/>
        <v>2.0302658929600517</v>
      </c>
      <c r="G86" s="10">
        <f t="shared" si="19"/>
        <v>3.6798131341819729</v>
      </c>
      <c r="H86" s="10">
        <f t="shared" si="19"/>
        <v>9.0726266182088899</v>
      </c>
      <c r="I86" s="10">
        <f t="shared" si="19"/>
        <v>0.82489041209928393</v>
      </c>
      <c r="J86" s="10">
        <f t="shared" si="19"/>
        <v>0.38071865173813013</v>
      </c>
      <c r="K86" s="10">
        <f t="shared" si="19"/>
        <v>3.0771253937515892</v>
      </c>
      <c r="L86" s="10">
        <f t="shared" si="19"/>
        <v>0.63453108623021848</v>
      </c>
      <c r="M86" s="11">
        <f t="shared" si="19"/>
        <v>6.503126093441475</v>
      </c>
    </row>
    <row r="87" spans="1:14" x14ac:dyDescent="0.25">
      <c r="N87" s="19">
        <f>+SUM(E78:M86)</f>
        <v>387.98436586385617</v>
      </c>
    </row>
    <row r="88" spans="1:14" x14ac:dyDescent="0.25">
      <c r="D88" s="20" t="str" cm="1">
        <f t="array" ref="D88:M89">+TRANSPOSE(E59:F68)</f>
        <v>x_md</v>
      </c>
      <c r="E88" s="43">
        <v>68.300273077911058</v>
      </c>
      <c r="F88" s="44">
        <v>52.908662243452241</v>
      </c>
      <c r="G88" s="44">
        <v>43.302764577421641</v>
      </c>
      <c r="H88" s="44">
        <v>74.005174253066585</v>
      </c>
      <c r="I88" s="44">
        <v>46.405439665484217</v>
      </c>
      <c r="J88" s="44">
        <v>50.537980374372758</v>
      </c>
      <c r="K88" s="44">
        <v>75.996078495140495</v>
      </c>
      <c r="L88" s="44">
        <v>60.76734105510139</v>
      </c>
      <c r="M88" s="45">
        <v>57.718540629220627</v>
      </c>
    </row>
    <row r="89" spans="1:14" ht="15.75" thickBot="1" x14ac:dyDescent="0.3">
      <c r="D89" s="49" t="str">
        <v>x_max</v>
      </c>
      <c r="E89" s="50">
        <v>66.685384615384606</v>
      </c>
      <c r="F89" s="51">
        <v>51.657692307692301</v>
      </c>
      <c r="G89" s="51">
        <v>44.143846153846141</v>
      </c>
      <c r="H89" s="51">
        <v>77.016923076923078</v>
      </c>
      <c r="I89" s="51">
        <v>46.961538461538467</v>
      </c>
      <c r="J89" s="51">
        <v>51.657692307692287</v>
      </c>
      <c r="K89" s="51">
        <v>74.199230769230766</v>
      </c>
      <c r="L89" s="51">
        <v>61.05</v>
      </c>
      <c r="M89" s="52">
        <v>56.353846153846142</v>
      </c>
    </row>
    <row r="90" spans="1:14" x14ac:dyDescent="0.25">
      <c r="D90" s="22"/>
      <c r="E90" s="46">
        <f>+MIN(E88:E89)</f>
        <v>66.685384615384606</v>
      </c>
      <c r="F90" s="47">
        <f t="shared" ref="F90:M90" si="21">+MIN(F88:F89)</f>
        <v>51.657692307692301</v>
      </c>
      <c r="G90" s="47">
        <f t="shared" si="21"/>
        <v>43.302764577421641</v>
      </c>
      <c r="H90" s="47">
        <f t="shared" si="21"/>
        <v>74.005174253066585</v>
      </c>
      <c r="I90" s="47">
        <f t="shared" si="21"/>
        <v>46.405439665484217</v>
      </c>
      <c r="J90" s="47">
        <f t="shared" si="21"/>
        <v>50.537980374372758</v>
      </c>
      <c r="K90" s="47">
        <f t="shared" si="21"/>
        <v>74.199230769230766</v>
      </c>
      <c r="L90" s="47">
        <f t="shared" si="21"/>
        <v>60.76734105510139</v>
      </c>
      <c r="M90" s="48">
        <f t="shared" si="21"/>
        <v>56.353846153846142</v>
      </c>
    </row>
    <row r="91" spans="1:14" x14ac:dyDescent="0.25">
      <c r="A91" s="66"/>
    </row>
    <row r="92" spans="1:14" ht="15.75" thickBot="1" x14ac:dyDescent="0.3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14" ht="15.75" thickBot="1" x14ac:dyDescent="0.3">
      <c r="A93" s="67"/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14" x14ac:dyDescent="0.25">
      <c r="C94" s="20" t="s">
        <v>1</v>
      </c>
      <c r="D94" s="28" t="s">
        <v>51</v>
      </c>
      <c r="E94" s="1">
        <f>+E21*E$88</f>
        <v>9.3838748652366402</v>
      </c>
      <c r="F94" s="2">
        <f t="shared" ref="F94:M94" si="22">+F21*F$88</f>
        <v>5.127478740612891</v>
      </c>
      <c r="G94" s="2">
        <f t="shared" si="22"/>
        <v>8.9955687938606825</v>
      </c>
      <c r="H94" s="2">
        <f t="shared" si="22"/>
        <v>1.5613955170343949</v>
      </c>
      <c r="I94" s="2">
        <f t="shared" si="22"/>
        <v>0.93998303406695383</v>
      </c>
      <c r="J94" s="2">
        <f t="shared" si="22"/>
        <v>7.1496468858721931</v>
      </c>
      <c r="K94" s="2">
        <f t="shared" si="22"/>
        <v>3.4636350736962411</v>
      </c>
      <c r="L94" s="2">
        <f t="shared" si="22"/>
        <v>6.8414167264053178</v>
      </c>
      <c r="M94" s="3">
        <f t="shared" si="22"/>
        <v>2.5833197615718539</v>
      </c>
      <c r="N94" s="19"/>
    </row>
    <row r="95" spans="1:14" x14ac:dyDescent="0.25">
      <c r="C95" s="20" t="s">
        <v>1</v>
      </c>
      <c r="D95" s="25" t="s">
        <v>52</v>
      </c>
      <c r="E95" s="5">
        <f t="shared" ref="E95:M102" si="23">+E22*E$88</f>
        <v>7.5784897032596357</v>
      </c>
      <c r="F95" s="6">
        <f t="shared" si="23"/>
        <v>3.4188805359680119</v>
      </c>
      <c r="G95" s="6">
        <f t="shared" si="23"/>
        <v>7.9869324903004904</v>
      </c>
      <c r="H95" s="6">
        <f t="shared" si="23"/>
        <v>4.3873496174538209</v>
      </c>
      <c r="I95" s="6">
        <f t="shared" si="23"/>
        <v>2.2217482542070917</v>
      </c>
      <c r="J95" s="6">
        <f t="shared" si="23"/>
        <v>8.895843162125999</v>
      </c>
      <c r="K95" s="6">
        <f t="shared" si="23"/>
        <v>2.1100811135102249</v>
      </c>
      <c r="L95" s="6">
        <f t="shared" si="23"/>
        <v>4.3379657124782396</v>
      </c>
      <c r="M95" s="7">
        <f t="shared" si="23"/>
        <v>6.9595944164766301</v>
      </c>
      <c r="N95" s="19"/>
    </row>
    <row r="96" spans="1:14" x14ac:dyDescent="0.25">
      <c r="C96" s="20" t="s">
        <v>1</v>
      </c>
      <c r="D96" s="25" t="s">
        <v>53</v>
      </c>
      <c r="E96" s="5">
        <f t="shared" si="23"/>
        <v>0.53191296943376642</v>
      </c>
      <c r="F96" s="6">
        <f t="shared" si="23"/>
        <v>0.23271192412727251</v>
      </c>
      <c r="G96" s="6">
        <f t="shared" si="23"/>
        <v>0.25472071118616735</v>
      </c>
      <c r="H96" s="6">
        <f t="shared" si="23"/>
        <v>6.0248277102823122</v>
      </c>
      <c r="I96" s="6">
        <f t="shared" si="23"/>
        <v>3.6274984450845147</v>
      </c>
      <c r="J96" s="6">
        <f t="shared" si="23"/>
        <v>3.3691132475225367</v>
      </c>
      <c r="K96" s="6">
        <f t="shared" si="23"/>
        <v>6.1891430006939876</v>
      </c>
      <c r="L96" s="6">
        <f t="shared" si="23"/>
        <v>3.5570473419811073</v>
      </c>
      <c r="M96" s="7">
        <f t="shared" si="23"/>
        <v>6.3221212430524298</v>
      </c>
      <c r="N96" s="19"/>
    </row>
    <row r="97" spans="3:25" x14ac:dyDescent="0.25">
      <c r="C97" s="20" t="s">
        <v>10</v>
      </c>
      <c r="D97" s="25" t="str">
        <f>+D94</f>
        <v>Agr</v>
      </c>
      <c r="E97" s="5">
        <f t="shared" si="23"/>
        <v>8.2630272718610822</v>
      </c>
      <c r="F97" s="6">
        <f t="shared" si="23"/>
        <v>4.8648189588699511</v>
      </c>
      <c r="G97" s="6">
        <f t="shared" si="23"/>
        <v>3.9415169332359627</v>
      </c>
      <c r="H97" s="6">
        <f t="shared" si="23"/>
        <v>6.0385812382030037</v>
      </c>
      <c r="I97" s="6">
        <f t="shared" si="23"/>
        <v>8.7154349475173021</v>
      </c>
      <c r="J97" s="6">
        <f t="shared" si="23"/>
        <v>7.7337547134643385</v>
      </c>
      <c r="K97" s="6">
        <f t="shared" si="23"/>
        <v>9.0244281261615757</v>
      </c>
      <c r="L97" s="6">
        <f t="shared" si="23"/>
        <v>8.1418618107337579</v>
      </c>
      <c r="M97" s="7">
        <f t="shared" si="23"/>
        <v>8.1572458031243347</v>
      </c>
      <c r="N97" s="19"/>
    </row>
    <row r="98" spans="3:25" x14ac:dyDescent="0.25">
      <c r="C98" s="20" t="s">
        <v>10</v>
      </c>
      <c r="D98" s="25" t="str">
        <f t="shared" ref="D98:D102" si="24">+D95</f>
        <v>Ind</v>
      </c>
      <c r="E98" s="5">
        <f t="shared" si="23"/>
        <v>3.937048313233388</v>
      </c>
      <c r="F98" s="6">
        <f t="shared" si="23"/>
        <v>2.273204646316739</v>
      </c>
      <c r="G98" s="6">
        <f t="shared" si="23"/>
        <v>2.9289114574350803</v>
      </c>
      <c r="H98" s="6">
        <f t="shared" si="23"/>
        <v>5.5181554650653508</v>
      </c>
      <c r="I98" s="6">
        <f t="shared" si="23"/>
        <v>6.0253602786351568</v>
      </c>
      <c r="J98" s="6">
        <f t="shared" si="23"/>
        <v>3.8052412496132759</v>
      </c>
      <c r="K98" s="6">
        <f t="shared" si="23"/>
        <v>8.3310270879865875</v>
      </c>
      <c r="L98" s="6">
        <f t="shared" si="23"/>
        <v>2.3457166475385098</v>
      </c>
      <c r="M98" s="7">
        <f t="shared" si="23"/>
        <v>7.4053574115436342</v>
      </c>
      <c r="N98" s="19"/>
    </row>
    <row r="99" spans="3:25" x14ac:dyDescent="0.25">
      <c r="C99" s="20" t="s">
        <v>10</v>
      </c>
      <c r="D99" s="25" t="str">
        <f t="shared" si="24"/>
        <v>Serv</v>
      </c>
      <c r="E99" s="5">
        <f t="shared" si="23"/>
        <v>5.4754627624335059</v>
      </c>
      <c r="F99" s="6">
        <f t="shared" si="23"/>
        <v>4.3713293130281814</v>
      </c>
      <c r="G99" s="6">
        <f t="shared" si="23"/>
        <v>3.4188472843516369</v>
      </c>
      <c r="H99" s="6">
        <f t="shared" si="23"/>
        <v>1.2912533817284595</v>
      </c>
      <c r="I99" s="6">
        <f t="shared" si="23"/>
        <v>7.6030540269980227</v>
      </c>
      <c r="J99" s="6">
        <f t="shared" si="23"/>
        <v>1.7626347904711308</v>
      </c>
      <c r="K99" s="6">
        <f t="shared" si="23"/>
        <v>1.1646249196157712</v>
      </c>
      <c r="L99" s="6">
        <f t="shared" si="23"/>
        <v>5.1448861299144637</v>
      </c>
      <c r="M99" s="7">
        <f t="shared" si="23"/>
        <v>1.2856078600366605</v>
      </c>
      <c r="N99" s="19"/>
    </row>
    <row r="100" spans="3:25" x14ac:dyDescent="0.25">
      <c r="C100" s="20" t="s">
        <v>11</v>
      </c>
      <c r="D100" s="25" t="str">
        <f t="shared" si="24"/>
        <v>Agr</v>
      </c>
      <c r="E100" s="5">
        <f t="shared" si="23"/>
        <v>3.9770267604144767</v>
      </c>
      <c r="F100" s="6">
        <f t="shared" si="23"/>
        <v>9.6658194800737061</v>
      </c>
      <c r="G100" s="6">
        <f t="shared" si="23"/>
        <v>7.8042033549268419</v>
      </c>
      <c r="H100" s="6">
        <f t="shared" si="23"/>
        <v>8.1108779577691923</v>
      </c>
      <c r="I100" s="6">
        <f t="shared" si="23"/>
        <v>9.3341381507028327</v>
      </c>
      <c r="J100" s="6">
        <f t="shared" si="23"/>
        <v>1.1025809024682194</v>
      </c>
      <c r="K100" s="6">
        <f t="shared" si="23"/>
        <v>7.170053979698733</v>
      </c>
      <c r="L100" s="6">
        <f t="shared" si="23"/>
        <v>8.9209123696530881</v>
      </c>
      <c r="M100" s="7">
        <f t="shared" si="23"/>
        <v>7.9346457558825385</v>
      </c>
      <c r="N100" s="19"/>
    </row>
    <row r="101" spans="3:25" x14ac:dyDescent="0.25">
      <c r="C101" s="20" t="s">
        <v>11</v>
      </c>
      <c r="D101" s="25" t="str">
        <f t="shared" si="24"/>
        <v>Ind</v>
      </c>
      <c r="E101" s="5">
        <f t="shared" si="23"/>
        <v>1.2771879322675055</v>
      </c>
      <c r="F101" s="6">
        <f t="shared" si="23"/>
        <v>7.1006407664757809</v>
      </c>
      <c r="G101" s="6">
        <f t="shared" si="23"/>
        <v>0.39353742319254481</v>
      </c>
      <c r="H101" s="6">
        <f t="shared" si="23"/>
        <v>7.6346793395691046</v>
      </c>
      <c r="I101" s="6">
        <f t="shared" si="23"/>
        <v>0.29733742766008359</v>
      </c>
      <c r="J101" s="6">
        <f t="shared" si="23"/>
        <v>0.4578914452709073</v>
      </c>
      <c r="K101" s="6">
        <f t="shared" si="23"/>
        <v>7.2718969583254651</v>
      </c>
      <c r="L101" s="6">
        <f t="shared" si="23"/>
        <v>8.6173956073914031</v>
      </c>
      <c r="M101" s="7">
        <f t="shared" si="23"/>
        <v>1.3799416473773167</v>
      </c>
      <c r="N101" s="19"/>
    </row>
    <row r="102" spans="3:25" x14ac:dyDescent="0.25">
      <c r="C102" s="20" t="s">
        <v>11</v>
      </c>
      <c r="D102" s="25" t="str">
        <f t="shared" si="24"/>
        <v>Serv</v>
      </c>
      <c r="E102" s="9">
        <f t="shared" si="23"/>
        <v>9.3842351025915569</v>
      </c>
      <c r="F102" s="10">
        <f t="shared" si="23"/>
        <v>2.1297885029202854</v>
      </c>
      <c r="G102" s="10">
        <f t="shared" si="23"/>
        <v>3.6971153367892837</v>
      </c>
      <c r="H102" s="10">
        <f t="shared" si="23"/>
        <v>8.9289571586623797</v>
      </c>
      <c r="I102" s="10">
        <f t="shared" si="23"/>
        <v>0.83486184094335947</v>
      </c>
      <c r="J102" s="10">
        <f t="shared" si="23"/>
        <v>0.3814861846651787</v>
      </c>
      <c r="K102" s="10">
        <f t="shared" si="23"/>
        <v>3.2279645283806886</v>
      </c>
      <c r="L102" s="10">
        <f t="shared" si="23"/>
        <v>0.64688822888926034</v>
      </c>
      <c r="M102" s="11">
        <f t="shared" si="23"/>
        <v>6.8219060542160666</v>
      </c>
      <c r="N102" s="19"/>
    </row>
    <row r="103" spans="3:25" x14ac:dyDescent="0.25">
      <c r="N103" s="19">
        <f>+SUM(E94:M102)</f>
        <v>397.52466402379622</v>
      </c>
    </row>
    <row r="104" spans="3:25" ht="15.75" thickBot="1" x14ac:dyDescent="0.3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25" ht="15.75" thickBot="1" x14ac:dyDescent="0.3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25" x14ac:dyDescent="0.25">
      <c r="C106" s="20" t="s">
        <v>1</v>
      </c>
      <c r="D106" s="28" t="s">
        <v>51</v>
      </c>
      <c r="E106" s="1">
        <f>+MAX(E94-E78,0)</f>
        <v>0.43849786814420355</v>
      </c>
      <c r="F106" s="2">
        <f t="shared" ref="F106:M106" si="25">+MAX(F94-F78,0)</f>
        <v>0.23960128720842544</v>
      </c>
      <c r="G106" s="2">
        <f t="shared" si="25"/>
        <v>4.2098538904264515E-2</v>
      </c>
      <c r="H106" s="2">
        <f t="shared" si="25"/>
        <v>0</v>
      </c>
      <c r="I106" s="2">
        <f t="shared" si="25"/>
        <v>1.1226976104508291E-2</v>
      </c>
      <c r="J106" s="2">
        <f t="shared" si="25"/>
        <v>1.438476574582559E-2</v>
      </c>
      <c r="K106" s="2">
        <f t="shared" si="25"/>
        <v>0.1618517528906751</v>
      </c>
      <c r="L106" s="2">
        <f t="shared" si="25"/>
        <v>0.13068774280111128</v>
      </c>
      <c r="M106" s="3">
        <f t="shared" si="25"/>
        <v>0.12071561316109847</v>
      </c>
      <c r="N106" s="53">
        <f>+SUM(E106:M106)</f>
        <v>1.1590645449601122</v>
      </c>
    </row>
    <row r="107" spans="3:25" x14ac:dyDescent="0.25">
      <c r="C107" s="20" t="s">
        <v>1</v>
      </c>
      <c r="D107" s="25" t="s">
        <v>52</v>
      </c>
      <c r="E107" s="5">
        <f t="shared" ref="E107:M114" si="26">+MAX(E95-E79,0)</f>
        <v>0.35413425971216306</v>
      </c>
      <c r="F107" s="6">
        <f t="shared" si="26"/>
        <v>0.15976042391778966</v>
      </c>
      <c r="G107" s="6">
        <f t="shared" si="26"/>
        <v>3.7378202076352451E-2</v>
      </c>
      <c r="H107" s="6">
        <f t="shared" si="26"/>
        <v>0</v>
      </c>
      <c r="I107" s="6">
        <f t="shared" si="26"/>
        <v>2.6536132734539919E-2</v>
      </c>
      <c r="J107" s="6">
        <f t="shared" si="26"/>
        <v>1.7898033573048977E-2</v>
      </c>
      <c r="K107" s="6">
        <f t="shared" si="26"/>
        <v>9.8601705923563987E-2</v>
      </c>
      <c r="L107" s="6">
        <f t="shared" si="26"/>
        <v>8.28657235751038E-2</v>
      </c>
      <c r="M107" s="7">
        <f t="shared" si="26"/>
        <v>0.32521398234740584</v>
      </c>
      <c r="N107" s="8">
        <f t="shared" ref="N107:N114" si="27">+SUM(E107:M107)</f>
        <v>1.1023884638599677</v>
      </c>
    </row>
    <row r="108" spans="3:25" x14ac:dyDescent="0.25">
      <c r="C108" s="20" t="s">
        <v>1</v>
      </c>
      <c r="D108" s="25" t="s">
        <v>53</v>
      </c>
      <c r="E108" s="5">
        <f t="shared" si="26"/>
        <v>2.4855691969958738E-2</v>
      </c>
      <c r="F108" s="6">
        <f t="shared" si="26"/>
        <v>1.0874365236857003E-2</v>
      </c>
      <c r="G108" s="6">
        <f t="shared" si="26"/>
        <v>1.1920724542634487E-3</v>
      </c>
      <c r="H108" s="6">
        <f t="shared" si="26"/>
        <v>0</v>
      </c>
      <c r="I108" s="6">
        <f t="shared" si="26"/>
        <v>4.3326141947370722E-2</v>
      </c>
      <c r="J108" s="6">
        <f t="shared" si="26"/>
        <v>6.7785032758100883E-3</v>
      </c>
      <c r="K108" s="6">
        <f t="shared" si="26"/>
        <v>0.28921165834147189</v>
      </c>
      <c r="L108" s="6">
        <f t="shared" si="26"/>
        <v>6.7948278368427317E-2</v>
      </c>
      <c r="M108" s="7">
        <f t="shared" si="26"/>
        <v>0.29542558133396302</v>
      </c>
      <c r="N108" s="8">
        <f t="shared" si="27"/>
        <v>0.73961229292812225</v>
      </c>
    </row>
    <row r="109" spans="3:25" x14ac:dyDescent="0.25">
      <c r="C109" s="20" t="s">
        <v>10</v>
      </c>
      <c r="D109" s="25" t="str">
        <f>+D106</f>
        <v>Agr</v>
      </c>
      <c r="E109" s="5">
        <f t="shared" si="26"/>
        <v>0.38612192672681633</v>
      </c>
      <c r="F109" s="6">
        <f t="shared" si="26"/>
        <v>0.22732749242795869</v>
      </c>
      <c r="G109" s="6">
        <f t="shared" si="26"/>
        <v>1.8445982434028618E-2</v>
      </c>
      <c r="H109" s="6">
        <f t="shared" si="26"/>
        <v>0</v>
      </c>
      <c r="I109" s="6">
        <f t="shared" si="26"/>
        <v>0.10409547443938649</v>
      </c>
      <c r="J109" s="6">
        <f t="shared" si="26"/>
        <v>1.5559964242246593E-2</v>
      </c>
      <c r="K109" s="6">
        <f t="shared" si="26"/>
        <v>0.42170132822233342</v>
      </c>
      <c r="L109" s="6">
        <f t="shared" si="26"/>
        <v>0.15552941514826113</v>
      </c>
      <c r="M109" s="7">
        <f t="shared" si="26"/>
        <v>0.38117887823177998</v>
      </c>
      <c r="N109" s="8">
        <f t="shared" si="27"/>
        <v>1.7099604618728113</v>
      </c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3:25" x14ac:dyDescent="0.25">
      <c r="C110" s="20" t="s">
        <v>10</v>
      </c>
      <c r="D110" s="25" t="str">
        <f t="shared" ref="D110:D114" si="28">+D107</f>
        <v>Ind</v>
      </c>
      <c r="E110" s="5">
        <f t="shared" si="26"/>
        <v>0.1839738185905615</v>
      </c>
      <c r="F110" s="6">
        <f t="shared" si="26"/>
        <v>0.1062242842728125</v>
      </c>
      <c r="G110" s="6">
        <f t="shared" si="26"/>
        <v>1.3707070199066251E-2</v>
      </c>
      <c r="H110" s="6">
        <f t="shared" si="26"/>
        <v>0</v>
      </c>
      <c r="I110" s="6">
        <f t="shared" si="26"/>
        <v>7.1965741314083509E-2</v>
      </c>
      <c r="J110" s="6">
        <f t="shared" si="26"/>
        <v>7.655973064935484E-3</v>
      </c>
      <c r="K110" s="6">
        <f t="shared" si="26"/>
        <v>0.38929948129073111</v>
      </c>
      <c r="L110" s="6">
        <f t="shared" si="26"/>
        <v>4.4808908180465679E-2</v>
      </c>
      <c r="M110" s="7">
        <f t="shared" si="26"/>
        <v>0.34604398336953945</v>
      </c>
      <c r="N110" s="8">
        <f t="shared" si="27"/>
        <v>1.1636792602821955</v>
      </c>
    </row>
    <row r="111" spans="3:25" x14ac:dyDescent="0.25">
      <c r="C111" s="20" t="s">
        <v>10</v>
      </c>
      <c r="D111" s="25" t="str">
        <f t="shared" si="28"/>
        <v>Serv</v>
      </c>
      <c r="E111" s="5">
        <f t="shared" si="26"/>
        <v>0.25586218730651389</v>
      </c>
      <c r="F111" s="6">
        <f t="shared" si="26"/>
        <v>0.2042672789489286</v>
      </c>
      <c r="G111" s="6">
        <f t="shared" si="26"/>
        <v>1.5999930488691749E-2</v>
      </c>
      <c r="H111" s="6">
        <f t="shared" si="26"/>
        <v>0</v>
      </c>
      <c r="I111" s="6">
        <f t="shared" si="26"/>
        <v>9.0809411222109837E-2</v>
      </c>
      <c r="J111" s="6">
        <f t="shared" si="26"/>
        <v>3.5463413733720639E-3</v>
      </c>
      <c r="K111" s="6">
        <f t="shared" si="26"/>
        <v>5.4421606401744649E-2</v>
      </c>
      <c r="L111" s="6">
        <f t="shared" si="26"/>
        <v>9.8279871286330867E-2</v>
      </c>
      <c r="M111" s="7">
        <f t="shared" si="26"/>
        <v>6.0075002490060925E-2</v>
      </c>
      <c r="N111" s="8">
        <f t="shared" si="27"/>
        <v>0.78326162951775258</v>
      </c>
    </row>
    <row r="112" spans="3:25" x14ac:dyDescent="0.25">
      <c r="C112" s="20" t="s">
        <v>11</v>
      </c>
      <c r="D112" s="25" t="str">
        <f t="shared" si="28"/>
        <v>Agr</v>
      </c>
      <c r="E112" s="5">
        <f t="shared" si="26"/>
        <v>0.18584196624943194</v>
      </c>
      <c r="F112" s="6">
        <f t="shared" si="26"/>
        <v>0.45167282138221232</v>
      </c>
      <c r="G112" s="6">
        <f t="shared" si="26"/>
        <v>3.6523044410310845E-2</v>
      </c>
      <c r="H112" s="6">
        <f t="shared" si="26"/>
        <v>0</v>
      </c>
      <c r="I112" s="6">
        <f t="shared" si="26"/>
        <v>0.11148514619536698</v>
      </c>
      <c r="J112" s="6">
        <f t="shared" si="26"/>
        <v>2.2183428428006469E-3</v>
      </c>
      <c r="K112" s="6">
        <f t="shared" si="26"/>
        <v>0.33504851990558748</v>
      </c>
      <c r="L112" s="6">
        <f t="shared" si="26"/>
        <v>0.17041118059900029</v>
      </c>
      <c r="M112" s="7">
        <f t="shared" si="26"/>
        <v>0.37077702957479097</v>
      </c>
      <c r="N112" s="8">
        <f t="shared" si="27"/>
        <v>1.6639780511595015</v>
      </c>
    </row>
    <row r="113" spans="1:14" x14ac:dyDescent="0.25">
      <c r="C113" s="20" t="s">
        <v>11</v>
      </c>
      <c r="D113" s="25" t="str">
        <f t="shared" si="28"/>
        <v>Ind</v>
      </c>
      <c r="E113" s="5">
        <f t="shared" si="26"/>
        <v>5.9681548780401661E-2</v>
      </c>
      <c r="F113" s="6">
        <f t="shared" si="26"/>
        <v>0.33180491889252828</v>
      </c>
      <c r="G113" s="6">
        <f t="shared" si="26"/>
        <v>1.8417235085637085E-3</v>
      </c>
      <c r="H113" s="6">
        <f t="shared" si="26"/>
        <v>0</v>
      </c>
      <c r="I113" s="6">
        <f t="shared" si="26"/>
        <v>3.5513409011996844E-3</v>
      </c>
      <c r="J113" s="6">
        <f t="shared" si="26"/>
        <v>9.2125685119565093E-4</v>
      </c>
      <c r="K113" s="6">
        <f t="shared" si="26"/>
        <v>0.33980752720849861</v>
      </c>
      <c r="L113" s="6">
        <f t="shared" si="26"/>
        <v>0.16461327029057138</v>
      </c>
      <c r="M113" s="7">
        <f t="shared" si="26"/>
        <v>6.4483113769985279E-2</v>
      </c>
      <c r="N113" s="8">
        <f t="shared" si="27"/>
        <v>0.9667047002029443</v>
      </c>
    </row>
    <row r="114" spans="1:14" x14ac:dyDescent="0.25">
      <c r="C114" s="20" t="s">
        <v>11</v>
      </c>
      <c r="D114" s="25" t="str">
        <f t="shared" si="28"/>
        <v>Serv</v>
      </c>
      <c r="E114" s="9">
        <f t="shared" si="26"/>
        <v>0.43851470162871209</v>
      </c>
      <c r="F114" s="10">
        <f t="shared" si="26"/>
        <v>9.9522609960233765E-2</v>
      </c>
      <c r="G114" s="10">
        <f t="shared" si="26"/>
        <v>1.7302202607310857E-2</v>
      </c>
      <c r="H114" s="10">
        <f t="shared" si="26"/>
        <v>0</v>
      </c>
      <c r="I114" s="10">
        <f t="shared" si="26"/>
        <v>9.9714288440755361E-3</v>
      </c>
      <c r="J114" s="10">
        <f t="shared" si="26"/>
        <v>7.6753292704856424E-4</v>
      </c>
      <c r="K114" s="10">
        <f t="shared" si="26"/>
        <v>0.15083913462909937</v>
      </c>
      <c r="L114" s="10">
        <f t="shared" si="26"/>
        <v>1.2357142659041864E-2</v>
      </c>
      <c r="M114" s="11">
        <f t="shared" si="26"/>
        <v>0.31877996077459159</v>
      </c>
      <c r="N114" s="12">
        <f t="shared" si="27"/>
        <v>1.0480547140301137</v>
      </c>
    </row>
    <row r="115" spans="1:14" x14ac:dyDescent="0.25">
      <c r="C115" s="57"/>
      <c r="D115" s="57"/>
      <c r="N115" s="19">
        <f>+SUM(E106:M114)</f>
        <v>10.336704118813522</v>
      </c>
    </row>
    <row r="116" spans="1:14" x14ac:dyDescent="0.25">
      <c r="A116" s="66"/>
    </row>
    <row r="117" spans="1:14" x14ac:dyDescent="0.25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</row>
    <row r="118" spans="1:14" x14ac:dyDescent="0.25">
      <c r="A118" s="67"/>
      <c r="C118" s="20" t="s">
        <v>1</v>
      </c>
      <c r="D118" s="28" t="s">
        <v>51</v>
      </c>
      <c r="E118" s="53">
        <f t="shared" ref="E118:E126" si="29">+MAX(F60-H47-SUM(E78:M78),0)</f>
        <v>1.0876218487659486</v>
      </c>
      <c r="F118" s="53" cm="1">
        <f t="array" ref="F118">+E118/_xlfn.XLOOKUP(D118,_xlfn.ANCHORARRAY($I$118),$K$118:$K$120,,0)</f>
        <v>0.23993406464800274</v>
      </c>
      <c r="G118" s="53" cm="1">
        <f t="array" ref="G118">+E118/_xlfn.XLOOKUP(D118,_xlfn.ANCHORARRAY($I$118),$J$118:$J$120,,0)</f>
        <v>0.26315789473683865</v>
      </c>
      <c r="I118" s="54" t="str" cm="1">
        <f t="array" ref="I118:I120">+_xlfn.UNIQUE(D118:D126)</f>
        <v>Agr</v>
      </c>
      <c r="J118" s="58">
        <f>+SUMIF($D$118:$D$126,I118,$E$118:$E$126)</f>
        <v>4.1329630253106586</v>
      </c>
      <c r="K118" s="40">
        <f>+SUMIF($D$106:$D$114,I118,$N$106:$N$114)</f>
        <v>4.533003057992425</v>
      </c>
      <c r="L118" s="40">
        <f>+J118/K118</f>
        <v>0.91174944566242233</v>
      </c>
      <c r="M118" s="18"/>
    </row>
    <row r="119" spans="1:14" x14ac:dyDescent="0.25">
      <c r="C119" s="20" t="s">
        <v>1</v>
      </c>
      <c r="D119" s="25" t="s">
        <v>52</v>
      </c>
      <c r="E119" s="8">
        <f t="shared" si="29"/>
        <v>1.134909755234041</v>
      </c>
      <c r="F119" s="8" cm="1">
        <f t="array" ref="F119">+E119/_xlfn.XLOOKUP(D119,_xlfn.ANCHORARRAY($I$118),$K$118:$K$120,,0)</f>
        <v>0.35106391860044101</v>
      </c>
      <c r="G119" s="8" cm="1">
        <f t="array" ref="G119">+E119/_xlfn.XLOOKUP(D119,_xlfn.ANCHORARRAY($I$118),$J$118:$J$120,,0)</f>
        <v>0.38430744595676486</v>
      </c>
      <c r="I119" s="55" t="str">
        <v>Ind</v>
      </c>
      <c r="J119" s="59">
        <f t="shared" ref="J119:J120" si="30">+SUMIF($D$118:$D$126,I119,$E$118:$E$126)</f>
        <v>2.9531297589319152</v>
      </c>
      <c r="K119" s="41">
        <f t="shared" ref="K119:K120" si="31">+SUMIF($D$106:$D$114,I119,$N$106:$N$114)</f>
        <v>3.2327724243451073</v>
      </c>
      <c r="L119" s="41">
        <f t="shared" ref="L119:L120" si="32">+J119/K119</f>
        <v>0.91349757152489885</v>
      </c>
      <c r="M119" s="18"/>
    </row>
    <row r="120" spans="1:14" x14ac:dyDescent="0.25">
      <c r="C120" s="20" t="s">
        <v>1</v>
      </c>
      <c r="D120" s="25" t="s">
        <v>53</v>
      </c>
      <c r="E120" s="8">
        <f t="shared" si="29"/>
        <v>0.71357450860340776</v>
      </c>
      <c r="F120" s="8" cm="1">
        <f t="array" ref="F120">+E120/_xlfn.XLOOKUP(D120,_xlfn.ANCHORARRAY($I$118),$K$118:$K$120,,0)</f>
        <v>0.2775551598279738</v>
      </c>
      <c r="G120" s="8" cm="1">
        <f t="array" ref="G120">+E120/_xlfn.XLOOKUP(D120,_xlfn.ANCHORARRAY($I$118),$J$118:$J$120,,0)</f>
        <v>0.30896805896805946</v>
      </c>
      <c r="I120" s="56" t="str">
        <v>Serv</v>
      </c>
      <c r="J120" s="60">
        <f t="shared" si="30"/>
        <v>2.3095413519012844</v>
      </c>
      <c r="K120" s="42">
        <f t="shared" si="31"/>
        <v>2.5709286364759887</v>
      </c>
      <c r="L120" s="42">
        <f t="shared" si="32"/>
        <v>0.89832962266389793</v>
      </c>
      <c r="M120" s="18"/>
    </row>
    <row r="121" spans="1:14" x14ac:dyDescent="0.25">
      <c r="C121" s="20" t="s">
        <v>10</v>
      </c>
      <c r="D121" s="25" t="str">
        <f>+D118</f>
        <v>Agr</v>
      </c>
      <c r="E121" s="8">
        <f t="shared" si="29"/>
        <v>1.532128169565965</v>
      </c>
      <c r="F121" s="8" cm="1">
        <f t="array" ref="F121">+E121/_xlfn.XLOOKUP(D121,_xlfn.ANCHORARRAY($I$118),$K$118:$K$120,,0)</f>
        <v>0.33799407367806045</v>
      </c>
      <c r="G121" s="8" cm="1">
        <f t="array" ref="G121">+E121/_xlfn.XLOOKUP(D121,_xlfn.ANCHORARRAY($I$118),$J$118:$J$120,,0)</f>
        <v>0.37070938215102978</v>
      </c>
    </row>
    <row r="122" spans="1:14" x14ac:dyDescent="0.25">
      <c r="C122" s="20" t="s">
        <v>10</v>
      </c>
      <c r="D122" s="25" t="str">
        <f t="shared" ref="D122:D126" si="33">+D119</f>
        <v>Ind</v>
      </c>
      <c r="E122" s="8">
        <f t="shared" si="29"/>
        <v>1.0048680124468063</v>
      </c>
      <c r="F122" s="8" cm="1">
        <f t="array" ref="F122">+E122/_xlfn.XLOOKUP(D122,_xlfn.ANCHORARRAY($I$118),$K$118:$K$120,,0)</f>
        <v>0.31083784459414021</v>
      </c>
      <c r="G122" s="8" cm="1">
        <f t="array" ref="G122">+E122/_xlfn.XLOOKUP(D122,_xlfn.ANCHORARRAY($I$118),$J$118:$J$120,,0)</f>
        <v>0.34027221777421862</v>
      </c>
      <c r="I122" s="20" t="s">
        <v>39</v>
      </c>
    </row>
    <row r="123" spans="1:14" x14ac:dyDescent="0.25">
      <c r="C123" s="20" t="s">
        <v>10</v>
      </c>
      <c r="D123" s="25" t="str">
        <f t="shared" si="33"/>
        <v>Serv</v>
      </c>
      <c r="E123" s="8">
        <f t="shared" si="29"/>
        <v>0.74478452687234054</v>
      </c>
      <c r="F123" s="8" cm="1">
        <f t="array" ref="F123">+E123/_xlfn.XLOOKUP(D123,_xlfn.ANCHORARRAY($I$118),$K$118:$K$120,,0)</f>
        <v>0.28969474932343048</v>
      </c>
      <c r="G123" s="8" cm="1">
        <f t="array" ref="G123">+E123/_xlfn.XLOOKUP(D123,_xlfn.ANCHORARRAY($I$118),$J$118:$J$120,,0)</f>
        <v>0.32248157248157144</v>
      </c>
      <c r="I123" s="69">
        <v>1</v>
      </c>
    </row>
    <row r="124" spans="1:14" x14ac:dyDescent="0.25">
      <c r="C124" s="20" t="s">
        <v>11</v>
      </c>
      <c r="D124" s="25" t="str">
        <f t="shared" si="33"/>
        <v>Agr</v>
      </c>
      <c r="E124" s="8">
        <f t="shared" si="29"/>
        <v>1.5132130069787451</v>
      </c>
      <c r="F124" s="8" cm="1">
        <f t="array" ref="F124">+E124/_xlfn.XLOOKUP(D124,_xlfn.ANCHORARRAY($I$118),$K$118:$K$120,,0)</f>
        <v>0.33382130733635912</v>
      </c>
      <c r="G124" s="8" cm="1">
        <f t="array" ref="G124">+E124/_xlfn.XLOOKUP(D124,_xlfn.ANCHORARRAY($I$118),$J$118:$J$120,,0)</f>
        <v>0.36613272311213158</v>
      </c>
    </row>
    <row r="125" spans="1:14" x14ac:dyDescent="0.25">
      <c r="C125" s="20" t="s">
        <v>11</v>
      </c>
      <c r="D125" s="25" t="str">
        <f t="shared" si="33"/>
        <v>Ind</v>
      </c>
      <c r="E125" s="8">
        <f t="shared" si="29"/>
        <v>0.81335199125106783</v>
      </c>
      <c r="F125" s="8" cm="1">
        <f t="array" ref="F125">+E125/_xlfn.XLOOKUP(D125,_xlfn.ANCHORARRAY($I$118),$K$118:$K$120,,0)</f>
        <v>0.25159580833031764</v>
      </c>
      <c r="G125" s="8" cm="1">
        <f t="array" ref="G125">+E125/_xlfn.XLOOKUP(D125,_xlfn.ANCHORARRAY($I$118),$J$118:$J$120,,0)</f>
        <v>0.27542033626901652</v>
      </c>
    </row>
    <row r="126" spans="1:14" x14ac:dyDescent="0.25">
      <c r="C126" s="20" t="s">
        <v>11</v>
      </c>
      <c r="D126" s="25" t="str">
        <f t="shared" si="33"/>
        <v>Serv</v>
      </c>
      <c r="E126" s="12">
        <f t="shared" si="29"/>
        <v>0.8511823164255361</v>
      </c>
      <c r="F126" s="12" cm="1">
        <f t="array" ref="F126">+E126/_xlfn.XLOOKUP(D126,_xlfn.ANCHORARRAY($I$118),$K$118:$K$120,,0)</f>
        <v>0.3310797135124936</v>
      </c>
      <c r="G126" s="12" cm="1">
        <f t="array" ref="G126">+E126/_xlfn.XLOOKUP(D126,_xlfn.ANCHORARRAY($I$118),$J$118:$J$120,,0)</f>
        <v>0.3685503685503691</v>
      </c>
    </row>
    <row r="127" spans="1:14" x14ac:dyDescent="0.25">
      <c r="E127" s="19">
        <f>SUM(E118:E126)</f>
        <v>9.3956341361438582</v>
      </c>
      <c r="G127" s="19">
        <f>SUM(G118:G126)</f>
        <v>3</v>
      </c>
    </row>
    <row r="128" spans="1:14" x14ac:dyDescent="0.25">
      <c r="A128" s="64"/>
      <c r="E128" s="19"/>
      <c r="G128" s="19"/>
    </row>
    <row r="129" spans="1:24" ht="15.75" thickBot="1" x14ac:dyDescent="0.3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</row>
    <row r="130" spans="1:24" ht="15.75" thickBot="1" x14ac:dyDescent="0.3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</row>
    <row r="131" spans="1:24" x14ac:dyDescent="0.25">
      <c r="D131" s="28" t="str" cm="1">
        <f t="array" ref="D131:D133">+_xlfn.UNIQUE(D118:D126)</f>
        <v>Agr</v>
      </c>
      <c r="E131" s="1">
        <f t="shared" ref="E131:M133" si="34">+SUMIF($D$106:$D$114,$D131,E$106:E$114)</f>
        <v>1.0104617611204518</v>
      </c>
      <c r="F131" s="2">
        <f t="shared" si="34"/>
        <v>0.91860160101859645</v>
      </c>
      <c r="G131" s="2">
        <f t="shared" si="34"/>
        <v>9.7067565748603979E-2</v>
      </c>
      <c r="H131" s="2">
        <f t="shared" si="34"/>
        <v>0</v>
      </c>
      <c r="I131" s="2">
        <f t="shared" si="34"/>
        <v>0.22680759673926176</v>
      </c>
      <c r="J131" s="2">
        <f t="shared" si="34"/>
        <v>3.216307283087283E-2</v>
      </c>
      <c r="K131" s="2">
        <f t="shared" si="34"/>
        <v>0.918601601018596</v>
      </c>
      <c r="L131" s="2">
        <f t="shared" si="34"/>
        <v>0.4566283385483727</v>
      </c>
      <c r="M131" s="3">
        <f t="shared" si="34"/>
        <v>0.87267152096766942</v>
      </c>
    </row>
    <row r="132" spans="1:24" x14ac:dyDescent="0.25">
      <c r="D132" s="25" t="str">
        <v>Ind</v>
      </c>
      <c r="E132" s="5">
        <f t="shared" si="34"/>
        <v>0.59778962708312622</v>
      </c>
      <c r="F132" s="6">
        <f t="shared" si="34"/>
        <v>0.59778962708313044</v>
      </c>
      <c r="G132" s="6">
        <f t="shared" si="34"/>
        <v>5.2926995783982411E-2</v>
      </c>
      <c r="H132" s="6">
        <f t="shared" si="34"/>
        <v>0</v>
      </c>
      <c r="I132" s="6">
        <f t="shared" si="34"/>
        <v>0.10205321494982311</v>
      </c>
      <c r="J132" s="6">
        <f t="shared" si="34"/>
        <v>2.6475263489180112E-2</v>
      </c>
      <c r="K132" s="6">
        <f t="shared" si="34"/>
        <v>0.8277087144227937</v>
      </c>
      <c r="L132" s="6">
        <f t="shared" si="34"/>
        <v>0.29228790204614086</v>
      </c>
      <c r="M132" s="7">
        <f t="shared" si="34"/>
        <v>0.73574107948693057</v>
      </c>
    </row>
    <row r="133" spans="1:24" x14ac:dyDescent="0.25">
      <c r="D133" s="25" t="str">
        <v>Serv</v>
      </c>
      <c r="E133" s="9">
        <f t="shared" si="34"/>
        <v>0.71923258090518472</v>
      </c>
      <c r="F133" s="10">
        <f t="shared" si="34"/>
        <v>0.3146642541460194</v>
      </c>
      <c r="G133" s="10">
        <f t="shared" si="34"/>
        <v>3.4494205550266055E-2</v>
      </c>
      <c r="H133" s="10">
        <f t="shared" si="34"/>
        <v>0</v>
      </c>
      <c r="I133" s="10">
        <f t="shared" si="34"/>
        <v>0.1441069820135561</v>
      </c>
      <c r="J133" s="10">
        <f t="shared" si="34"/>
        <v>1.1092377576230716E-2</v>
      </c>
      <c r="K133" s="10">
        <f t="shared" si="34"/>
        <v>0.49447239937231591</v>
      </c>
      <c r="L133" s="10">
        <f t="shared" si="34"/>
        <v>0.17858529231380005</v>
      </c>
      <c r="M133" s="11">
        <f t="shared" si="34"/>
        <v>0.67428054459861553</v>
      </c>
      <c r="O133" s="19"/>
    </row>
    <row r="135" spans="1:24" ht="15.75" thickBot="1" x14ac:dyDescent="0.3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</row>
    <row r="136" spans="1:24" ht="15.75" thickBot="1" x14ac:dyDescent="0.3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</row>
    <row r="137" spans="1:24" x14ac:dyDescent="0.25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0.24244419751700919</v>
      </c>
      <c r="F137" s="2" cm="1">
        <f t="array" ref="F137">+$I$123*$G118*_xlfn.XLOOKUP($D137,_xlfn.ANCHORARRAY($I$118),$L$118:$L$120,,0)*_xlfn.XLOOKUP($D137,$D$131:$D$133,F$131:F$133,,0)</f>
        <v>0.22040381592455474</v>
      </c>
      <c r="G137" s="2" cm="1">
        <f t="array" ref="G137">+$I$123*$G118*_xlfn.XLOOKUP($D137,_xlfn.ANCHORARRAY($I$118),$L$118:$L$120,,0)*_xlfn.XLOOKUP($D137,$D$131:$D$133,G$131:G$133,,0)</f>
        <v>2.3289815595549802E-2</v>
      </c>
      <c r="H137" s="2" cm="1">
        <f t="array" ref="H137">+$I$123*$G118*_xlfn.XLOOKUP($D137,_xlfn.ANCHORARRAY($I$118),$L$118:$L$120,,0)*_xlfn.XLOOKUP($D137,$D$131:$D$133,H$131:H$133,,0)</f>
        <v>0</v>
      </c>
      <c r="I137" s="2" cm="1">
        <f t="array" ref="I137">+$I$123*$G118*_xlfn.XLOOKUP($D137,_xlfn.ANCHORARRAY($I$118),$L$118:$L$120,,0)*_xlfn.XLOOKUP($D137,$D$131:$D$133,I$131:I$133,,0)</f>
        <v>5.441886857869617E-2</v>
      </c>
      <c r="J137" s="2" cm="1">
        <f t="array" ref="J137">+$I$123*$G118*_xlfn.XLOOKUP($D137,_xlfn.ANCHORARRAY($I$118),$L$118:$L$120,,0)*_xlfn.XLOOKUP($D137,$D$131:$D$133,J$131:J$133,,0)</f>
        <v>7.7170167958810617E-3</v>
      </c>
      <c r="K137" s="2" cm="1">
        <f t="array" ref="K137">+$I$123*$G118*_xlfn.XLOOKUP($D137,_xlfn.ANCHORARRAY($I$118),$L$118:$L$120,,0)*_xlfn.XLOOKUP($D137,$D$131:$D$133,K$131:K$133,,0)</f>
        <v>0.22040381592455463</v>
      </c>
      <c r="L137" s="2" cm="1">
        <f t="array" ref="L137">+$I$123*$G118*_xlfn.XLOOKUP($D137,_xlfn.ANCHORARRAY($I$118),$L$118:$L$120,,0)*_xlfn.XLOOKUP($D137,$D$131:$D$133,L$131:L$133,,0)</f>
        <v>0.10956069330137534</v>
      </c>
      <c r="M137" s="3" cm="1">
        <f t="array" ref="M137">+$I$123*$G118*_xlfn.XLOOKUP($D137,_xlfn.ANCHORARRAY($I$118),$L$118:$L$120,,0)*_xlfn.XLOOKUP($D137,$D$131:$D$133,M$131:M$133,,0)</f>
        <v>0.20938362512832767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x14ac:dyDescent="0.25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0.2098623689824986</v>
      </c>
      <c r="F138" s="6" cm="1">
        <f t="array" ref="F138">+$I$123*$G119*_xlfn.XLOOKUP($D138,_xlfn.ANCHORARRAY($I$118),$L$118:$L$120,,0)*_xlfn.XLOOKUP($D138,$D$131:$D$133,F$131:F$133,,0)</f>
        <v>0.20986236898250007</v>
      </c>
      <c r="G138" s="6" cm="1">
        <f t="array" ref="G138">+$I$123*$G119*_xlfn.XLOOKUP($D138,_xlfn.ANCHORARRAY($I$118),$L$118:$L$120,,0)*_xlfn.XLOOKUP($D138,$D$131:$D$133,G$131:G$133,,0)</f>
        <v>1.8580758539673885E-2</v>
      </c>
      <c r="H138" s="6" cm="1">
        <f t="array" ref="H138">+$I$123*$G119*_xlfn.XLOOKUP($D138,_xlfn.ANCHORARRAY($I$118),$L$118:$L$120,,0)*_xlfn.XLOOKUP($D138,$D$131:$D$133,H$131:H$133,,0)</f>
        <v>0</v>
      </c>
      <c r="I138" s="6" cm="1">
        <f t="array" ref="I138">+$I$123*$G119*_xlfn.XLOOKUP($D138,_xlfn.ANCHORARRAY($I$118),$L$118:$L$120,,0)*_xlfn.XLOOKUP($D138,$D$131:$D$133,I$131:I$133,,0)</f>
        <v>3.5827201546058007E-2</v>
      </c>
      <c r="J138" s="6" cm="1">
        <f t="array" ref="J138">+$I$123*$G119*_xlfn.XLOOKUP($D138,_xlfn.ANCHORARRAY($I$118),$L$118:$L$120,,0)*_xlfn.XLOOKUP($D138,$D$131:$D$133,J$131:J$133,,0)</f>
        <v>9.294509746490754E-3</v>
      </c>
      <c r="K138" s="6" cm="1">
        <f t="array" ref="K138">+$I$123*$G119*_xlfn.XLOOKUP($D138,_xlfn.ANCHORARRAY($I$118),$L$118:$L$120,,0)*_xlfn.XLOOKUP($D138,$D$131:$D$133,K$131:K$133,,0)</f>
        <v>0.29057866474499933</v>
      </c>
      <c r="L138" s="6" cm="1">
        <f t="array" ref="L138">+$I$123*$G119*_xlfn.XLOOKUP($D138,_xlfn.ANCHORARRAY($I$118),$L$118:$L$120,,0)*_xlfn.XLOOKUP($D138,$D$131:$D$133,L$131:L$133,,0)</f>
        <v>0.10261173625182007</v>
      </c>
      <c r="M138" s="7" cm="1">
        <f t="array" ref="M138">+$I$123*$G119*_xlfn.XLOOKUP($D138,_xlfn.ANCHORARRAY($I$118),$L$118:$L$120,,0)*_xlfn.XLOOKUP($D138,$D$131:$D$133,M$131:M$133,,0)</f>
        <v>0.25829214644000037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1:24" x14ac:dyDescent="0.25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0.19962671394662465</v>
      </c>
      <c r="F139" s="6" cm="1">
        <f t="array" ref="F139">+$I$123*$G120*_xlfn.XLOOKUP($D139,_xlfn.ANCHORARRAY($I$118),$L$118:$L$120,,0)*_xlfn.XLOOKUP($D139,$D$131:$D$133,F$131:F$133,,0)</f>
        <v>8.7336687351648581E-2</v>
      </c>
      <c r="G139" s="6" cm="1">
        <f t="array" ref="G139">+$I$123*$G120*_xlfn.XLOOKUP($D139,_xlfn.ANCHORARRAY($I$118),$L$118:$L$120,,0)*_xlfn.XLOOKUP($D139,$D$131:$D$133,G$131:G$133,,0)</f>
        <v>9.5740447346430758E-3</v>
      </c>
      <c r="H139" s="6" cm="1">
        <f t="array" ref="H139">+$I$123*$G120*_xlfn.XLOOKUP($D139,_xlfn.ANCHORARRAY($I$118),$L$118:$L$120,,0)*_xlfn.XLOOKUP($D139,$D$131:$D$133,H$131:H$133,,0)</f>
        <v>0</v>
      </c>
      <c r="I139" s="6" cm="1">
        <f t="array" ref="I139">+$I$123*$G120*_xlfn.XLOOKUP($D139,_xlfn.ANCHORARRAY($I$118),$L$118:$L$120,,0)*_xlfn.XLOOKUP($D139,$D$131:$D$133,I$131:I$133,,0)</f>
        <v>3.9997636425099507E-2</v>
      </c>
      <c r="J139" s="6" cm="1">
        <f t="array" ref="J139">+$I$123*$G120*_xlfn.XLOOKUP($D139,_xlfn.ANCHORARRAY($I$118),$L$118:$L$120,,0)*_xlfn.XLOOKUP($D139,$D$131:$D$133,J$131:J$133,,0)</f>
        <v>3.0787466310429491E-3</v>
      </c>
      <c r="K139" s="6" cm="1">
        <f t="array" ref="K139">+$I$123*$G120*_xlfn.XLOOKUP($D139,_xlfn.ANCHORARRAY($I$118),$L$118:$L$120,,0)*_xlfn.XLOOKUP($D139,$D$131:$D$133,K$131:K$133,,0)</f>
        <v>0.13724336583830482</v>
      </c>
      <c r="L139" s="6" cm="1">
        <f t="array" ref="L139">+$I$123*$G120*_xlfn.XLOOKUP($D139,_xlfn.ANCHORARRAY($I$118),$L$118:$L$120,,0)*_xlfn.XLOOKUP($D139,$D$131:$D$133,L$131:L$133,,0)</f>
        <v>4.9567269351082195E-2</v>
      </c>
      <c r="M139" s="7" cm="1">
        <f t="array" ref="M139">+$I$123*$G120*_xlfn.XLOOKUP($D139,_xlfn.ANCHORARRAY($I$118),$L$118:$L$120,,0)*_xlfn.XLOOKUP($D139,$D$131:$D$133,M$131:M$133,,0)</f>
        <v>0.18715004432496193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x14ac:dyDescent="0.25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0.34153008693700876</v>
      </c>
      <c r="F140" s="6" cm="1">
        <f t="array" ref="F140">+$I$123*$G121*_xlfn.XLOOKUP($D140,_xlfn.ANCHORARRAY($I$118),$L$118:$L$120,,0)*_xlfn.XLOOKUP($D140,$D$131:$D$133,F$131:F$133,,0)</f>
        <v>0.31048189721546382</v>
      </c>
      <c r="G140" s="6" cm="1">
        <f t="array" ref="G140">+$I$123*$G121*_xlfn.XLOOKUP($D140,_xlfn.ANCHORARRAY($I$118),$L$118:$L$120,,0)*_xlfn.XLOOKUP($D140,$D$131:$D$133,G$131:G$133,,0)</f>
        <v>3.2808261969383634E-2</v>
      </c>
      <c r="H140" s="6" cm="1">
        <f t="array" ref="H140">+$I$123*$G121*_xlfn.XLOOKUP($D140,_xlfn.ANCHORARRAY($I$118),$L$118:$L$120,,0)*_xlfn.XLOOKUP($D140,$D$131:$D$133,H$131:H$133,,0)</f>
        <v>0</v>
      </c>
      <c r="I140" s="6" cm="1">
        <f t="array" ref="I140">+$I$123*$G121*_xlfn.XLOOKUP($D140,_xlfn.ANCHORARRAY($I$118),$L$118:$L$120,,0)*_xlfn.XLOOKUP($D140,$D$131:$D$133,I$131:I$133,,0)</f>
        <v>7.665962356303388E-2</v>
      </c>
      <c r="J140" s="6" cm="1">
        <f t="array" ref="J140">+$I$123*$G121*_xlfn.XLOOKUP($D140,_xlfn.ANCHORARRAY($I$118),$L$118:$L$120,,0)*_xlfn.XLOOKUP($D140,$D$131:$D$133,J$131:J$133,,0)</f>
        <v>1.0870928008110858E-2</v>
      </c>
      <c r="K140" s="6" cm="1">
        <f t="array" ref="K140">+$I$123*$G121*_xlfn.XLOOKUP($D140,_xlfn.ANCHORARRAY($I$118),$L$118:$L$120,,0)*_xlfn.XLOOKUP($D140,$D$131:$D$133,K$131:K$133,,0)</f>
        <v>0.31048189721546365</v>
      </c>
      <c r="L140" s="6" cm="1">
        <f t="array" ref="L140">+$I$123*$G121*_xlfn.XLOOKUP($D140,_xlfn.ANCHORARRAY($I$118),$L$118:$L$120,,0)*_xlfn.XLOOKUP($D140,$D$131:$D$133,L$131:L$133,,0)</f>
        <v>0.15433767230280904</v>
      </c>
      <c r="M140" s="7" cm="1">
        <f t="array" ref="M140">+$I$123*$G121*_xlfn.XLOOKUP($D140,_xlfn.ANCHORARRAY($I$118),$L$118:$L$120,,0)*_xlfn.XLOOKUP($D140,$D$131:$D$133,M$131:M$133,,0)</f>
        <v>0.2949578023546916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spans="1:24" x14ac:dyDescent="0.25">
      <c r="C141" s="20" t="s">
        <v>10</v>
      </c>
      <c r="D141" s="25" t="str">
        <f t="shared" ref="D141:D145" si="35">+D138</f>
        <v>Ind</v>
      </c>
      <c r="E141" s="5" cm="1">
        <f t="array" ref="E141">+$I$123*$G122*_xlfn.XLOOKUP($D141,_xlfn.ANCHORARRAY($I$118),$L$118:$L$120,,0)*_xlfn.XLOOKUP($D141,$D$131:$D$133,E$131:E$133,,0)</f>
        <v>0.18581563920325381</v>
      </c>
      <c r="F141" s="6" cm="1">
        <f t="array" ref="F141">+$I$123*$G122*_xlfn.XLOOKUP($D141,_xlfn.ANCHORARRAY($I$118),$L$118:$L$120,,0)*_xlfn.XLOOKUP($D141,$D$131:$D$133,F$131:F$133,,0)</f>
        <v>0.18581563920325514</v>
      </c>
      <c r="G141" s="6" cm="1">
        <f t="array" ref="G141">+$I$123*$G122*_xlfn.XLOOKUP($D141,_xlfn.ANCHORARRAY($I$118),$L$118:$L$120,,0)*_xlfn.XLOOKUP($D141,$D$131:$D$133,G$131:G$133,,0)</f>
        <v>1.6451713290336237E-2</v>
      </c>
      <c r="H141" s="6" cm="1">
        <f t="array" ref="H141">+$I$123*$G122*_xlfn.XLOOKUP($D141,_xlfn.ANCHORARRAY($I$118),$L$118:$L$120,,0)*_xlfn.XLOOKUP($D141,$D$131:$D$133,H$131:H$133,,0)</f>
        <v>0</v>
      </c>
      <c r="I141" s="6" cm="1">
        <f t="array" ref="I141">+$I$123*$G122*_xlfn.XLOOKUP($D141,_xlfn.ANCHORARRAY($I$118),$L$118:$L$120,,0)*_xlfn.XLOOKUP($D141,$D$131:$D$133,I$131:I$133,,0)</f>
        <v>3.1722001368905503E-2</v>
      </c>
      <c r="J141" s="6" cm="1">
        <f t="array" ref="J141">+$I$123*$G122*_xlfn.XLOOKUP($D141,_xlfn.ANCHORARRAY($I$118),$L$118:$L$120,,0)*_xlfn.XLOOKUP($D141,$D$131:$D$133,J$131:J$133,,0)</f>
        <v>8.2295138380386827E-3</v>
      </c>
      <c r="K141" s="6" cm="1">
        <f t="array" ref="K141">+$I$123*$G122*_xlfn.XLOOKUP($D141,_xlfn.ANCHORARRAY($I$118),$L$118:$L$120,,0)*_xlfn.XLOOKUP($D141,$D$131:$D$133,K$131:K$133,,0)</f>
        <v>0.2572831927429679</v>
      </c>
      <c r="L141" s="6" cm="1">
        <f t="array" ref="L141">+$I$123*$G122*_xlfn.XLOOKUP($D141,_xlfn.ANCHORARRAY($I$118),$L$118:$L$120,,0)*_xlfn.XLOOKUP($D141,$D$131:$D$133,L$131:L$133,,0)</f>
        <v>9.085414147296561E-2</v>
      </c>
      <c r="M141" s="7" cm="1">
        <f t="array" ref="M141">+$I$123*$G122*_xlfn.XLOOKUP($D141,_xlfn.ANCHORARRAY($I$118),$L$118:$L$120,,0)*_xlfn.XLOOKUP($D141,$D$131:$D$133,M$131:M$133,,0)</f>
        <v>0.22869617132708348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spans="1:24" x14ac:dyDescent="0.25">
      <c r="C142" s="20" t="s">
        <v>10</v>
      </c>
      <c r="D142" s="25" t="str">
        <f t="shared" si="35"/>
        <v>Serv</v>
      </c>
      <c r="E142" s="5" cm="1">
        <f t="array" ref="E142">+$I$123*$G123*_xlfn.XLOOKUP($D142,_xlfn.ANCHORARRAY($I$118),$L$118:$L$120,,0)*_xlfn.XLOOKUP($D142,$D$131:$D$133,E$131:E$133,,0)</f>
        <v>0.20835790223057146</v>
      </c>
      <c r="F142" s="6" cm="1">
        <f t="array" ref="F142">+$I$123*$G123*_xlfn.XLOOKUP($D142,_xlfn.ANCHORARRAY($I$118),$L$118:$L$120,,0)*_xlfn.XLOOKUP($D142,$D$131:$D$133,F$131:F$133,,0)</f>
        <v>9.1156582225875332E-2</v>
      </c>
      <c r="G142" s="6" cm="1">
        <f t="array" ref="G142">+$I$123*$G123*_xlfn.XLOOKUP($D142,_xlfn.ANCHORARRAY($I$118),$L$118:$L$120,,0)*_xlfn.XLOOKUP($D142,$D$131:$D$133,G$131:G$133,,0)</f>
        <v>9.9927902299952118E-3</v>
      </c>
      <c r="H142" s="6" cm="1">
        <f t="array" ref="H142">+$I$123*$G123*_xlfn.XLOOKUP($D142,_xlfn.ANCHORARRAY($I$118),$L$118:$L$120,,0)*_xlfn.XLOOKUP($D142,$D$131:$D$133,H$131:H$133,,0)</f>
        <v>0</v>
      </c>
      <c r="I142" s="6" cm="1">
        <f t="array" ref="I142">+$I$123*$G123*_xlfn.XLOOKUP($D142,_xlfn.ANCHORARRAY($I$118),$L$118:$L$120,,0)*_xlfn.XLOOKUP($D142,$D$131:$D$133,I$131:I$133,,0)</f>
        <v>4.1747036030173247E-2</v>
      </c>
      <c r="J142" s="6" cm="1">
        <f t="array" ref="J142">+$I$123*$G123*_xlfn.XLOOKUP($D142,_xlfn.ANCHORARRAY($I$118),$L$118:$L$120,,0)*_xlfn.XLOOKUP($D142,$D$131:$D$133,J$131:J$133,,0)</f>
        <v>3.2134035413469994E-3</v>
      </c>
      <c r="K142" s="6" cm="1">
        <f t="array" ref="K142">+$I$123*$G123*_xlfn.XLOOKUP($D142,_xlfn.ANCHORARRAY($I$118),$L$118:$L$120,,0)*_xlfn.XLOOKUP($D142,$D$131:$D$133,K$131:K$133,,0)</f>
        <v>0.14324605778351829</v>
      </c>
      <c r="L142" s="6" cm="1">
        <f t="array" ref="L142">+$I$123*$G123*_xlfn.XLOOKUP($D142,_xlfn.ANCHORARRAY($I$118),$L$118:$L$120,,0)*_xlfn.XLOOKUP($D142,$D$131:$D$133,L$131:L$133,,0)</f>
        <v>5.173522148969787E-2</v>
      </c>
      <c r="M142" s="7" cm="1">
        <f t="array" ref="M142">+$I$123*$G123*_xlfn.XLOOKUP($D142,_xlfn.ANCHORARRAY($I$118),$L$118:$L$120,,0)*_xlfn.XLOOKUP($D142,$D$131:$D$133,M$131:M$133,,0)</f>
        <v>0.19533553334116216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1:24" x14ac:dyDescent="0.25">
      <c r="C143" s="20" t="s">
        <v>11</v>
      </c>
      <c r="D143" s="25" t="str">
        <f t="shared" si="35"/>
        <v>Agr</v>
      </c>
      <c r="E143" s="5" cm="1">
        <f t="array" ref="E143">+$I$123*$G124*_xlfn.XLOOKUP($D143,_xlfn.ANCHORARRAY($I$118),$L$118:$L$120,,0)*_xlfn.XLOOKUP($D143,$D$131:$D$133,E$131:E$133,,0)</f>
        <v>0.33731366611062902</v>
      </c>
      <c r="F143" s="6" cm="1">
        <f t="array" ref="F143">+$I$123*$G124*_xlfn.XLOOKUP($D143,_xlfn.ANCHORARRAY($I$118),$L$118:$L$120,,0)*_xlfn.XLOOKUP($D143,$D$131:$D$133,F$131:F$133,,0)</f>
        <v>0.30664878737330042</v>
      </c>
      <c r="G143" s="6" cm="1">
        <f t="array" ref="G143">+$I$123*$G124*_xlfn.XLOOKUP($D143,_xlfn.ANCHORARRAY($I$118),$L$118:$L$120,,0)*_xlfn.XLOOKUP($D143,$D$131:$D$133,G$131:G$133,,0)</f>
        <v>3.2403221698156973E-2</v>
      </c>
      <c r="H143" s="6" cm="1">
        <f t="array" ref="H143">+$I$123*$G124*_xlfn.XLOOKUP($D143,_xlfn.ANCHORARRAY($I$118),$L$118:$L$120,,0)*_xlfn.XLOOKUP($D143,$D$131:$D$133,H$131:H$133,,0)</f>
        <v>0</v>
      </c>
      <c r="I143" s="6" cm="1">
        <f t="array" ref="I143">+$I$123*$G124*_xlfn.XLOOKUP($D143,_xlfn.ANCHORARRAY($I$118),$L$118:$L$120,,0)*_xlfn.XLOOKUP($D143,$D$131:$D$133,I$131:I$133,,0)</f>
        <v>7.5713208457318104E-2</v>
      </c>
      <c r="J143" s="6" cm="1">
        <f t="array" ref="J143">+$I$123*$G124*_xlfn.XLOOKUP($D143,_xlfn.ANCHORARRAY($I$118),$L$118:$L$120,,0)*_xlfn.XLOOKUP($D143,$D$131:$D$133,J$131:J$133,,0)</f>
        <v>1.0736719020356502E-2</v>
      </c>
      <c r="K143" s="6" cm="1">
        <f t="array" ref="K143">+$I$123*$G124*_xlfn.XLOOKUP($D143,_xlfn.ANCHORARRAY($I$118),$L$118:$L$120,,0)*_xlfn.XLOOKUP($D143,$D$131:$D$133,K$131:K$133,,0)</f>
        <v>0.30664878737330026</v>
      </c>
      <c r="L143" s="6" cm="1">
        <f t="array" ref="L143">+$I$123*$G124*_xlfn.XLOOKUP($D143,_xlfn.ANCHORARRAY($I$118),$L$118:$L$120,,0)*_xlfn.XLOOKUP($D143,$D$131:$D$133,L$131:L$133,,0)</f>
        <v>0.15243226894104736</v>
      </c>
      <c r="M143" s="7" cm="1">
        <f t="array" ref="M143">+$I$123*$G124*_xlfn.XLOOKUP($D143,_xlfn.ANCHORARRAY($I$118),$L$118:$L$120,,0)*_xlfn.XLOOKUP($D143,$D$131:$D$133,M$131:M$133,,0)</f>
        <v>0.29131634800463635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spans="1:24" x14ac:dyDescent="0.25">
      <c r="C144" s="20" t="s">
        <v>11</v>
      </c>
      <c r="D144" s="25" t="str">
        <f t="shared" si="35"/>
        <v>Ind</v>
      </c>
      <c r="E144" s="5" cm="1">
        <f t="array" ref="E144">+$I$123*$G125*_xlfn.XLOOKUP($D144,_xlfn.ANCHORARRAY($I$118),$L$118:$L$120,,0)*_xlfn.XLOOKUP($D144,$D$131:$D$133,E$131:E$133,,0)</f>
        <v>0.15040136443745827</v>
      </c>
      <c r="F144" s="6" cm="1">
        <f t="array" ref="F144">+$I$123*$G125*_xlfn.XLOOKUP($D144,_xlfn.ANCHORARRAY($I$118),$L$118:$L$120,,0)*_xlfn.XLOOKUP($D144,$D$131:$D$133,F$131:F$133,,0)</f>
        <v>0.15040136443745936</v>
      </c>
      <c r="G144" s="6" cm="1">
        <f t="array" ref="G144">+$I$123*$G125*_xlfn.XLOOKUP($D144,_xlfn.ANCHORARRAY($I$118),$L$118:$L$120,,0)*_xlfn.XLOOKUP($D144,$D$131:$D$133,G$131:G$133,,0)</f>
        <v>1.3316210286766368E-2</v>
      </c>
      <c r="H144" s="6" cm="1">
        <f t="array" ref="H144">+$I$123*$G125*_xlfn.XLOOKUP($D144,_xlfn.ANCHORARRAY($I$118),$L$118:$L$120,,0)*_xlfn.XLOOKUP($D144,$D$131:$D$133,H$131:H$133,,0)</f>
        <v>0</v>
      </c>
      <c r="I144" s="6" cm="1">
        <f t="array" ref="I144">+$I$123*$G125*_xlfn.XLOOKUP($D144,_xlfn.ANCHORARRAY($I$118),$L$118:$L$120,,0)*_xlfn.XLOOKUP($D144,$D$131:$D$133,I$131:I$133,,0)</f>
        <v>2.5676161108008404E-2</v>
      </c>
      <c r="J144" s="6" cm="1">
        <f t="array" ref="J144">+$I$123*$G125*_xlfn.XLOOKUP($D144,_xlfn.ANCHORARRAY($I$118),$L$118:$L$120,,0)*_xlfn.XLOOKUP($D144,$D$131:$D$133,J$131:J$133,,0)</f>
        <v>6.6610653183184158E-3</v>
      </c>
      <c r="K144" s="6" cm="1">
        <f t="array" ref="K144">+$I$123*$G125*_xlfn.XLOOKUP($D144,_xlfn.ANCHORARRAY($I$118),$L$118:$L$120,,0)*_xlfn.XLOOKUP($D144,$D$131:$D$133,K$131:K$133,,0)</f>
        <v>0.20824804306725081</v>
      </c>
      <c r="L144" s="6" cm="1">
        <f t="array" ref="L144">+$I$123*$G125*_xlfn.XLOOKUP($D144,_xlfn.ANCHORARRAY($I$118),$L$118:$L$120,,0)*_xlfn.XLOOKUP($D144,$D$131:$D$133,L$131:L$133,,0)</f>
        <v>7.3538410980471508E-2</v>
      </c>
      <c r="M144" s="7" cm="1">
        <f t="array" ref="M144">+$I$123*$G125*_xlfn.XLOOKUP($D144,_xlfn.ANCHORARRAY($I$118),$L$118:$L$120,,0)*_xlfn.XLOOKUP($D144,$D$131:$D$133,M$131:M$133,,0)</f>
        <v>0.18510937161533478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3:24" x14ac:dyDescent="0.25">
      <c r="C145" s="20" t="s">
        <v>11</v>
      </c>
      <c r="D145" s="25" t="str">
        <f t="shared" si="35"/>
        <v>Serv</v>
      </c>
      <c r="E145" s="9" cm="1">
        <f t="array" ref="E145">+$I$123*$G126*_xlfn.XLOOKUP($D145,_xlfn.ANCHORARRAY($I$118),$L$118:$L$120,,0)*_xlfn.XLOOKUP($D145,$D$131:$D$133,E$131:E$133,,0)</f>
        <v>0.23812331683493992</v>
      </c>
      <c r="F145" s="10" cm="1">
        <f t="array" ref="F145">+$I$123*$G126*_xlfn.XLOOKUP($D145,_xlfn.ANCHORARRAY($I$118),$L$118:$L$120,,0)*_xlfn.XLOOKUP($D145,$D$131:$D$133,F$131:F$133,,0)</f>
        <v>0.10417895111528658</v>
      </c>
      <c r="G145" s="10" cm="1">
        <f t="array" ref="G145">+$I$123*$G126*_xlfn.XLOOKUP($D145,_xlfn.ANCHORARRAY($I$118),$L$118:$L$120,,0)*_xlfn.XLOOKUP($D145,$D$131:$D$133,G$131:G$133,,0)</f>
        <v>1.1420331691423152E-2</v>
      </c>
      <c r="H145" s="10" cm="1">
        <f t="array" ref="H145">+$I$123*$G126*_xlfn.XLOOKUP($D145,_xlfn.ANCHORARRAY($I$118),$L$118:$L$120,,0)*_xlfn.XLOOKUP($D145,$D$131:$D$133,H$131:H$133,,0)</f>
        <v>0</v>
      </c>
      <c r="I145" s="10" cm="1">
        <f t="array" ref="I145">+$I$123*$G126*_xlfn.XLOOKUP($D145,_xlfn.ANCHORARRAY($I$118),$L$118:$L$120,,0)*_xlfn.XLOOKUP($D145,$D$131:$D$133,I$131:I$133,,0)</f>
        <v>4.7710898320198224E-2</v>
      </c>
      <c r="J145" s="10" cm="1">
        <f t="array" ref="J145">+$I$123*$G126*_xlfn.XLOOKUP($D145,_xlfn.ANCHORARRAY($I$118),$L$118:$L$120,,0)*_xlfn.XLOOKUP($D145,$D$131:$D$133,J$131:J$133,,0)</f>
        <v>3.6724611901108738E-3</v>
      </c>
      <c r="K145" s="10" cm="1">
        <f t="array" ref="K145">+$I$123*$G126*_xlfn.XLOOKUP($D145,_xlfn.ANCHORARRAY($I$118),$L$118:$L$120,,0)*_xlfn.XLOOKUP($D145,$D$131:$D$133,K$131:K$133,,0)</f>
        <v>0.16370978032402167</v>
      </c>
      <c r="L145" s="10" cm="1">
        <f t="array" ref="L145">+$I$123*$G126*_xlfn.XLOOKUP($D145,_xlfn.ANCHORARRAY($I$118),$L$118:$L$120,,0)*_xlfn.XLOOKUP($D145,$D$131:$D$133,L$131:L$133,,0)</f>
        <v>5.9125967416797848E-2</v>
      </c>
      <c r="M145" s="11" cm="1">
        <f t="array" ref="M145">+$I$123*$G126*_xlfn.XLOOKUP($D145,_xlfn.ANCHORARRAY($I$118),$L$118:$L$120,,0)*_xlfn.XLOOKUP($D145,$D$131:$D$133,M$131:M$133,,0)</f>
        <v>0.22324060953275779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3:24" x14ac:dyDescent="0.25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4" x14ac:dyDescent="0.25">
      <c r="O147" s="19"/>
    </row>
    <row r="148" spans="3:24" ht="15.75" thickBot="1" x14ac:dyDescent="0.3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4" ht="15.75" thickBot="1" x14ac:dyDescent="0.3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4" x14ac:dyDescent="0.25">
      <c r="C150" s="20" t="s">
        <v>1</v>
      </c>
      <c r="D150" s="28" t="s">
        <v>51</v>
      </c>
      <c r="E150" s="1">
        <f t="shared" ref="E150:M158" si="36">+E78+E137</f>
        <v>9.1878211946094464</v>
      </c>
      <c r="F150" s="2">
        <f t="shared" si="36"/>
        <v>5.1082812693290203</v>
      </c>
      <c r="G150" s="2">
        <f t="shared" si="36"/>
        <v>8.9767600705519683</v>
      </c>
      <c r="H150" s="2">
        <f t="shared" si="36"/>
        <v>1.5865188148713711</v>
      </c>
      <c r="I150" s="2">
        <f t="shared" si="36"/>
        <v>0.98317492654114169</v>
      </c>
      <c r="J150" s="2">
        <f t="shared" si="36"/>
        <v>7.1429791369222482</v>
      </c>
      <c r="K150" s="2">
        <f t="shared" si="36"/>
        <v>3.5221871367301207</v>
      </c>
      <c r="L150" s="2">
        <f t="shared" si="36"/>
        <v>6.8202896769055821</v>
      </c>
      <c r="M150" s="3">
        <f t="shared" si="36"/>
        <v>2.6719877735390831</v>
      </c>
      <c r="N150" s="19"/>
      <c r="O150" s="19"/>
    </row>
    <row r="151" spans="3:24" x14ac:dyDescent="0.25">
      <c r="C151" s="20" t="s">
        <v>1</v>
      </c>
      <c r="D151" s="25" t="s">
        <v>52</v>
      </c>
      <c r="E151" s="5">
        <f t="shared" si="36"/>
        <v>7.4342178125299716</v>
      </c>
      <c r="F151" s="6">
        <f t="shared" si="36"/>
        <v>3.4689824810327221</v>
      </c>
      <c r="G151" s="6">
        <f t="shared" si="36"/>
        <v>7.9681350467638117</v>
      </c>
      <c r="H151" s="6">
        <f t="shared" si="36"/>
        <v>4.4579433202995862</v>
      </c>
      <c r="I151" s="6">
        <f t="shared" si="36"/>
        <v>2.2310393230186096</v>
      </c>
      <c r="J151" s="6">
        <f t="shared" si="36"/>
        <v>8.887239638299441</v>
      </c>
      <c r="K151" s="6">
        <f t="shared" si="36"/>
        <v>2.3020580723316604</v>
      </c>
      <c r="L151" s="6">
        <f t="shared" si="36"/>
        <v>4.3577117251549558</v>
      </c>
      <c r="M151" s="7">
        <f t="shared" si="36"/>
        <v>6.8926725805692248</v>
      </c>
      <c r="N151" s="19"/>
      <c r="O151" s="19"/>
    </row>
    <row r="152" spans="3:24" x14ac:dyDescent="0.25">
      <c r="C152" s="20" t="s">
        <v>1</v>
      </c>
      <c r="D152" s="25" t="s">
        <v>53</v>
      </c>
      <c r="E152" s="5">
        <f t="shared" si="36"/>
        <v>0.70668399141043237</v>
      </c>
      <c r="F152" s="6">
        <f t="shared" si="36"/>
        <v>0.30917424624206408</v>
      </c>
      <c r="G152" s="6">
        <f t="shared" si="36"/>
        <v>0.26310268346654697</v>
      </c>
      <c r="H152" s="6">
        <f t="shared" si="36"/>
        <v>6.1217689012429339</v>
      </c>
      <c r="I152" s="6">
        <f t="shared" si="36"/>
        <v>3.6241699395622433</v>
      </c>
      <c r="J152" s="6">
        <f t="shared" si="36"/>
        <v>3.3654134908777698</v>
      </c>
      <c r="K152" s="6">
        <f t="shared" si="36"/>
        <v>6.0371747081908209</v>
      </c>
      <c r="L152" s="6">
        <f t="shared" si="36"/>
        <v>3.538666332963762</v>
      </c>
      <c r="M152" s="7">
        <f t="shared" si="36"/>
        <v>6.2138457060434291</v>
      </c>
      <c r="N152" s="19"/>
      <c r="O152" s="19"/>
    </row>
    <row r="153" spans="3:24" x14ac:dyDescent="0.25">
      <c r="C153" s="20" t="s">
        <v>10</v>
      </c>
      <c r="D153" s="25" t="str">
        <f>+D150</f>
        <v>Agr</v>
      </c>
      <c r="E153" s="5">
        <f t="shared" si="36"/>
        <v>8.2184354320712742</v>
      </c>
      <c r="F153" s="6">
        <f t="shared" si="36"/>
        <v>4.9479733636574563</v>
      </c>
      <c r="G153" s="6">
        <f t="shared" si="36"/>
        <v>3.9558792127713178</v>
      </c>
      <c r="H153" s="6">
        <f t="shared" si="36"/>
        <v>6.1357437273385536</v>
      </c>
      <c r="I153" s="6">
        <f t="shared" si="36"/>
        <v>8.687999096640949</v>
      </c>
      <c r="J153" s="6">
        <f t="shared" si="36"/>
        <v>7.7290656772302029</v>
      </c>
      <c r="K153" s="6">
        <f t="shared" si="36"/>
        <v>8.9132086951547063</v>
      </c>
      <c r="L153" s="6">
        <f t="shared" si="36"/>
        <v>8.1406700678883066</v>
      </c>
      <c r="M153" s="7">
        <f t="shared" si="36"/>
        <v>8.0710247272472468</v>
      </c>
      <c r="N153" s="19"/>
      <c r="O153" s="19"/>
    </row>
    <row r="154" spans="3:24" x14ac:dyDescent="0.25">
      <c r="C154" s="20" t="s">
        <v>10</v>
      </c>
      <c r="D154" s="25" t="str">
        <f t="shared" ref="D154:D158" si="37">+D151</f>
        <v>Ind</v>
      </c>
      <c r="E154" s="5">
        <f t="shared" si="36"/>
        <v>3.9388901338460802</v>
      </c>
      <c r="F154" s="6">
        <f t="shared" si="36"/>
        <v>2.3527960012471816</v>
      </c>
      <c r="G154" s="6">
        <f t="shared" si="36"/>
        <v>2.9316561005263502</v>
      </c>
      <c r="H154" s="6">
        <f t="shared" si="36"/>
        <v>5.6069441555330215</v>
      </c>
      <c r="I154" s="6">
        <f t="shared" si="36"/>
        <v>5.9851165386899785</v>
      </c>
      <c r="J154" s="6">
        <f t="shared" si="36"/>
        <v>3.8058147903863793</v>
      </c>
      <c r="K154" s="6">
        <f t="shared" si="36"/>
        <v>8.1990107994388239</v>
      </c>
      <c r="L154" s="6">
        <f t="shared" si="36"/>
        <v>2.3917618808310097</v>
      </c>
      <c r="M154" s="7">
        <f t="shared" si="36"/>
        <v>7.2880095995011782</v>
      </c>
      <c r="N154" s="19"/>
      <c r="O154" s="19"/>
    </row>
    <row r="155" spans="3:24" x14ac:dyDescent="0.25">
      <c r="C155" s="20" t="s">
        <v>10</v>
      </c>
      <c r="D155" s="25" t="str">
        <f t="shared" si="37"/>
        <v>Serv</v>
      </c>
      <c r="E155" s="5">
        <f t="shared" si="36"/>
        <v>5.4279584773575635</v>
      </c>
      <c r="F155" s="6">
        <f t="shared" si="36"/>
        <v>4.2582186163051281</v>
      </c>
      <c r="G155" s="6">
        <f t="shared" si="36"/>
        <v>3.4128401440929403</v>
      </c>
      <c r="H155" s="6">
        <f t="shared" si="36"/>
        <v>1.3120300157960287</v>
      </c>
      <c r="I155" s="6">
        <f t="shared" si="36"/>
        <v>7.5539916518060863</v>
      </c>
      <c r="J155" s="6">
        <f t="shared" si="36"/>
        <v>1.7623018526391057</v>
      </c>
      <c r="K155" s="6">
        <f t="shared" si="36"/>
        <v>1.2534493709975449</v>
      </c>
      <c r="L155" s="6">
        <f t="shared" si="36"/>
        <v>5.0983414801178304</v>
      </c>
      <c r="M155" s="7">
        <f t="shared" si="36"/>
        <v>1.4208683908877617</v>
      </c>
      <c r="N155" s="19"/>
    </row>
    <row r="156" spans="3:24" x14ac:dyDescent="0.25">
      <c r="C156" s="20" t="s">
        <v>11</v>
      </c>
      <c r="D156" s="25" t="str">
        <f t="shared" si="37"/>
        <v>Agr</v>
      </c>
      <c r="E156" s="5">
        <f t="shared" si="36"/>
        <v>4.128498460275674</v>
      </c>
      <c r="F156" s="6">
        <f t="shared" si="36"/>
        <v>9.5207954460647937</v>
      </c>
      <c r="G156" s="6">
        <f t="shared" si="36"/>
        <v>7.8000835322146882</v>
      </c>
      <c r="H156" s="6">
        <f t="shared" si="36"/>
        <v>8.2413842903603296</v>
      </c>
      <c r="I156" s="6">
        <f t="shared" si="36"/>
        <v>9.2983662129647833</v>
      </c>
      <c r="J156" s="6">
        <f t="shared" si="36"/>
        <v>1.1110992786457752</v>
      </c>
      <c r="K156" s="6">
        <f t="shared" si="36"/>
        <v>7.1416542471664455</v>
      </c>
      <c r="L156" s="6">
        <f t="shared" si="36"/>
        <v>8.902933457995136</v>
      </c>
      <c r="M156" s="7">
        <f t="shared" si="36"/>
        <v>7.8551850743123843</v>
      </c>
      <c r="N156" s="19"/>
    </row>
    <row r="157" spans="3:24" x14ac:dyDescent="0.25">
      <c r="C157" s="20" t="s">
        <v>11</v>
      </c>
      <c r="D157" s="25" t="str">
        <f t="shared" si="37"/>
        <v>Ind</v>
      </c>
      <c r="E157" s="5">
        <f t="shared" si="36"/>
        <v>1.367907747924562</v>
      </c>
      <c r="F157" s="6">
        <f t="shared" si="36"/>
        <v>6.919237212020712</v>
      </c>
      <c r="G157" s="6">
        <f t="shared" si="36"/>
        <v>0.40501190997074749</v>
      </c>
      <c r="H157" s="6">
        <f t="shared" si="36"/>
        <v>7.7575235009908763</v>
      </c>
      <c r="I157" s="6">
        <f t="shared" si="36"/>
        <v>0.31946224786689231</v>
      </c>
      <c r="J157" s="6">
        <f t="shared" si="36"/>
        <v>0.46363125373803005</v>
      </c>
      <c r="K157" s="6">
        <f t="shared" si="36"/>
        <v>7.1403374741842169</v>
      </c>
      <c r="L157" s="6">
        <f t="shared" si="36"/>
        <v>8.5263207480813037</v>
      </c>
      <c r="M157" s="7">
        <f t="shared" si="36"/>
        <v>1.5005679052226661</v>
      </c>
      <c r="N157" s="19"/>
    </row>
    <row r="158" spans="3:24" x14ac:dyDescent="0.25">
      <c r="C158" s="20" t="s">
        <v>11</v>
      </c>
      <c r="D158" s="25" t="str">
        <f t="shared" si="37"/>
        <v>Serv</v>
      </c>
      <c r="E158" s="9">
        <f t="shared" si="36"/>
        <v>9.1838437177977852</v>
      </c>
      <c r="F158" s="10">
        <f t="shared" si="36"/>
        <v>2.1344448440753383</v>
      </c>
      <c r="G158" s="10">
        <f t="shared" si="36"/>
        <v>3.6912334658733958</v>
      </c>
      <c r="H158" s="10">
        <f t="shared" si="36"/>
        <v>9.0726266182088899</v>
      </c>
      <c r="I158" s="10">
        <f t="shared" si="36"/>
        <v>0.87260131041948219</v>
      </c>
      <c r="J158" s="10">
        <f t="shared" si="36"/>
        <v>0.38439111292824102</v>
      </c>
      <c r="K158" s="10">
        <f t="shared" si="36"/>
        <v>3.2408351740756109</v>
      </c>
      <c r="L158" s="10">
        <f t="shared" si="36"/>
        <v>0.69365705364701635</v>
      </c>
      <c r="M158" s="11">
        <f t="shared" si="36"/>
        <v>6.7263667029742331</v>
      </c>
      <c r="N158" s="19"/>
    </row>
    <row r="159" spans="3:24" x14ac:dyDescent="0.25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397.38000000000011</v>
      </c>
    </row>
    <row r="161" spans="1:13" x14ac:dyDescent="0.25">
      <c r="A161" s="66"/>
    </row>
    <row r="162" spans="1:13" ht="15.75" thickBot="1" x14ac:dyDescent="0.3">
      <c r="A162" s="68" t="s">
        <v>41</v>
      </c>
      <c r="E162" s="20"/>
      <c r="F162" s="20"/>
      <c r="G162" s="20"/>
      <c r="H162" s="20"/>
      <c r="I162" s="20"/>
      <c r="J162" s="20"/>
      <c r="K162" s="20"/>
      <c r="L162" s="20"/>
      <c r="M162" s="20"/>
    </row>
    <row r="163" spans="1:13" ht="15.75" thickBot="1" x14ac:dyDescent="0.3">
      <c r="D163" s="23"/>
      <c r="E163" s="27"/>
      <c r="F163" s="26"/>
      <c r="G163" s="26"/>
      <c r="H163" s="26"/>
      <c r="I163" s="26"/>
      <c r="J163" s="26"/>
      <c r="K163" s="26"/>
      <c r="L163" s="26"/>
      <c r="M163" s="26"/>
    </row>
    <row r="164" spans="1:13" x14ac:dyDescent="0.25">
      <c r="D164" s="28"/>
      <c r="E164" s="1"/>
      <c r="F164" s="2"/>
      <c r="G164" s="2"/>
      <c r="H164" s="2"/>
      <c r="I164" s="2"/>
      <c r="J164" s="2"/>
      <c r="K164" s="2"/>
      <c r="L164" s="2"/>
      <c r="M164" s="3"/>
    </row>
    <row r="165" spans="1:13" x14ac:dyDescent="0.25">
      <c r="D165" s="25"/>
      <c r="E165" s="5"/>
      <c r="F165" s="6"/>
      <c r="G165" s="6"/>
      <c r="H165" s="6"/>
      <c r="I165" s="6"/>
      <c r="J165" s="6"/>
      <c r="K165" s="6"/>
      <c r="L165" s="6"/>
      <c r="M165" s="7"/>
    </row>
    <row r="166" spans="1:13" x14ac:dyDescent="0.25">
      <c r="D166" s="25"/>
      <c r="E166" s="9"/>
      <c r="F166" s="10"/>
      <c r="G166" s="10"/>
      <c r="H166" s="10"/>
      <c r="I166" s="10"/>
      <c r="J166" s="10"/>
      <c r="K166" s="10"/>
      <c r="L166" s="10"/>
      <c r="M166" s="11"/>
    </row>
    <row r="167" spans="1:13" x14ac:dyDescent="0.25">
      <c r="D167" s="25"/>
      <c r="E167" s="70"/>
      <c r="F167" s="71"/>
      <c r="G167" s="71"/>
      <c r="H167" s="71"/>
      <c r="I167" s="71"/>
      <c r="J167" s="71"/>
      <c r="K167" s="71"/>
      <c r="L167" s="71"/>
      <c r="M167" s="72"/>
    </row>
    <row r="169" spans="1:13" ht="15.75" thickBot="1" x14ac:dyDescent="0.3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</row>
    <row r="170" spans="1:13" ht="15.75" thickBot="1" x14ac:dyDescent="0.3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</row>
    <row r="171" spans="1:13" x14ac:dyDescent="0.25">
      <c r="D171" s="28" t="str" cm="1">
        <f t="array" ref="D171:D173">+_xlfn.UNIQUE($D$150:$D$158)</f>
        <v>Agr</v>
      </c>
      <c r="E171" s="1">
        <f>+IO_sub_model!E171</f>
        <v>0.30985915492957744</v>
      </c>
      <c r="F171" s="2">
        <f>+IO_sub_model!F171</f>
        <v>0.36363636363636365</v>
      </c>
      <c r="G171" s="2">
        <f>+IO_sub_model!G171</f>
        <v>0.46808510638297873</v>
      </c>
      <c r="H171" s="2">
        <f>+IO_sub_model!H171</f>
        <v>0.2073170731707317</v>
      </c>
      <c r="I171" s="2">
        <f>+IO_sub_model!I171</f>
        <v>0.4</v>
      </c>
      <c r="J171" s="2">
        <f>+IO_sub_model!J171</f>
        <v>0.30909090909090908</v>
      </c>
      <c r="K171" s="2">
        <f>+IO_sub_model!K171</f>
        <v>0.25316455696202533</v>
      </c>
      <c r="L171" s="2">
        <f>+IO_sub_model!L171</f>
        <v>0.38461538461538464</v>
      </c>
      <c r="M171" s="3">
        <f>+IO_sub_model!M171</f>
        <v>0.31666666666666665</v>
      </c>
    </row>
    <row r="172" spans="1:13" x14ac:dyDescent="0.25">
      <c r="D172" s="25" t="str">
        <v>Ind</v>
      </c>
      <c r="E172" s="5">
        <f>+IO_sub_model!E172</f>
        <v>0.18309859154929578</v>
      </c>
      <c r="F172" s="6">
        <f>+IO_sub_model!F172</f>
        <v>0.23636363636363636</v>
      </c>
      <c r="G172" s="6">
        <f>+IO_sub_model!G172</f>
        <v>0.25531914893617019</v>
      </c>
      <c r="H172" s="6">
        <f>+IO_sub_model!H172</f>
        <v>0.23170731707317074</v>
      </c>
      <c r="I172" s="6">
        <f>+IO_sub_model!I172</f>
        <v>0.18</v>
      </c>
      <c r="J172" s="6">
        <f>+IO_sub_model!J172</f>
        <v>0.25454545454545452</v>
      </c>
      <c r="K172" s="6">
        <f>+IO_sub_model!K172</f>
        <v>0.22784810126582278</v>
      </c>
      <c r="L172" s="6">
        <f>+IO_sub_model!L172</f>
        <v>0.24615384615384617</v>
      </c>
      <c r="M172" s="7">
        <f>+IO_sub_model!M172</f>
        <v>0.26666666666666666</v>
      </c>
    </row>
    <row r="173" spans="1:13" x14ac:dyDescent="0.25">
      <c r="D173" s="25" t="str">
        <v>Serv</v>
      </c>
      <c r="E173" s="9">
        <f>+IO_sub_model!E173</f>
        <v>0.22535211267605634</v>
      </c>
      <c r="F173" s="10">
        <f>+IO_sub_model!F173</f>
        <v>0.12727272727272726</v>
      </c>
      <c r="G173" s="10">
        <f>+IO_sub_model!G173</f>
        <v>0.1702127659574468</v>
      </c>
      <c r="H173" s="10">
        <f>+IO_sub_model!H173</f>
        <v>0.21951219512195122</v>
      </c>
      <c r="I173" s="10">
        <f>+IO_sub_model!I173</f>
        <v>0.26</v>
      </c>
      <c r="J173" s="10">
        <f>+IO_sub_model!J173</f>
        <v>0.10909090909090909</v>
      </c>
      <c r="K173" s="10">
        <f>+IO_sub_model!K173</f>
        <v>0.13924050632911392</v>
      </c>
      <c r="L173" s="10">
        <f>+IO_sub_model!L173</f>
        <v>0.15384615384615385</v>
      </c>
      <c r="M173" s="11">
        <f>+IO_sub_model!M173</f>
        <v>0.25</v>
      </c>
    </row>
    <row r="175" spans="1:13" ht="15.75" thickBot="1" x14ac:dyDescent="0.3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</row>
    <row r="176" spans="1:13" ht="15.75" thickBot="1" x14ac:dyDescent="0.3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</row>
    <row r="177" spans="2:14" x14ac:dyDescent="0.25">
      <c r="D177" s="28" t="str" cm="1">
        <f t="array" ref="D177:D179">+_xlfn.UNIQUE($D$150:$D$158)</f>
        <v>Agr</v>
      </c>
      <c r="E177" s="1">
        <f>+SUMIF($D$150:$D$158,$D177,E$150:E$158)</f>
        <v>21.534755086956395</v>
      </c>
      <c r="F177" s="2">
        <f t="shared" ref="F177:M179" si="38">+SUMIF($D$150:$D$158,$D177,F$150:F$158)</f>
        <v>19.577050079051268</v>
      </c>
      <c r="G177" s="2">
        <f t="shared" si="38"/>
        <v>20.732722815537976</v>
      </c>
      <c r="H177" s="2">
        <f t="shared" si="38"/>
        <v>15.963646832570255</v>
      </c>
      <c r="I177" s="2">
        <f t="shared" si="38"/>
        <v>18.969540236146877</v>
      </c>
      <c r="J177" s="2">
        <f t="shared" si="38"/>
        <v>15.983144092798227</v>
      </c>
      <c r="K177" s="2">
        <f t="shared" si="38"/>
        <v>19.577050079051272</v>
      </c>
      <c r="L177" s="2">
        <f t="shared" si="38"/>
        <v>23.863893202789026</v>
      </c>
      <c r="M177" s="3">
        <f t="shared" si="38"/>
        <v>18.598197575098716</v>
      </c>
    </row>
    <row r="178" spans="2:14" x14ac:dyDescent="0.25">
      <c r="D178" s="25" t="str">
        <v>Ind</v>
      </c>
      <c r="E178" s="5">
        <f t="shared" ref="E178:E179" si="39">+SUMIF($D$150:$D$158,$D178,E$150:E$158)</f>
        <v>12.741015694300614</v>
      </c>
      <c r="F178" s="6">
        <f t="shared" si="38"/>
        <v>12.741015694300614</v>
      </c>
      <c r="G178" s="6">
        <f t="shared" si="38"/>
        <v>11.30480305726091</v>
      </c>
      <c r="H178" s="6">
        <f t="shared" si="38"/>
        <v>17.822410976823484</v>
      </c>
      <c r="I178" s="6">
        <f t="shared" si="38"/>
        <v>8.5356181095754806</v>
      </c>
      <c r="J178" s="6">
        <f t="shared" si="38"/>
        <v>13.156685682423849</v>
      </c>
      <c r="K178" s="6">
        <f t="shared" si="38"/>
        <v>17.641406345954703</v>
      </c>
      <c r="L178" s="6">
        <f t="shared" si="38"/>
        <v>15.275794354067269</v>
      </c>
      <c r="M178" s="7">
        <f t="shared" si="38"/>
        <v>15.681250085293069</v>
      </c>
    </row>
    <row r="179" spans="2:14" x14ac:dyDescent="0.25">
      <c r="D179" s="25" t="str">
        <v>Serv</v>
      </c>
      <c r="E179" s="9">
        <f t="shared" si="39"/>
        <v>15.318486186565782</v>
      </c>
      <c r="F179" s="10">
        <f t="shared" si="38"/>
        <v>6.7018377066225305</v>
      </c>
      <c r="G179" s="10">
        <f t="shared" si="38"/>
        <v>7.367176293432883</v>
      </c>
      <c r="H179" s="10">
        <f t="shared" si="38"/>
        <v>16.506425535247853</v>
      </c>
      <c r="I179" s="10">
        <f t="shared" si="38"/>
        <v>12.050762901787811</v>
      </c>
      <c r="J179" s="10">
        <f t="shared" si="38"/>
        <v>5.5121064564451165</v>
      </c>
      <c r="K179" s="10">
        <f t="shared" si="38"/>
        <v>10.531459253263977</v>
      </c>
      <c r="L179" s="10">
        <f t="shared" si="38"/>
        <v>9.3306648667286076</v>
      </c>
      <c r="M179" s="11">
        <f t="shared" si="38"/>
        <v>14.361080799905423</v>
      </c>
    </row>
    <row r="181" spans="2:14" x14ac:dyDescent="0.25">
      <c r="E181" s="1">
        <f>+E177/E171</f>
        <v>69.498527780632003</v>
      </c>
      <c r="F181" s="2">
        <f t="shared" ref="F181:M181" si="40">+F177/F171</f>
        <v>53.836887717390987</v>
      </c>
      <c r="G181" s="2">
        <f t="shared" si="40"/>
        <v>44.292635105922038</v>
      </c>
      <c r="H181" s="2">
        <f t="shared" si="40"/>
        <v>77.001120015927114</v>
      </c>
      <c r="I181" s="2">
        <f t="shared" si="40"/>
        <v>47.423850590367188</v>
      </c>
      <c r="J181" s="2">
        <f t="shared" si="40"/>
        <v>51.710172064935442</v>
      </c>
      <c r="K181" s="2">
        <f t="shared" si="40"/>
        <v>77.329347812252522</v>
      </c>
      <c r="L181" s="2">
        <f t="shared" si="40"/>
        <v>62.04612232725146</v>
      </c>
      <c r="M181" s="3">
        <f t="shared" si="40"/>
        <v>58.731150237153841</v>
      </c>
    </row>
    <row r="182" spans="2:14" x14ac:dyDescent="0.25">
      <c r="E182" s="5">
        <f t="shared" ref="E182:M183" si="41">+E178/E172</f>
        <v>69.585547253487974</v>
      </c>
      <c r="F182" s="6">
        <f t="shared" si="41"/>
        <v>53.904297168194908</v>
      </c>
      <c r="G182" s="6">
        <f t="shared" si="41"/>
        <v>44.277145307605238</v>
      </c>
      <c r="H182" s="6">
        <f t="shared" si="41"/>
        <v>76.917773689448723</v>
      </c>
      <c r="I182" s="6">
        <f t="shared" si="41"/>
        <v>47.420100608752669</v>
      </c>
      <c r="J182" s="6">
        <f t="shared" si="41"/>
        <v>51.686979466665122</v>
      </c>
      <c r="K182" s="6">
        <f t="shared" si="41"/>
        <v>77.426172296134538</v>
      </c>
      <c r="L182" s="6">
        <f t="shared" si="41"/>
        <v>62.057914563398278</v>
      </c>
      <c r="M182" s="7">
        <f t="shared" si="41"/>
        <v>58.804687819849008</v>
      </c>
    </row>
    <row r="183" spans="2:14" x14ac:dyDescent="0.25">
      <c r="E183" s="73">
        <f t="shared" si="41"/>
        <v>67.975782452885653</v>
      </c>
      <c r="F183" s="74">
        <f t="shared" si="41"/>
        <v>52.657296266319889</v>
      </c>
      <c r="G183" s="74">
        <f t="shared" si="41"/>
        <v>43.282160723918189</v>
      </c>
      <c r="H183" s="74">
        <f t="shared" si="41"/>
        <v>75.19593854946244</v>
      </c>
      <c r="I183" s="74">
        <f t="shared" si="41"/>
        <v>46.349088083799273</v>
      </c>
      <c r="J183" s="74">
        <f t="shared" si="41"/>
        <v>50.527642517413568</v>
      </c>
      <c r="K183" s="74">
        <f t="shared" si="41"/>
        <v>75.635025546168563</v>
      </c>
      <c r="L183" s="74">
        <f t="shared" si="41"/>
        <v>60.649321633735944</v>
      </c>
      <c r="M183" s="75">
        <f t="shared" si="41"/>
        <v>57.444323199621692</v>
      </c>
    </row>
    <row r="184" spans="2:14" x14ac:dyDescent="0.25">
      <c r="D184" s="25" t="s">
        <v>47</v>
      </c>
      <c r="E184" s="13">
        <f>+MIN(E181:E183)</f>
        <v>67.975782452885653</v>
      </c>
      <c r="F184" s="14">
        <f t="shared" ref="F184:M184" si="42">+MIN(F181:F183)</f>
        <v>52.657296266319889</v>
      </c>
      <c r="G184" s="14">
        <f t="shared" si="42"/>
        <v>43.282160723918189</v>
      </c>
      <c r="H184" s="14">
        <f t="shared" si="42"/>
        <v>75.19593854946244</v>
      </c>
      <c r="I184" s="14">
        <f t="shared" si="42"/>
        <v>46.349088083799273</v>
      </c>
      <c r="J184" s="14">
        <f t="shared" si="42"/>
        <v>50.527642517413568</v>
      </c>
      <c r="K184" s="14">
        <f t="shared" si="42"/>
        <v>75.635025546168563</v>
      </c>
      <c r="L184" s="14">
        <f t="shared" si="42"/>
        <v>60.649321633735944</v>
      </c>
      <c r="M184" s="15">
        <f t="shared" si="42"/>
        <v>57.444323199621692</v>
      </c>
      <c r="N184" s="19">
        <f>+SUM(E184:M184)</f>
        <v>529.71657897332523</v>
      </c>
    </row>
    <row r="187" spans="2:14" x14ac:dyDescent="0.25">
      <c r="C187" s="115" t="s">
        <v>61</v>
      </c>
      <c r="D187" s="77" t="s">
        <v>48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</row>
    <row r="188" spans="2:14" x14ac:dyDescent="0.25">
      <c r="B188" s="18" cm="1">
        <f t="array" ref="B188:B196">+TRANSPOSE(E184:M184)</f>
        <v>67.975782452885653</v>
      </c>
      <c r="C188" s="5" cm="1">
        <f t="array" ref="C188:C196">+H47:H55</f>
        <v>20.685384615384621</v>
      </c>
      <c r="D188" s="79">
        <f>+G188-SUM(E150:M150)</f>
        <v>20.685384615384621</v>
      </c>
      <c r="E188" s="117">
        <f>+C188-D188</f>
        <v>0</v>
      </c>
      <c r="F188" s="78">
        <f>+SUM(E150:M150)+C188</f>
        <v>66.685384615384606</v>
      </c>
      <c r="G188" s="79">
        <f>+MIN(B188,F188)</f>
        <v>66.685384615384606</v>
      </c>
      <c r="H188" s="117">
        <f>+F188-G188</f>
        <v>0</v>
      </c>
      <c r="I188" s="120" t="b">
        <f>+H188&lt;0.001</f>
        <v>1</v>
      </c>
    </row>
    <row r="189" spans="2:14" x14ac:dyDescent="0.25">
      <c r="B189" s="18">
        <v>52.657296266319889</v>
      </c>
      <c r="C189" s="5">
        <v>3.6576923076923151</v>
      </c>
      <c r="D189" s="79">
        <f t="shared" ref="D189:D196" si="43">+G189-SUM(E151:M151)</f>
        <v>3.6576923076923151</v>
      </c>
      <c r="E189" s="117">
        <f t="shared" ref="E189:E196" si="44">+C189-D189</f>
        <v>0</v>
      </c>
      <c r="F189" s="78">
        <f t="shared" ref="F189:F196" si="45">+SUM(E151:M151)+C189</f>
        <v>51.657692307692301</v>
      </c>
      <c r="G189" s="79">
        <f t="shared" ref="G189:G196" si="46">+MIN(B189,F189)</f>
        <v>51.657692307692301</v>
      </c>
      <c r="H189" s="117">
        <f t="shared" ref="H189:H196" si="47">+F189-G189</f>
        <v>0</v>
      </c>
      <c r="I189" s="120" t="b">
        <f t="shared" ref="I189:I196" si="48">+H189&lt;0.001</f>
        <v>1</v>
      </c>
    </row>
    <row r="190" spans="2:14" x14ac:dyDescent="0.25">
      <c r="B190" s="18">
        <v>43.282160723918189</v>
      </c>
      <c r="C190" s="5">
        <v>13.963846153846138</v>
      </c>
      <c r="D190" s="79">
        <f t="shared" si="43"/>
        <v>13.102160723918185</v>
      </c>
      <c r="E190" s="117">
        <f t="shared" si="44"/>
        <v>0.86168542992795238</v>
      </c>
      <c r="F190" s="78">
        <f t="shared" si="45"/>
        <v>44.143846153846141</v>
      </c>
      <c r="G190" s="79">
        <f t="shared" si="46"/>
        <v>43.282160723918189</v>
      </c>
      <c r="H190" s="117">
        <f t="shared" si="47"/>
        <v>0.86168542992795238</v>
      </c>
      <c r="I190" s="120" t="b">
        <f t="shared" si="48"/>
        <v>0</v>
      </c>
    </row>
    <row r="191" spans="2:14" x14ac:dyDescent="0.25">
      <c r="B191" s="18">
        <v>75.19593854946244</v>
      </c>
      <c r="C191" s="5">
        <v>12.216923076923067</v>
      </c>
      <c r="D191" s="79">
        <f t="shared" si="43"/>
        <v>10.395938549462429</v>
      </c>
      <c r="E191" s="117">
        <f t="shared" si="44"/>
        <v>1.820984527460638</v>
      </c>
      <c r="F191" s="78">
        <f t="shared" si="45"/>
        <v>77.016923076923078</v>
      </c>
      <c r="G191" s="79">
        <f t="shared" si="46"/>
        <v>75.19593854946244</v>
      </c>
      <c r="H191" s="117">
        <f t="shared" si="47"/>
        <v>1.820984527460638</v>
      </c>
      <c r="I191" s="120" t="b">
        <f t="shared" si="48"/>
        <v>0</v>
      </c>
    </row>
    <row r="192" spans="2:14" x14ac:dyDescent="0.25">
      <c r="B192" s="18">
        <v>46.349088083799273</v>
      </c>
      <c r="C192" s="5">
        <v>4.4615384615384599</v>
      </c>
      <c r="D192" s="79">
        <f t="shared" si="43"/>
        <v>3.8490880837992663</v>
      </c>
      <c r="E192" s="117">
        <f t="shared" si="44"/>
        <v>0.61245037773919364</v>
      </c>
      <c r="F192" s="78">
        <f t="shared" si="45"/>
        <v>46.961538461538467</v>
      </c>
      <c r="G192" s="79">
        <f t="shared" si="46"/>
        <v>46.349088083799273</v>
      </c>
      <c r="H192" s="117">
        <f t="shared" si="47"/>
        <v>0.61245037773919364</v>
      </c>
      <c r="I192" s="120" t="b">
        <f t="shared" si="48"/>
        <v>0</v>
      </c>
    </row>
    <row r="193" spans="2:13" x14ac:dyDescent="0.25">
      <c r="B193" s="18">
        <v>50.527642517413568</v>
      </c>
      <c r="C193" s="5">
        <v>20.157692307692294</v>
      </c>
      <c r="D193" s="79">
        <f t="shared" si="43"/>
        <v>19.027642517413579</v>
      </c>
      <c r="E193" s="117">
        <f t="shared" si="44"/>
        <v>1.130049790278715</v>
      </c>
      <c r="F193" s="78">
        <f t="shared" si="45"/>
        <v>51.657692307692287</v>
      </c>
      <c r="G193" s="79">
        <f t="shared" si="46"/>
        <v>50.527642517413568</v>
      </c>
      <c r="H193" s="117">
        <f t="shared" si="47"/>
        <v>1.1300497902787185</v>
      </c>
      <c r="I193" s="120" t="b">
        <f t="shared" si="48"/>
        <v>0</v>
      </c>
    </row>
    <row r="194" spans="2:13" x14ac:dyDescent="0.25">
      <c r="B194" s="18">
        <v>75.635025546168563</v>
      </c>
      <c r="C194" s="5">
        <v>10.199230769230766</v>
      </c>
      <c r="D194" s="79">
        <f t="shared" si="43"/>
        <v>10.199230769230766</v>
      </c>
      <c r="E194" s="117">
        <f t="shared" si="44"/>
        <v>0</v>
      </c>
      <c r="F194" s="78">
        <f t="shared" si="45"/>
        <v>74.19923076923078</v>
      </c>
      <c r="G194" s="79">
        <f t="shared" si="46"/>
        <v>74.19923076923078</v>
      </c>
      <c r="H194" s="117">
        <f t="shared" si="47"/>
        <v>0</v>
      </c>
      <c r="I194" s="120" t="b">
        <f t="shared" si="48"/>
        <v>1</v>
      </c>
    </row>
    <row r="195" spans="2:13" x14ac:dyDescent="0.25">
      <c r="B195" s="18">
        <v>60.649321633735944</v>
      </c>
      <c r="C195" s="5">
        <v>26.649999999999984</v>
      </c>
      <c r="D195" s="79">
        <f t="shared" si="43"/>
        <v>26.249321633735939</v>
      </c>
      <c r="E195" s="117">
        <f t="shared" si="44"/>
        <v>0.40067836626404585</v>
      </c>
      <c r="F195" s="78">
        <f t="shared" si="45"/>
        <v>61.04999999999999</v>
      </c>
      <c r="G195" s="79">
        <f t="shared" si="46"/>
        <v>60.649321633735944</v>
      </c>
      <c r="H195" s="117">
        <f t="shared" si="47"/>
        <v>0.40067836626404585</v>
      </c>
      <c r="I195" s="120" t="b">
        <f t="shared" si="48"/>
        <v>0</v>
      </c>
    </row>
    <row r="196" spans="2:13" x14ac:dyDescent="0.25">
      <c r="B196" s="18">
        <v>57.444323199621692</v>
      </c>
      <c r="C196" s="9">
        <v>20.353846153846149</v>
      </c>
      <c r="D196" s="81">
        <f t="shared" si="43"/>
        <v>20.353846153846149</v>
      </c>
      <c r="E196" s="118">
        <f t="shared" si="44"/>
        <v>0</v>
      </c>
      <c r="F196" s="80">
        <f t="shared" si="45"/>
        <v>56.353846153846142</v>
      </c>
      <c r="G196" s="81">
        <f t="shared" si="46"/>
        <v>56.353846153846142</v>
      </c>
      <c r="H196" s="118">
        <f t="shared" si="47"/>
        <v>0</v>
      </c>
      <c r="I196" s="120" t="b">
        <f t="shared" si="48"/>
        <v>1</v>
      </c>
    </row>
    <row r="198" spans="2:13" ht="15.75" thickBot="1" x14ac:dyDescent="0.3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13" ht="15.75" thickBot="1" x14ac:dyDescent="0.3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13" x14ac:dyDescent="0.25">
      <c r="C200" s="20" t="s">
        <v>1</v>
      </c>
      <c r="D200" s="28" t="s">
        <v>51</v>
      </c>
      <c r="E200" s="1">
        <f t="shared" ref="E200:M208" si="49">+E150/E$184</f>
        <v>0.13516315462757006</v>
      </c>
      <c r="F200" s="2">
        <f t="shared" si="49"/>
        <v>9.7009942240356264E-2</v>
      </c>
      <c r="G200" s="2">
        <f t="shared" si="49"/>
        <v>0.20740092269911364</v>
      </c>
      <c r="H200" s="2">
        <f t="shared" si="49"/>
        <v>2.1098464165425497E-2</v>
      </c>
      <c r="I200" s="2">
        <f t="shared" si="49"/>
        <v>2.1212389869754478E-2</v>
      </c>
      <c r="J200" s="2">
        <f t="shared" si="49"/>
        <v>0.14136775002832422</v>
      </c>
      <c r="K200" s="2">
        <f t="shared" si="49"/>
        <v>4.6568201852197878E-2</v>
      </c>
      <c r="L200" s="2">
        <f t="shared" si="49"/>
        <v>0.11245450885821323</v>
      </c>
      <c r="M200" s="3">
        <f t="shared" si="49"/>
        <v>4.651439210544446E-2</v>
      </c>
    </row>
    <row r="201" spans="2:13" x14ac:dyDescent="0.25">
      <c r="C201" s="20" t="s">
        <v>1</v>
      </c>
      <c r="D201" s="25" t="s">
        <v>52</v>
      </c>
      <c r="E201" s="5">
        <f t="shared" si="49"/>
        <v>0.10936568207482811</v>
      </c>
      <c r="F201" s="6">
        <f t="shared" si="49"/>
        <v>6.5878477001325195E-2</v>
      </c>
      <c r="G201" s="6">
        <f t="shared" si="49"/>
        <v>0.18409744138213818</v>
      </c>
      <c r="H201" s="6">
        <f t="shared" si="49"/>
        <v>5.9284363042656045E-2</v>
      </c>
      <c r="I201" s="6">
        <f t="shared" si="49"/>
        <v>4.8135560272186684E-2</v>
      </c>
      <c r="J201" s="6">
        <f t="shared" si="49"/>
        <v>0.17588866599577829</v>
      </c>
      <c r="K201" s="6">
        <f t="shared" si="49"/>
        <v>3.0436402390403839E-2</v>
      </c>
      <c r="L201" s="6">
        <f t="shared" si="49"/>
        <v>7.1850955752998824E-2</v>
      </c>
      <c r="M201" s="7">
        <f t="shared" si="49"/>
        <v>0.11998875078773001</v>
      </c>
    </row>
    <row r="202" spans="2:13" x14ac:dyDescent="0.25">
      <c r="C202" s="20" t="s">
        <v>1</v>
      </c>
      <c r="D202" s="25" t="s">
        <v>53</v>
      </c>
      <c r="E202" s="5">
        <f t="shared" si="49"/>
        <v>1.0396114114614842E-2</v>
      </c>
      <c r="F202" s="6">
        <f t="shared" si="49"/>
        <v>5.8714417215495144E-3</v>
      </c>
      <c r="G202" s="6">
        <f t="shared" si="49"/>
        <v>6.078778856369654E-3</v>
      </c>
      <c r="H202" s="6">
        <f t="shared" si="49"/>
        <v>8.1410898239087107E-2</v>
      </c>
      <c r="I202" s="6">
        <f t="shared" si="49"/>
        <v>7.8192907118468755E-2</v>
      </c>
      <c r="J202" s="6">
        <f t="shared" si="49"/>
        <v>6.6605393072077967E-2</v>
      </c>
      <c r="K202" s="6">
        <f t="shared" si="49"/>
        <v>7.9819827713360839E-2</v>
      </c>
      <c r="L202" s="6">
        <f t="shared" si="49"/>
        <v>5.8346346465900006E-2</v>
      </c>
      <c r="M202" s="7">
        <f t="shared" si="49"/>
        <v>0.10817162358149868</v>
      </c>
    </row>
    <row r="203" spans="2:13" x14ac:dyDescent="0.25">
      <c r="C203" s="20" t="s">
        <v>10</v>
      </c>
      <c r="D203" s="25" t="str">
        <f>+D200</f>
        <v>Agr</v>
      </c>
      <c r="E203" s="5">
        <f t="shared" si="49"/>
        <v>0.12090240281923216</v>
      </c>
      <c r="F203" s="6">
        <f t="shared" si="49"/>
        <v>9.3965579596653678E-2</v>
      </c>
      <c r="G203" s="6">
        <f t="shared" si="49"/>
        <v>9.1397452128244988E-2</v>
      </c>
      <c r="H203" s="6">
        <f t="shared" si="49"/>
        <v>8.1596743729750509E-2</v>
      </c>
      <c r="I203" s="6">
        <f t="shared" si="49"/>
        <v>0.18744703414515995</v>
      </c>
      <c r="J203" s="6">
        <f t="shared" si="49"/>
        <v>0.15296707489502406</v>
      </c>
      <c r="K203" s="6">
        <f t="shared" si="49"/>
        <v>0.1178449882285552</v>
      </c>
      <c r="L203" s="6">
        <f t="shared" si="49"/>
        <v>0.13422524520637164</v>
      </c>
      <c r="M203" s="7">
        <f t="shared" si="49"/>
        <v>0.1405016941221513</v>
      </c>
    </row>
    <row r="204" spans="2:13" x14ac:dyDescent="0.25">
      <c r="C204" s="20" t="s">
        <v>10</v>
      </c>
      <c r="D204" s="25" t="str">
        <f t="shared" ref="D204:D208" si="50">+D201</f>
        <v>Ind</v>
      </c>
      <c r="E204" s="5">
        <f t="shared" si="49"/>
        <v>5.7945491639999055E-2</v>
      </c>
      <c r="F204" s="6">
        <f t="shared" si="49"/>
        <v>4.4681291446253997E-2</v>
      </c>
      <c r="G204" s="6">
        <f t="shared" si="49"/>
        <v>6.7733589347037507E-2</v>
      </c>
      <c r="H204" s="6">
        <f t="shared" si="49"/>
        <v>7.4564454725767962E-2</v>
      </c>
      <c r="I204" s="6">
        <f t="shared" si="49"/>
        <v>0.12913126851317705</v>
      </c>
      <c r="J204" s="6">
        <f t="shared" si="49"/>
        <v>7.5321439924191283E-2</v>
      </c>
      <c r="K204" s="6">
        <f t="shared" si="49"/>
        <v>0.10840230092120542</v>
      </c>
      <c r="L204" s="6">
        <f t="shared" si="49"/>
        <v>3.9435921398675654E-2</v>
      </c>
      <c r="M204" s="7">
        <f t="shared" si="49"/>
        <v>0.12687084107815155</v>
      </c>
    </row>
    <row r="205" spans="2:13" x14ac:dyDescent="0.25">
      <c r="C205" s="20" t="s">
        <v>10</v>
      </c>
      <c r="D205" s="25" t="str">
        <f t="shared" si="50"/>
        <v>Serv</v>
      </c>
      <c r="E205" s="5">
        <f t="shared" si="49"/>
        <v>7.9851357078820059E-2</v>
      </c>
      <c r="F205" s="6">
        <f t="shared" si="49"/>
        <v>8.0866639919541891E-2</v>
      </c>
      <c r="G205" s="6">
        <f t="shared" si="49"/>
        <v>7.8850965086106894E-2</v>
      </c>
      <c r="H205" s="6">
        <f t="shared" si="49"/>
        <v>1.7448150007902365E-2</v>
      </c>
      <c r="I205" s="6">
        <f t="shared" si="49"/>
        <v>0.16298037273459295</v>
      </c>
      <c r="J205" s="6">
        <f t="shared" si="49"/>
        <v>3.4877975002133847E-2</v>
      </c>
      <c r="K205" s="6">
        <f t="shared" si="49"/>
        <v>1.6572340155189394E-2</v>
      </c>
      <c r="L205" s="6">
        <f t="shared" si="49"/>
        <v>8.4062629931905095E-2</v>
      </c>
      <c r="M205" s="7">
        <f t="shared" si="49"/>
        <v>2.4734705045617443E-2</v>
      </c>
    </row>
    <row r="206" spans="2:13" x14ac:dyDescent="0.25">
      <c r="C206" s="20" t="s">
        <v>11</v>
      </c>
      <c r="D206" s="25" t="str">
        <f t="shared" si="50"/>
        <v>Agr</v>
      </c>
      <c r="E206" s="5">
        <f t="shared" si="49"/>
        <v>6.0734842782238757E-2</v>
      </c>
      <c r="F206" s="6">
        <f t="shared" si="49"/>
        <v>0.18080676603508763</v>
      </c>
      <c r="G206" s="6">
        <f t="shared" si="49"/>
        <v>0.18021474440633178</v>
      </c>
      <c r="H206" s="6">
        <f t="shared" si="49"/>
        <v>0.10959879548466978</v>
      </c>
      <c r="I206" s="6">
        <f t="shared" si="49"/>
        <v>0.20061594731169927</v>
      </c>
      <c r="J206" s="6">
        <f t="shared" si="49"/>
        <v>2.1989929141515995E-2</v>
      </c>
      <c r="K206" s="6">
        <f t="shared" si="49"/>
        <v>9.4422579956783256E-2</v>
      </c>
      <c r="L206" s="6">
        <f t="shared" si="49"/>
        <v>0.14679361974995142</v>
      </c>
      <c r="M206" s="7">
        <f t="shared" si="49"/>
        <v>0.13674432279435605</v>
      </c>
    </row>
    <row r="207" spans="2:13" x14ac:dyDescent="0.25">
      <c r="C207" s="20" t="s">
        <v>11</v>
      </c>
      <c r="D207" s="25" t="str">
        <f t="shared" si="50"/>
        <v>Ind</v>
      </c>
      <c r="E207" s="5">
        <f t="shared" si="49"/>
        <v>2.012345718672184E-2</v>
      </c>
      <c r="F207" s="6">
        <f t="shared" si="49"/>
        <v>0.13140130053442037</v>
      </c>
      <c r="G207" s="6">
        <f t="shared" si="49"/>
        <v>9.3574789981992167E-3</v>
      </c>
      <c r="H207" s="6">
        <f t="shared" si="49"/>
        <v>0.10316412894943956</v>
      </c>
      <c r="I207" s="6">
        <f t="shared" si="49"/>
        <v>6.8925249896891983E-3</v>
      </c>
      <c r="J207" s="6">
        <f t="shared" si="49"/>
        <v>9.17579429078344E-3</v>
      </c>
      <c r="K207" s="6">
        <f t="shared" si="49"/>
        <v>9.4405170390610443E-2</v>
      </c>
      <c r="L207" s="6">
        <f t="shared" si="49"/>
        <v>0.14058394254715903</v>
      </c>
      <c r="M207" s="7">
        <f t="shared" si="49"/>
        <v>2.6122126985605225E-2</v>
      </c>
    </row>
    <row r="208" spans="2:13" x14ac:dyDescent="0.25">
      <c r="C208" s="20" t="s">
        <v>11</v>
      </c>
      <c r="D208" s="25" t="str">
        <f t="shared" si="50"/>
        <v>Serv</v>
      </c>
      <c r="E208" s="9">
        <f t="shared" si="49"/>
        <v>0.13510464148262144</v>
      </c>
      <c r="F208" s="10">
        <f t="shared" si="49"/>
        <v>4.0534645631635849E-2</v>
      </c>
      <c r="G208" s="10">
        <f t="shared" si="49"/>
        <v>8.5283022014970261E-2</v>
      </c>
      <c r="H208" s="10">
        <f t="shared" si="49"/>
        <v>0.12065314687496174</v>
      </c>
      <c r="I208" s="10">
        <f t="shared" si="49"/>
        <v>1.882672014693831E-2</v>
      </c>
      <c r="J208" s="10">
        <f t="shared" si="49"/>
        <v>7.6075410166972779E-3</v>
      </c>
      <c r="K208" s="10">
        <f t="shared" si="49"/>
        <v>4.2848338460563677E-2</v>
      </c>
      <c r="L208" s="10">
        <f t="shared" si="49"/>
        <v>1.1437177448348776E-2</v>
      </c>
      <c r="M208" s="11">
        <f t="shared" si="49"/>
        <v>0.1170936713728839</v>
      </c>
    </row>
    <row r="211" spans="3:13" ht="15.75" thickBot="1" x14ac:dyDescent="0.3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.75" thickBot="1" x14ac:dyDescent="0.3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25">
      <c r="C213" s="20" t="s">
        <v>1</v>
      </c>
      <c r="D213" s="28" t="s">
        <v>51</v>
      </c>
      <c r="E213" s="1" cm="1">
        <f t="array" ref="E213:M221">+MINVERSE(_xlfn.MUNIT(COUNTA($D$213:$D$221))-E200:M208)</f>
        <v>1.3654661648340265</v>
      </c>
      <c r="F213" s="2">
        <v>0.32866613590608074</v>
      </c>
      <c r="G213" s="2">
        <v>0.49203181527643558</v>
      </c>
      <c r="H213" s="2">
        <v>0.23927822641698854</v>
      </c>
      <c r="I213" s="2">
        <v>0.28291328133252797</v>
      </c>
      <c r="J213" s="2">
        <v>0.36559545447245445</v>
      </c>
      <c r="K213" s="2">
        <v>0.25010272000015488</v>
      </c>
      <c r="L213" s="2">
        <v>0.37258598408144655</v>
      </c>
      <c r="M213" s="3">
        <v>0.31561915718393757</v>
      </c>
    </row>
    <row r="214" spans="3:13" x14ac:dyDescent="0.25">
      <c r="C214" s="20" t="s">
        <v>1</v>
      </c>
      <c r="D214" s="25" t="s">
        <v>52</v>
      </c>
      <c r="E214" s="5">
        <v>0.35927156496398516</v>
      </c>
      <c r="F214" s="6">
        <v>1.303030517058857</v>
      </c>
      <c r="G214" s="6">
        <v>0.47998615936908562</v>
      </c>
      <c r="H214" s="6">
        <v>0.28971744964478091</v>
      </c>
      <c r="I214" s="6">
        <v>0.32992344001883922</v>
      </c>
      <c r="J214" s="6">
        <v>0.40683871431584079</v>
      </c>
      <c r="K214" s="6">
        <v>0.24349221521830697</v>
      </c>
      <c r="L214" s="6">
        <v>0.33572984424334312</v>
      </c>
      <c r="M214" s="7">
        <v>0.40737484944547808</v>
      </c>
    </row>
    <row r="215" spans="3:13" x14ac:dyDescent="0.25">
      <c r="C215" s="20" t="s">
        <v>1</v>
      </c>
      <c r="D215" s="25" t="s">
        <v>53</v>
      </c>
      <c r="E215" s="5">
        <v>0.17665781855798313</v>
      </c>
      <c r="F215" s="6">
        <v>0.17142023957407609</v>
      </c>
      <c r="G215" s="6">
        <v>1.2018425948432625</v>
      </c>
      <c r="H215" s="6">
        <v>0.24128738602654312</v>
      </c>
      <c r="I215" s="6">
        <v>0.27367593662522127</v>
      </c>
      <c r="J215" s="6">
        <v>0.20946435269007146</v>
      </c>
      <c r="K215" s="6">
        <v>0.22748824821378708</v>
      </c>
      <c r="L215" s="6">
        <v>0.23269522719762537</v>
      </c>
      <c r="M215" s="7">
        <v>0.30556009164706949</v>
      </c>
    </row>
    <row r="216" spans="3:13" x14ac:dyDescent="0.25">
      <c r="C216" s="20" t="s">
        <v>10</v>
      </c>
      <c r="D216" s="25" t="str">
        <f>+D213</f>
        <v>Agr</v>
      </c>
      <c r="E216" s="5">
        <v>0.47023963044421624</v>
      </c>
      <c r="F216" s="6">
        <v>0.44093639969605058</v>
      </c>
      <c r="G216" s="6">
        <v>0.51658248137442486</v>
      </c>
      <c r="H216" s="6">
        <v>1.4109742391582467</v>
      </c>
      <c r="I216" s="6">
        <v>0.58861859073252176</v>
      </c>
      <c r="J216" s="6">
        <v>0.47333952845697108</v>
      </c>
      <c r="K216" s="6">
        <v>0.42624433287011199</v>
      </c>
      <c r="L216" s="6">
        <v>0.5072869425100226</v>
      </c>
      <c r="M216" s="7">
        <v>0.55139316041915176</v>
      </c>
    </row>
    <row r="217" spans="3:13" x14ac:dyDescent="0.25">
      <c r="C217" s="20" t="s">
        <v>10</v>
      </c>
      <c r="D217" s="25" t="str">
        <f t="shared" ref="D217:D221" si="51">+D214</f>
        <v>Ind</v>
      </c>
      <c r="E217" s="5">
        <v>0.29455339705230599</v>
      </c>
      <c r="F217" s="6">
        <v>0.27422051255461338</v>
      </c>
      <c r="G217" s="6">
        <v>0.35376146629829874</v>
      </c>
      <c r="H217" s="6">
        <v>0.2991431859804079</v>
      </c>
      <c r="I217" s="6">
        <v>1.4047790269261542</v>
      </c>
      <c r="J217" s="6">
        <v>0.2877489639154529</v>
      </c>
      <c r="K217" s="6">
        <v>0.31700481583946333</v>
      </c>
      <c r="L217" s="6">
        <v>0.28443114848773804</v>
      </c>
      <c r="M217" s="7">
        <v>0.41116803859232143</v>
      </c>
    </row>
    <row r="218" spans="3:13" x14ac:dyDescent="0.25">
      <c r="C218" s="20" t="s">
        <v>10</v>
      </c>
      <c r="D218" s="25" t="str">
        <f t="shared" si="51"/>
        <v>Serv</v>
      </c>
      <c r="E218" s="5">
        <v>0.24938734051398054</v>
      </c>
      <c r="F218" s="6">
        <v>0.24823912552169111</v>
      </c>
      <c r="G218" s="6">
        <v>0.28804360614520952</v>
      </c>
      <c r="H218" s="6">
        <v>0.18015173246052865</v>
      </c>
      <c r="I218" s="6">
        <v>0.35654857165415915</v>
      </c>
      <c r="J218" s="6">
        <v>1.2024825519943017</v>
      </c>
      <c r="K218" s="6">
        <v>0.17350938871361624</v>
      </c>
      <c r="L218" s="6">
        <v>0.26776291526352852</v>
      </c>
      <c r="M218" s="7">
        <v>0.23055152490045336</v>
      </c>
    </row>
    <row r="219" spans="3:13" x14ac:dyDescent="0.25">
      <c r="C219" s="20" t="s">
        <v>11</v>
      </c>
      <c r="D219" s="25" t="str">
        <f t="shared" si="51"/>
        <v>Agr</v>
      </c>
      <c r="E219" s="5">
        <v>0.41104393527817451</v>
      </c>
      <c r="F219" s="6">
        <v>0.5240293941518005</v>
      </c>
      <c r="G219" s="6">
        <v>0.60446180047590148</v>
      </c>
      <c r="H219" s="6">
        <v>0.45482746256452317</v>
      </c>
      <c r="I219" s="6">
        <v>0.6006520489737277</v>
      </c>
      <c r="J219" s="6">
        <v>0.35809145325019492</v>
      </c>
      <c r="K219" s="6">
        <v>1.4152972377191755</v>
      </c>
      <c r="L219" s="6">
        <v>0.52158863939271627</v>
      </c>
      <c r="M219" s="7">
        <v>0.57028486752001473</v>
      </c>
    </row>
    <row r="220" spans="3:13" x14ac:dyDescent="0.25">
      <c r="C220" s="20" t="s">
        <v>11</v>
      </c>
      <c r="D220" s="25" t="str">
        <f t="shared" si="51"/>
        <v>Ind</v>
      </c>
      <c r="E220" s="5">
        <v>0.2057200210597542</v>
      </c>
      <c r="F220" s="6">
        <v>0.33096145168045288</v>
      </c>
      <c r="G220" s="6">
        <v>0.24224121545883034</v>
      </c>
      <c r="H220" s="6">
        <v>0.28529475461148746</v>
      </c>
      <c r="I220" s="6">
        <v>0.21876025879187763</v>
      </c>
      <c r="J220" s="6">
        <v>0.19030065475024077</v>
      </c>
      <c r="K220" s="6">
        <v>0.26297454644315144</v>
      </c>
      <c r="L220" s="6">
        <v>1.3560499947292397</v>
      </c>
      <c r="M220" s="7">
        <v>0.24851235368494995</v>
      </c>
    </row>
    <row r="221" spans="3:13" x14ac:dyDescent="0.25">
      <c r="C221" s="20" t="s">
        <v>11</v>
      </c>
      <c r="D221" s="25" t="str">
        <f t="shared" si="51"/>
        <v>Serv</v>
      </c>
      <c r="E221" s="9">
        <v>0.33780896254579085</v>
      </c>
      <c r="F221" s="10">
        <v>0.22463540062875265</v>
      </c>
      <c r="G221" s="10">
        <v>0.32651043860234386</v>
      </c>
      <c r="H221" s="10">
        <v>0.29973888358026107</v>
      </c>
      <c r="I221" s="10">
        <v>0.23032296685271444</v>
      </c>
      <c r="J221" s="10">
        <v>0.19588011509167189</v>
      </c>
      <c r="K221" s="10">
        <v>0.21001942188510817</v>
      </c>
      <c r="L221" s="10">
        <v>0.21547927796367575</v>
      </c>
      <c r="M221" s="11">
        <v>1.3461379677348611</v>
      </c>
    </row>
    <row r="223" spans="3:13" x14ac:dyDescent="0.25">
      <c r="E223" s="16"/>
      <c r="F223" s="16"/>
      <c r="G223" s="18"/>
      <c r="I223" s="16"/>
      <c r="L223" s="16"/>
    </row>
    <row r="224" spans="3:13" x14ac:dyDescent="0.25">
      <c r="E224" s="16"/>
      <c r="F224" s="16"/>
      <c r="G224" s="18"/>
      <c r="I224" s="16"/>
      <c r="L224" s="16"/>
    </row>
    <row r="225" spans="5:12" x14ac:dyDescent="0.25">
      <c r="E225" s="16"/>
      <c r="F225" s="16"/>
      <c r="G225" s="18"/>
      <c r="I225" s="16"/>
      <c r="L225" s="16"/>
    </row>
    <row r="226" spans="5:12" x14ac:dyDescent="0.25">
      <c r="E226" s="16"/>
      <c r="F226" s="16"/>
      <c r="G226" s="18"/>
      <c r="I226" s="16"/>
      <c r="L226" s="16"/>
    </row>
    <row r="227" spans="5:12" x14ac:dyDescent="0.25">
      <c r="E227" s="16"/>
      <c r="F227" s="16"/>
      <c r="G227" s="18"/>
      <c r="I227" s="16"/>
      <c r="L227" s="16"/>
    </row>
    <row r="228" spans="5:12" x14ac:dyDescent="0.25">
      <c r="E228" s="16"/>
      <c r="F228" s="16"/>
      <c r="G228" s="18"/>
      <c r="I228" s="16"/>
      <c r="L228" s="16"/>
    </row>
    <row r="229" spans="5:12" x14ac:dyDescent="0.25">
      <c r="E229" s="16"/>
      <c r="F229" s="16"/>
      <c r="G229" s="18"/>
      <c r="I229" s="16"/>
      <c r="L229" s="16"/>
    </row>
    <row r="230" spans="5:12" x14ac:dyDescent="0.25">
      <c r="E230" s="16"/>
      <c r="F230" s="16"/>
      <c r="G230" s="18"/>
      <c r="I230" s="16"/>
      <c r="L230" s="16"/>
    </row>
    <row r="231" spans="5:12" x14ac:dyDescent="0.25">
      <c r="E231" s="16"/>
      <c r="F231" s="16"/>
      <c r="G231" s="18"/>
      <c r="I231" s="16"/>
      <c r="L231" s="16"/>
    </row>
    <row r="234" spans="5:12" x14ac:dyDescent="0.25">
      <c r="E234" s="16"/>
    </row>
    <row r="235" spans="5:12" x14ac:dyDescent="0.25">
      <c r="E235" s="16"/>
      <c r="F235" s="18"/>
    </row>
    <row r="236" spans="5:12" x14ac:dyDescent="0.25">
      <c r="E236" s="16"/>
      <c r="F236" s="18"/>
    </row>
    <row r="237" spans="5:12" x14ac:dyDescent="0.25">
      <c r="E237" s="16"/>
      <c r="F237" s="18"/>
    </row>
    <row r="238" spans="5:12" x14ac:dyDescent="0.25">
      <c r="E238" s="16"/>
      <c r="F238" s="18"/>
    </row>
    <row r="239" spans="5:12" x14ac:dyDescent="0.25">
      <c r="E239" s="16"/>
      <c r="F239" s="18"/>
    </row>
    <row r="240" spans="5:12" x14ac:dyDescent="0.25">
      <c r="E240" s="16"/>
      <c r="F240" s="18"/>
    </row>
    <row r="241" spans="5:6" x14ac:dyDescent="0.25">
      <c r="E241" s="16"/>
      <c r="F241" s="18"/>
    </row>
    <row r="242" spans="5:6" x14ac:dyDescent="0.25">
      <c r="E242" s="16"/>
      <c r="F242" s="18"/>
    </row>
    <row r="243" spans="5:6" x14ac:dyDescent="0.25">
      <c r="F243" s="18"/>
    </row>
  </sheetData>
  <conditionalFormatting sqref="E106:M114">
    <cfRule type="expression" dxfId="5" priority="1">
      <formula>E106&lt;0</formula>
    </cfRule>
  </conditionalFormatting>
  <conditionalFormatting sqref="E131:M133">
    <cfRule type="expression" dxfId="4" priority="3">
      <formula>E131&lt;0</formula>
    </cfRule>
  </conditionalFormatting>
  <conditionalFormatting sqref="E137:M145">
    <cfRule type="expression" dxfId="3" priority="4">
      <formula>E137&lt;0</formula>
    </cfRule>
  </conditionalFormatting>
  <conditionalFormatting sqref="O137:W1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B8881-2B5D-48BA-A9C7-9DBFECE4365A}">
  <dimension ref="A3:Y243"/>
  <sheetViews>
    <sheetView showGridLines="0" topLeftCell="A163" zoomScaleNormal="100" workbookViewId="0">
      <selection activeCell="N189" sqref="N189"/>
    </sheetView>
  </sheetViews>
  <sheetFormatPr defaultRowHeight="15" x14ac:dyDescent="0.25"/>
  <cols>
    <col min="1" max="1" width="12.7109375" style="65" customWidth="1"/>
    <col min="2" max="23" width="12.7109375" customWidth="1"/>
  </cols>
  <sheetData>
    <row r="3" spans="3:18" ht="15.75" thickBot="1" x14ac:dyDescent="0.3">
      <c r="E3" s="20" t="s">
        <v>1</v>
      </c>
      <c r="F3" s="20" t="s">
        <v>1</v>
      </c>
      <c r="G3" s="20" t="s">
        <v>1</v>
      </c>
      <c r="H3" s="20" t="s">
        <v>10</v>
      </c>
      <c r="I3" s="20" t="s">
        <v>10</v>
      </c>
      <c r="J3" s="20" t="s">
        <v>10</v>
      </c>
      <c r="K3" s="20" t="s">
        <v>11</v>
      </c>
      <c r="L3" s="20" t="s">
        <v>11</v>
      </c>
      <c r="M3" s="20" t="s">
        <v>11</v>
      </c>
    </row>
    <row r="4" spans="3:18" ht="15.75" thickBot="1" x14ac:dyDescent="0.3">
      <c r="D4" s="23" t="s">
        <v>0</v>
      </c>
      <c r="E4" s="27" t="s">
        <v>51</v>
      </c>
      <c r="F4" s="26" t="s">
        <v>52</v>
      </c>
      <c r="G4" s="26" t="s">
        <v>53</v>
      </c>
      <c r="H4" s="26" t="s">
        <v>51</v>
      </c>
      <c r="I4" s="26" t="s">
        <v>52</v>
      </c>
      <c r="J4" s="26" t="s">
        <v>53</v>
      </c>
      <c r="K4" s="26" t="s">
        <v>51</v>
      </c>
      <c r="L4" s="26" t="s">
        <v>52</v>
      </c>
      <c r="M4" s="26" t="s">
        <v>53</v>
      </c>
      <c r="N4" s="20" t="s">
        <v>7</v>
      </c>
      <c r="O4" s="21" t="s">
        <v>8</v>
      </c>
      <c r="P4" s="57" t="s">
        <v>29</v>
      </c>
      <c r="Q4" s="57" t="s">
        <v>8</v>
      </c>
      <c r="R4" s="57"/>
    </row>
    <row r="5" spans="3:18" x14ac:dyDescent="0.25">
      <c r="C5" s="20" t="s">
        <v>1</v>
      </c>
      <c r="D5" s="28" t="s">
        <v>51</v>
      </c>
      <c r="E5" s="82" cm="1">
        <f t="array" ref="E5:M13">+'IO_sub_model (4)'!E150:M158</f>
        <v>9.1878211946094464</v>
      </c>
      <c r="F5" s="83">
        <v>5.1082812693290203</v>
      </c>
      <c r="G5" s="83">
        <v>8.9767600705519683</v>
      </c>
      <c r="H5" s="83">
        <v>1.5865188148713711</v>
      </c>
      <c r="I5" s="83">
        <v>0.98317492654114169</v>
      </c>
      <c r="J5" s="83">
        <v>7.1429791369222482</v>
      </c>
      <c r="K5" s="83">
        <v>3.5221871367301207</v>
      </c>
      <c r="L5" s="83">
        <v>6.8202896769055821</v>
      </c>
      <c r="M5" s="84">
        <v>2.6719877735390831</v>
      </c>
      <c r="N5" s="24">
        <f>+O5-SUM(E5:M5)</f>
        <v>21.975782452885667</v>
      </c>
      <c r="O5" s="29" cm="1">
        <f t="array" ref="O5:O13">+TRANSPOSE(_xlfn.ANCHORARRAY(E15))</f>
        <v>67.975782452885653</v>
      </c>
      <c r="P5" s="62" cm="1">
        <f t="array" ref="P5:P13">+MMULT(E21:M29,O5:O13)</f>
        <v>45.999999999999986</v>
      </c>
      <c r="Q5" s="61">
        <f>+P5+N5</f>
        <v>67.975782452885653</v>
      </c>
      <c r="R5" s="61" t="b">
        <f>+Q5=O5</f>
        <v>1</v>
      </c>
    </row>
    <row r="6" spans="3:18" x14ac:dyDescent="0.25">
      <c r="C6" s="20" t="s">
        <v>1</v>
      </c>
      <c r="D6" s="25" t="s">
        <v>52</v>
      </c>
      <c r="E6" s="85">
        <v>7.4342178125299716</v>
      </c>
      <c r="F6" s="86">
        <v>3.4689824810327221</v>
      </c>
      <c r="G6" s="86">
        <v>7.9681350467638117</v>
      </c>
      <c r="H6" s="86">
        <v>4.4579433202995862</v>
      </c>
      <c r="I6" s="86">
        <v>2.2310393230186096</v>
      </c>
      <c r="J6" s="86">
        <v>8.887239638299441</v>
      </c>
      <c r="K6" s="86">
        <v>2.3020580723316604</v>
      </c>
      <c r="L6" s="86">
        <v>4.3577117251549558</v>
      </c>
      <c r="M6" s="87">
        <v>6.8926725805692248</v>
      </c>
      <c r="N6" s="24">
        <f t="shared" ref="N6:N13" si="0">+O6-SUM(E6:M6)</f>
        <v>4.6572962663199036</v>
      </c>
      <c r="O6" s="30">
        <v>52.657296266319889</v>
      </c>
      <c r="P6" s="62">
        <v>47.999999999999986</v>
      </c>
      <c r="Q6" s="61">
        <f t="shared" ref="Q6:Q13" si="1">+P6+N6</f>
        <v>52.657296266319889</v>
      </c>
      <c r="R6" s="61" t="b">
        <f t="shared" ref="R6:R13" si="2">+Q6=O6</f>
        <v>1</v>
      </c>
    </row>
    <row r="7" spans="3:18" x14ac:dyDescent="0.25">
      <c r="C7" s="20" t="s">
        <v>1</v>
      </c>
      <c r="D7" s="25" t="s">
        <v>53</v>
      </c>
      <c r="E7" s="85">
        <v>0.70668399141043237</v>
      </c>
      <c r="F7" s="86">
        <v>0.30917424624206408</v>
      </c>
      <c r="G7" s="86">
        <v>0.26310268346654697</v>
      </c>
      <c r="H7" s="86">
        <v>6.1217689012429339</v>
      </c>
      <c r="I7" s="86">
        <v>3.6241699395622433</v>
      </c>
      <c r="J7" s="86">
        <v>3.3654134908777698</v>
      </c>
      <c r="K7" s="86">
        <v>6.0371747081908209</v>
      </c>
      <c r="L7" s="86">
        <v>3.538666332963762</v>
      </c>
      <c r="M7" s="87">
        <v>6.2138457060434291</v>
      </c>
      <c r="N7" s="24">
        <f t="shared" si="0"/>
        <v>13.102160723918185</v>
      </c>
      <c r="O7" s="30">
        <v>43.282160723918189</v>
      </c>
      <c r="P7" s="62">
        <v>30.180000000000003</v>
      </c>
      <c r="Q7" s="61">
        <f t="shared" si="1"/>
        <v>43.282160723918189</v>
      </c>
      <c r="R7" s="61" t="b">
        <f t="shared" si="2"/>
        <v>1</v>
      </c>
    </row>
    <row r="8" spans="3:18" x14ac:dyDescent="0.25">
      <c r="C8" s="20" t="s">
        <v>10</v>
      </c>
      <c r="D8" s="25" t="str">
        <f>+D5</f>
        <v>Agr</v>
      </c>
      <c r="E8" s="85">
        <v>8.2184354320712742</v>
      </c>
      <c r="F8" s="86">
        <v>4.9479733636574563</v>
      </c>
      <c r="G8" s="86">
        <v>3.9558792127713178</v>
      </c>
      <c r="H8" s="86">
        <v>6.1357437273385536</v>
      </c>
      <c r="I8" s="86">
        <v>8.687999096640949</v>
      </c>
      <c r="J8" s="86">
        <v>7.7290656772302029</v>
      </c>
      <c r="K8" s="86">
        <v>8.9132086951547063</v>
      </c>
      <c r="L8" s="86">
        <v>8.1406700678883066</v>
      </c>
      <c r="M8" s="87">
        <v>8.0710247272472468</v>
      </c>
      <c r="N8" s="24">
        <f t="shared" si="0"/>
        <v>10.395938549462429</v>
      </c>
      <c r="O8" s="30">
        <v>75.19593854946244</v>
      </c>
      <c r="P8" s="62">
        <v>64.800000000000011</v>
      </c>
      <c r="Q8" s="61">
        <f t="shared" si="1"/>
        <v>75.19593854946244</v>
      </c>
      <c r="R8" s="61" t="b">
        <f t="shared" si="2"/>
        <v>1</v>
      </c>
    </row>
    <row r="9" spans="3:18" x14ac:dyDescent="0.25">
      <c r="C9" s="20" t="s">
        <v>10</v>
      </c>
      <c r="D9" s="25" t="str">
        <f t="shared" ref="D9:D13" si="3">+D6</f>
        <v>Ind</v>
      </c>
      <c r="E9" s="85">
        <v>3.9388901338460802</v>
      </c>
      <c r="F9" s="86">
        <v>2.3527960012471816</v>
      </c>
      <c r="G9" s="86">
        <v>2.9316561005263502</v>
      </c>
      <c r="H9" s="86">
        <v>5.6069441555330215</v>
      </c>
      <c r="I9" s="86">
        <v>5.9851165386899785</v>
      </c>
      <c r="J9" s="86">
        <v>3.8058147903863793</v>
      </c>
      <c r="K9" s="86">
        <v>8.1990107994388239</v>
      </c>
      <c r="L9" s="86">
        <v>2.3917618808310097</v>
      </c>
      <c r="M9" s="87">
        <v>7.2880095995011782</v>
      </c>
      <c r="N9" s="24">
        <f t="shared" si="0"/>
        <v>3.8490880837992663</v>
      </c>
      <c r="O9" s="30">
        <v>46.349088083799273</v>
      </c>
      <c r="P9" s="62">
        <v>42.500000000000007</v>
      </c>
      <c r="Q9" s="61">
        <f t="shared" si="1"/>
        <v>46.349088083799273</v>
      </c>
      <c r="R9" s="61" t="b">
        <f t="shared" si="2"/>
        <v>1</v>
      </c>
    </row>
    <row r="10" spans="3:18" x14ac:dyDescent="0.25">
      <c r="C10" s="20" t="s">
        <v>10</v>
      </c>
      <c r="D10" s="25" t="str">
        <f t="shared" si="3"/>
        <v>Serv</v>
      </c>
      <c r="E10" s="85">
        <v>5.4279584773575635</v>
      </c>
      <c r="F10" s="86">
        <v>4.2582186163051281</v>
      </c>
      <c r="G10" s="86">
        <v>3.4128401440929403</v>
      </c>
      <c r="H10" s="86">
        <v>1.3120300157960287</v>
      </c>
      <c r="I10" s="86">
        <v>7.5539916518060863</v>
      </c>
      <c r="J10" s="86">
        <v>1.7623018526391057</v>
      </c>
      <c r="K10" s="86">
        <v>1.2534493709975449</v>
      </c>
      <c r="L10" s="86">
        <v>5.0983414801178304</v>
      </c>
      <c r="M10" s="87">
        <v>1.4208683908877617</v>
      </c>
      <c r="N10" s="24">
        <f t="shared" si="0"/>
        <v>19.027642517413579</v>
      </c>
      <c r="O10" s="30">
        <v>50.527642517413568</v>
      </c>
      <c r="P10" s="62">
        <v>31.499999999999989</v>
      </c>
      <c r="Q10" s="61">
        <f t="shared" si="1"/>
        <v>50.527642517413568</v>
      </c>
      <c r="R10" s="61" t="b">
        <f t="shared" si="2"/>
        <v>1</v>
      </c>
    </row>
    <row r="11" spans="3:18" x14ac:dyDescent="0.25">
      <c r="C11" s="20" t="s">
        <v>11</v>
      </c>
      <c r="D11" s="25" t="str">
        <f t="shared" si="3"/>
        <v>Agr</v>
      </c>
      <c r="E11" s="85">
        <v>4.128498460275674</v>
      </c>
      <c r="F11" s="86">
        <v>9.5207954460647937</v>
      </c>
      <c r="G11" s="86">
        <v>7.8000835322146882</v>
      </c>
      <c r="H11" s="86">
        <v>8.2413842903603296</v>
      </c>
      <c r="I11" s="86">
        <v>9.2983662129647833</v>
      </c>
      <c r="J11" s="86">
        <v>1.1110992786457752</v>
      </c>
      <c r="K11" s="86">
        <v>7.1416542471664455</v>
      </c>
      <c r="L11" s="86">
        <v>8.902933457995136</v>
      </c>
      <c r="M11" s="87">
        <v>7.8551850743123843</v>
      </c>
      <c r="N11" s="24">
        <f t="shared" si="0"/>
        <v>11.635025546168549</v>
      </c>
      <c r="O11" s="30">
        <v>75.635025546168563</v>
      </c>
      <c r="P11" s="62">
        <v>64.000000000000014</v>
      </c>
      <c r="Q11" s="61">
        <f t="shared" si="1"/>
        <v>75.635025546168563</v>
      </c>
      <c r="R11" s="61" t="b">
        <f t="shared" si="2"/>
        <v>1</v>
      </c>
    </row>
    <row r="12" spans="3:18" x14ac:dyDescent="0.25">
      <c r="C12" s="20" t="s">
        <v>11</v>
      </c>
      <c r="D12" s="25" t="str">
        <f t="shared" si="3"/>
        <v>Ind</v>
      </c>
      <c r="E12" s="85">
        <v>1.367907747924562</v>
      </c>
      <c r="F12" s="86">
        <v>6.919237212020712</v>
      </c>
      <c r="G12" s="86">
        <v>0.40501190997074749</v>
      </c>
      <c r="H12" s="86">
        <v>7.7575235009908763</v>
      </c>
      <c r="I12" s="86">
        <v>0.31946224786689231</v>
      </c>
      <c r="J12" s="86">
        <v>0.46363125373803005</v>
      </c>
      <c r="K12" s="86">
        <v>7.1403374741842169</v>
      </c>
      <c r="L12" s="86">
        <v>8.5263207480813037</v>
      </c>
      <c r="M12" s="87">
        <v>1.5005679052226661</v>
      </c>
      <c r="N12" s="24">
        <f t="shared" si="0"/>
        <v>26.249321633735939</v>
      </c>
      <c r="O12" s="30">
        <v>60.649321633735944</v>
      </c>
      <c r="P12" s="62">
        <v>34.400000000000006</v>
      </c>
      <c r="Q12" s="61">
        <f t="shared" si="1"/>
        <v>60.649321633735944</v>
      </c>
      <c r="R12" s="61" t="b">
        <f t="shared" si="2"/>
        <v>1</v>
      </c>
    </row>
    <row r="13" spans="3:18" x14ac:dyDescent="0.25">
      <c r="C13" s="20" t="s">
        <v>11</v>
      </c>
      <c r="D13" s="25" t="str">
        <f t="shared" si="3"/>
        <v>Serv</v>
      </c>
      <c r="E13" s="88">
        <v>9.1838437177977852</v>
      </c>
      <c r="F13" s="89">
        <v>2.1344448440753383</v>
      </c>
      <c r="G13" s="89">
        <v>3.6912334658733958</v>
      </c>
      <c r="H13" s="89">
        <v>9.0726266182088899</v>
      </c>
      <c r="I13" s="89">
        <v>0.87260131041948219</v>
      </c>
      <c r="J13" s="89">
        <v>0.38439111292824102</v>
      </c>
      <c r="K13" s="89">
        <v>3.2408351740756109</v>
      </c>
      <c r="L13" s="89">
        <v>0.69365705364701635</v>
      </c>
      <c r="M13" s="90">
        <v>6.7263667029742331</v>
      </c>
      <c r="N13" s="24">
        <f t="shared" si="0"/>
        <v>21.444323199621699</v>
      </c>
      <c r="O13" s="31">
        <v>57.444323199621692</v>
      </c>
      <c r="P13" s="62">
        <v>35.999999999999993</v>
      </c>
      <c r="Q13" s="61">
        <f t="shared" si="1"/>
        <v>57.444323199621692</v>
      </c>
      <c r="R13" s="61" t="b">
        <f t="shared" si="2"/>
        <v>1</v>
      </c>
    </row>
    <row r="14" spans="3:18" x14ac:dyDescent="0.25">
      <c r="D14" s="22" t="s">
        <v>9</v>
      </c>
      <c r="E14" s="13">
        <f>+E15-SUM(E5:E13)</f>
        <v>18.381525485062866</v>
      </c>
      <c r="F14" s="13">
        <f t="shared" ref="F14:M14" si="4">+F15-SUM(F5:F13)</f>
        <v>13.637392786345472</v>
      </c>
      <c r="G14" s="13">
        <f t="shared" si="4"/>
        <v>3.877458557686424</v>
      </c>
      <c r="H14" s="13">
        <f t="shared" si="4"/>
        <v>24.903455204820844</v>
      </c>
      <c r="I14" s="13">
        <f t="shared" si="4"/>
        <v>6.7931668362891031</v>
      </c>
      <c r="J14" s="13">
        <f t="shared" si="4"/>
        <v>15.875706285746375</v>
      </c>
      <c r="K14" s="13">
        <f t="shared" si="4"/>
        <v>27.88510986789862</v>
      </c>
      <c r="L14" s="13">
        <f t="shared" si="4"/>
        <v>12.178969210151045</v>
      </c>
      <c r="M14" s="13">
        <f t="shared" si="4"/>
        <v>8.8037947393244878</v>
      </c>
      <c r="N14" s="19">
        <f>+SUM(E5:M13)</f>
        <v>397.38000000000011</v>
      </c>
      <c r="R14" s="18"/>
    </row>
    <row r="15" spans="3:18" x14ac:dyDescent="0.25">
      <c r="D15" s="20" t="s">
        <v>8</v>
      </c>
      <c r="E15" s="130" cm="1">
        <f t="array" ref="E15:M15">+'IO_sub_model (4)'!E184:M184</f>
        <v>67.975782452885653</v>
      </c>
      <c r="F15" s="131">
        <v>52.657296266319889</v>
      </c>
      <c r="G15" s="131">
        <v>43.282160723918189</v>
      </c>
      <c r="H15" s="131">
        <v>75.19593854946244</v>
      </c>
      <c r="I15" s="131">
        <v>46.349088083799273</v>
      </c>
      <c r="J15" s="131">
        <v>50.527642517413568</v>
      </c>
      <c r="K15" s="131">
        <v>75.635025546168563</v>
      </c>
      <c r="L15" s="131">
        <v>60.649321633735944</v>
      </c>
      <c r="M15" s="132">
        <v>57.444323199621692</v>
      </c>
      <c r="R15" s="18"/>
    </row>
    <row r="16" spans="3:18" x14ac:dyDescent="0.25">
      <c r="E16" s="97" cm="1">
        <f t="array" ref="E16:M16">+TRANSPOSE(O5:O13)</f>
        <v>67.975782452885653</v>
      </c>
      <c r="F16" s="97">
        <v>52.657296266319889</v>
      </c>
      <c r="G16" s="97">
        <v>43.282160723918189</v>
      </c>
      <c r="H16" s="97">
        <v>75.19593854946244</v>
      </c>
      <c r="I16" s="97">
        <v>46.349088083799273</v>
      </c>
      <c r="J16" s="97">
        <v>50.527642517413568</v>
      </c>
      <c r="K16" s="97">
        <v>75.635025546168563</v>
      </c>
      <c r="L16" s="97">
        <v>60.649321633735944</v>
      </c>
      <c r="M16" s="97">
        <v>57.444323199621692</v>
      </c>
      <c r="R16" s="18"/>
    </row>
    <row r="17" spans="3:18" x14ac:dyDescent="0.25">
      <c r="E17" s="17">
        <f>+E15-E16</f>
        <v>0</v>
      </c>
      <c r="F17" s="17">
        <f t="shared" ref="F17:M17" si="5">+F15-F16</f>
        <v>0</v>
      </c>
      <c r="G17" s="17">
        <f t="shared" si="5"/>
        <v>0</v>
      </c>
      <c r="H17" s="17">
        <f t="shared" si="5"/>
        <v>0</v>
      </c>
      <c r="I17" s="17">
        <f t="shared" si="5"/>
        <v>0</v>
      </c>
      <c r="J17" s="17">
        <f t="shared" si="5"/>
        <v>0</v>
      </c>
      <c r="K17" s="17">
        <f t="shared" si="5"/>
        <v>0</v>
      </c>
      <c r="L17" s="17">
        <f t="shared" si="5"/>
        <v>0</v>
      </c>
      <c r="M17" s="17">
        <f t="shared" si="5"/>
        <v>0</v>
      </c>
      <c r="R17" s="18"/>
    </row>
    <row r="18" spans="3:18" x14ac:dyDescent="0.25">
      <c r="E18" s="18"/>
      <c r="F18" s="18"/>
      <c r="G18" s="18"/>
      <c r="H18" s="18"/>
      <c r="I18" s="18"/>
      <c r="J18" s="18"/>
      <c r="K18" s="18"/>
      <c r="L18" s="18"/>
      <c r="M18" s="18"/>
    </row>
    <row r="19" spans="3:18" ht="15.75" thickBot="1" x14ac:dyDescent="0.3">
      <c r="E19" s="20" t="s">
        <v>1</v>
      </c>
      <c r="F19" s="20" t="s">
        <v>1</v>
      </c>
      <c r="G19" s="20" t="s">
        <v>1</v>
      </c>
      <c r="H19" s="20" t="s">
        <v>10</v>
      </c>
      <c r="I19" s="20" t="s">
        <v>10</v>
      </c>
      <c r="J19" s="20" t="s">
        <v>10</v>
      </c>
      <c r="K19" s="20" t="s">
        <v>11</v>
      </c>
      <c r="L19" s="20" t="s">
        <v>11</v>
      </c>
      <c r="M19" s="20" t="s">
        <v>11</v>
      </c>
    </row>
    <row r="20" spans="3:18" ht="15.75" thickBot="1" x14ac:dyDescent="0.3">
      <c r="D20" s="23" t="s">
        <v>1</v>
      </c>
      <c r="E20" s="27" t="s">
        <v>51</v>
      </c>
      <c r="F20" s="26" t="s">
        <v>52</v>
      </c>
      <c r="G20" s="26" t="s">
        <v>53</v>
      </c>
      <c r="H20" s="26" t="s">
        <v>51</v>
      </c>
      <c r="I20" s="26" t="s">
        <v>52</v>
      </c>
      <c r="J20" s="26" t="s">
        <v>53</v>
      </c>
      <c r="K20" s="26" t="s">
        <v>51</v>
      </c>
      <c r="L20" s="26" t="s">
        <v>52</v>
      </c>
      <c r="M20" s="26" t="s">
        <v>53</v>
      </c>
    </row>
    <row r="21" spans="3:18" x14ac:dyDescent="0.25">
      <c r="C21" s="20" t="s">
        <v>1</v>
      </c>
      <c r="D21" s="28" t="s">
        <v>51</v>
      </c>
      <c r="E21" s="82" cm="1">
        <f t="array" ref="E21:M29">+'IO_sub_model (4)'!E200:M208</f>
        <v>0.13516315462757006</v>
      </c>
      <c r="F21" s="83">
        <v>9.7009942240356264E-2</v>
      </c>
      <c r="G21" s="83">
        <v>0.20740092269911364</v>
      </c>
      <c r="H21" s="83">
        <v>2.1098464165425497E-2</v>
      </c>
      <c r="I21" s="83">
        <v>2.1212389869754478E-2</v>
      </c>
      <c r="J21" s="83">
        <v>0.14136775002832422</v>
      </c>
      <c r="K21" s="83">
        <v>4.6568201852197878E-2</v>
      </c>
      <c r="L21" s="83">
        <v>0.11245450885821323</v>
      </c>
      <c r="M21" s="84">
        <v>4.651439210544446E-2</v>
      </c>
    </row>
    <row r="22" spans="3:18" x14ac:dyDescent="0.25">
      <c r="C22" s="20" t="s">
        <v>1</v>
      </c>
      <c r="D22" s="25" t="s">
        <v>52</v>
      </c>
      <c r="E22" s="85">
        <v>0.10936568207482811</v>
      </c>
      <c r="F22" s="86">
        <v>6.5878477001325195E-2</v>
      </c>
      <c r="G22" s="86">
        <v>0.18409744138213818</v>
      </c>
      <c r="H22" s="86">
        <v>5.9284363042656045E-2</v>
      </c>
      <c r="I22" s="86">
        <v>4.8135560272186684E-2</v>
      </c>
      <c r="J22" s="86">
        <v>0.17588866599577829</v>
      </c>
      <c r="K22" s="86">
        <v>3.0436402390403839E-2</v>
      </c>
      <c r="L22" s="86">
        <v>7.1850955752998824E-2</v>
      </c>
      <c r="M22" s="87">
        <v>0.11998875078773001</v>
      </c>
    </row>
    <row r="23" spans="3:18" x14ac:dyDescent="0.25">
      <c r="C23" s="20" t="s">
        <v>1</v>
      </c>
      <c r="D23" s="25" t="s">
        <v>53</v>
      </c>
      <c r="E23" s="85">
        <v>1.0396114114614842E-2</v>
      </c>
      <c r="F23" s="86">
        <v>5.8714417215495144E-3</v>
      </c>
      <c r="G23" s="86">
        <v>6.078778856369654E-3</v>
      </c>
      <c r="H23" s="86">
        <v>8.1410898239087107E-2</v>
      </c>
      <c r="I23" s="86">
        <v>7.8192907118468755E-2</v>
      </c>
      <c r="J23" s="86">
        <v>6.6605393072077967E-2</v>
      </c>
      <c r="K23" s="86">
        <v>7.9819827713360839E-2</v>
      </c>
      <c r="L23" s="86">
        <v>5.8346346465900006E-2</v>
      </c>
      <c r="M23" s="87">
        <v>0.10817162358149868</v>
      </c>
    </row>
    <row r="24" spans="3:18" x14ac:dyDescent="0.25">
      <c r="C24" s="20" t="s">
        <v>10</v>
      </c>
      <c r="D24" s="25" t="str">
        <f>+D21</f>
        <v>Agr</v>
      </c>
      <c r="E24" s="85">
        <v>0.12090240281923216</v>
      </c>
      <c r="F24" s="86">
        <v>9.3965579596653678E-2</v>
      </c>
      <c r="G24" s="86">
        <v>9.1397452128244988E-2</v>
      </c>
      <c r="H24" s="86">
        <v>8.1596743729750509E-2</v>
      </c>
      <c r="I24" s="86">
        <v>0.18744703414515995</v>
      </c>
      <c r="J24" s="86">
        <v>0.15296707489502406</v>
      </c>
      <c r="K24" s="86">
        <v>0.1178449882285552</v>
      </c>
      <c r="L24" s="86">
        <v>0.13422524520637164</v>
      </c>
      <c r="M24" s="87">
        <v>0.1405016941221513</v>
      </c>
    </row>
    <row r="25" spans="3:18" x14ac:dyDescent="0.25">
      <c r="C25" s="20" t="s">
        <v>10</v>
      </c>
      <c r="D25" s="25" t="str">
        <f t="shared" ref="D25:D29" si="6">+D22</f>
        <v>Ind</v>
      </c>
      <c r="E25" s="85">
        <v>5.7945491639999055E-2</v>
      </c>
      <c r="F25" s="86">
        <v>4.4681291446253997E-2</v>
      </c>
      <c r="G25" s="86">
        <v>6.7733589347037507E-2</v>
      </c>
      <c r="H25" s="86">
        <v>7.4564454725767962E-2</v>
      </c>
      <c r="I25" s="86">
        <v>0.12913126851317705</v>
      </c>
      <c r="J25" s="86">
        <v>7.5321439924191283E-2</v>
      </c>
      <c r="K25" s="86">
        <v>0.10840230092120542</v>
      </c>
      <c r="L25" s="86">
        <v>3.9435921398675654E-2</v>
      </c>
      <c r="M25" s="87">
        <v>0.12687084107815155</v>
      </c>
    </row>
    <row r="26" spans="3:18" x14ac:dyDescent="0.25">
      <c r="C26" s="20" t="s">
        <v>10</v>
      </c>
      <c r="D26" s="25" t="str">
        <f t="shared" si="6"/>
        <v>Serv</v>
      </c>
      <c r="E26" s="85">
        <v>7.9851357078820059E-2</v>
      </c>
      <c r="F26" s="86">
        <v>8.0866639919541891E-2</v>
      </c>
      <c r="G26" s="86">
        <v>7.8850965086106894E-2</v>
      </c>
      <c r="H26" s="86">
        <v>1.7448150007902365E-2</v>
      </c>
      <c r="I26" s="86">
        <v>0.16298037273459295</v>
      </c>
      <c r="J26" s="86">
        <v>3.4877975002133847E-2</v>
      </c>
      <c r="K26" s="86">
        <v>1.6572340155189394E-2</v>
      </c>
      <c r="L26" s="86">
        <v>8.4062629931905095E-2</v>
      </c>
      <c r="M26" s="87">
        <v>2.4734705045617443E-2</v>
      </c>
    </row>
    <row r="27" spans="3:18" x14ac:dyDescent="0.25">
      <c r="C27" s="20" t="s">
        <v>11</v>
      </c>
      <c r="D27" s="25" t="str">
        <f t="shared" si="6"/>
        <v>Agr</v>
      </c>
      <c r="E27" s="85">
        <v>6.0734842782238757E-2</v>
      </c>
      <c r="F27" s="86">
        <v>0.18080676603508763</v>
      </c>
      <c r="G27" s="86">
        <v>0.18021474440633178</v>
      </c>
      <c r="H27" s="86">
        <v>0.10959879548466978</v>
      </c>
      <c r="I27" s="86">
        <v>0.20061594731169927</v>
      </c>
      <c r="J27" s="86">
        <v>2.1989929141515995E-2</v>
      </c>
      <c r="K27" s="86">
        <v>9.4422579956783256E-2</v>
      </c>
      <c r="L27" s="86">
        <v>0.14679361974995142</v>
      </c>
      <c r="M27" s="87">
        <v>0.13674432279435605</v>
      </c>
    </row>
    <row r="28" spans="3:18" x14ac:dyDescent="0.25">
      <c r="C28" s="20" t="s">
        <v>11</v>
      </c>
      <c r="D28" s="25" t="str">
        <f t="shared" si="6"/>
        <v>Ind</v>
      </c>
      <c r="E28" s="85">
        <v>2.012345718672184E-2</v>
      </c>
      <c r="F28" s="86">
        <v>0.13140130053442037</v>
      </c>
      <c r="G28" s="86">
        <v>9.3574789981992167E-3</v>
      </c>
      <c r="H28" s="86">
        <v>0.10316412894943956</v>
      </c>
      <c r="I28" s="86">
        <v>6.8925249896891983E-3</v>
      </c>
      <c r="J28" s="86">
        <v>9.17579429078344E-3</v>
      </c>
      <c r="K28" s="86">
        <v>9.4405170390610443E-2</v>
      </c>
      <c r="L28" s="86">
        <v>0.14058394254715903</v>
      </c>
      <c r="M28" s="87">
        <v>2.6122126985605225E-2</v>
      </c>
    </row>
    <row r="29" spans="3:18" x14ac:dyDescent="0.25">
      <c r="C29" s="20" t="s">
        <v>11</v>
      </c>
      <c r="D29" s="25" t="str">
        <f t="shared" si="6"/>
        <v>Serv</v>
      </c>
      <c r="E29" s="88">
        <v>0.13510464148262144</v>
      </c>
      <c r="F29" s="89">
        <v>4.0534645631635849E-2</v>
      </c>
      <c r="G29" s="89">
        <v>8.5283022014970261E-2</v>
      </c>
      <c r="H29" s="89">
        <v>0.12065314687496174</v>
      </c>
      <c r="I29" s="89">
        <v>1.882672014693831E-2</v>
      </c>
      <c r="J29" s="89">
        <v>7.6075410166972779E-3</v>
      </c>
      <c r="K29" s="89">
        <v>4.2848338460563677E-2</v>
      </c>
      <c r="L29" s="89">
        <v>1.1437177448348776E-2</v>
      </c>
      <c r="M29" s="90">
        <v>0.1170936713728839</v>
      </c>
    </row>
    <row r="30" spans="3:18" x14ac:dyDescent="0.25">
      <c r="D30" s="22" t="s">
        <v>9</v>
      </c>
      <c r="E30" s="13">
        <f t="shared" ref="E30:M30" si="7">+E14/E$15</f>
        <v>0.27041285619335376</v>
      </c>
      <c r="F30" s="14">
        <f t="shared" si="7"/>
        <v>0.2589839158731756</v>
      </c>
      <c r="G30" s="14">
        <f t="shared" si="7"/>
        <v>8.9585605081487968E-2</v>
      </c>
      <c r="H30" s="14">
        <f t="shared" si="7"/>
        <v>0.33118085478033937</v>
      </c>
      <c r="I30" s="14">
        <f t="shared" si="7"/>
        <v>0.14656527489833326</v>
      </c>
      <c r="J30" s="14">
        <f t="shared" si="7"/>
        <v>0.31419843663347363</v>
      </c>
      <c r="K30" s="14">
        <f t="shared" si="7"/>
        <v>0.36867984993113012</v>
      </c>
      <c r="L30" s="14">
        <f t="shared" si="7"/>
        <v>0.2008096526404764</v>
      </c>
      <c r="M30" s="15">
        <f t="shared" si="7"/>
        <v>0.15325787212656145</v>
      </c>
    </row>
    <row r="31" spans="3:18" x14ac:dyDescent="0.25">
      <c r="D31" s="20" t="s">
        <v>8</v>
      </c>
      <c r="E31" s="13">
        <f t="shared" ref="E31:M31" si="8">SUM(E21:E30)</f>
        <v>1</v>
      </c>
      <c r="F31" s="14">
        <f t="shared" si="8"/>
        <v>1</v>
      </c>
      <c r="G31" s="14">
        <f t="shared" si="8"/>
        <v>1.0000000000000002</v>
      </c>
      <c r="H31" s="14">
        <f t="shared" si="8"/>
        <v>1</v>
      </c>
      <c r="I31" s="14">
        <f t="shared" si="8"/>
        <v>0.99999999999999989</v>
      </c>
      <c r="J31" s="14">
        <f t="shared" si="8"/>
        <v>1</v>
      </c>
      <c r="K31" s="14">
        <f t="shared" si="8"/>
        <v>1</v>
      </c>
      <c r="L31" s="14">
        <f t="shared" si="8"/>
        <v>1</v>
      </c>
      <c r="M31" s="15">
        <f t="shared" si="8"/>
        <v>1.0000000000000002</v>
      </c>
    </row>
    <row r="34" spans="3:18" ht="15.75" thickBot="1" x14ac:dyDescent="0.3">
      <c r="E34" s="20" t="s">
        <v>1</v>
      </c>
      <c r="F34" s="20" t="s">
        <v>1</v>
      </c>
      <c r="G34" s="20" t="s">
        <v>1</v>
      </c>
      <c r="H34" s="20" t="s">
        <v>10</v>
      </c>
      <c r="I34" s="20" t="s">
        <v>10</v>
      </c>
      <c r="J34" s="20" t="s">
        <v>10</v>
      </c>
      <c r="K34" s="20" t="s">
        <v>11</v>
      </c>
      <c r="L34" s="20" t="s">
        <v>11</v>
      </c>
      <c r="M34" s="20" t="s">
        <v>11</v>
      </c>
    </row>
    <row r="35" spans="3:18" ht="15.75" thickBot="1" x14ac:dyDescent="0.3">
      <c r="D35" s="23" t="s">
        <v>2</v>
      </c>
      <c r="E35" s="27" t="s">
        <v>51</v>
      </c>
      <c r="F35" s="26" t="s">
        <v>52</v>
      </c>
      <c r="G35" s="26" t="s">
        <v>53</v>
      </c>
      <c r="H35" s="26" t="s">
        <v>51</v>
      </c>
      <c r="I35" s="26" t="s">
        <v>52</v>
      </c>
      <c r="J35" s="26" t="s">
        <v>53</v>
      </c>
      <c r="K35" s="26" t="s">
        <v>51</v>
      </c>
      <c r="L35" s="26" t="s">
        <v>52</v>
      </c>
      <c r="M35" s="26" t="s">
        <v>53</v>
      </c>
    </row>
    <row r="36" spans="3:18" x14ac:dyDescent="0.25">
      <c r="C36" s="20" t="s">
        <v>1</v>
      </c>
      <c r="D36" s="28" t="s">
        <v>51</v>
      </c>
      <c r="E36" s="1" cm="1">
        <f t="array" ref="E36:M44">+MINVERSE(_xlfn.MUNIT(COUNTA($D$36:$D$44))-E21:M29)</f>
        <v>1.3654661648340265</v>
      </c>
      <c r="F36" s="2">
        <v>0.32866613590608074</v>
      </c>
      <c r="G36" s="2">
        <v>0.49203181527643558</v>
      </c>
      <c r="H36" s="2">
        <v>0.23927822641698854</v>
      </c>
      <c r="I36" s="2">
        <v>0.28291328133252797</v>
      </c>
      <c r="J36" s="2">
        <v>0.36559545447245445</v>
      </c>
      <c r="K36" s="2">
        <v>0.25010272000015488</v>
      </c>
      <c r="L36" s="2">
        <v>0.37258598408144655</v>
      </c>
      <c r="M36" s="3">
        <v>0.31561915718393757</v>
      </c>
      <c r="N36" s="16"/>
    </row>
    <row r="37" spans="3:18" x14ac:dyDescent="0.25">
      <c r="C37" s="20" t="s">
        <v>1</v>
      </c>
      <c r="D37" s="25" t="s">
        <v>52</v>
      </c>
      <c r="E37" s="5">
        <v>0.35927156496398516</v>
      </c>
      <c r="F37" s="6">
        <v>1.303030517058857</v>
      </c>
      <c r="G37" s="6">
        <v>0.47998615936908562</v>
      </c>
      <c r="H37" s="6">
        <v>0.28971744964478091</v>
      </c>
      <c r="I37" s="6">
        <v>0.32992344001883922</v>
      </c>
      <c r="J37" s="6">
        <v>0.40683871431584079</v>
      </c>
      <c r="K37" s="6">
        <v>0.24349221521830697</v>
      </c>
      <c r="L37" s="6">
        <v>0.33572984424334312</v>
      </c>
      <c r="M37" s="7">
        <v>0.40737484944547808</v>
      </c>
      <c r="N37" s="16"/>
    </row>
    <row r="38" spans="3:18" x14ac:dyDescent="0.25">
      <c r="C38" s="20" t="s">
        <v>1</v>
      </c>
      <c r="D38" s="25" t="s">
        <v>53</v>
      </c>
      <c r="E38" s="5">
        <v>0.17665781855798313</v>
      </c>
      <c r="F38" s="6">
        <v>0.17142023957407609</v>
      </c>
      <c r="G38" s="6">
        <v>1.2018425948432625</v>
      </c>
      <c r="H38" s="6">
        <v>0.24128738602654312</v>
      </c>
      <c r="I38" s="6">
        <v>0.27367593662522127</v>
      </c>
      <c r="J38" s="6">
        <v>0.20946435269007146</v>
      </c>
      <c r="K38" s="6">
        <v>0.22748824821378708</v>
      </c>
      <c r="L38" s="6">
        <v>0.23269522719762537</v>
      </c>
      <c r="M38" s="7">
        <v>0.30556009164706949</v>
      </c>
      <c r="N38" s="16"/>
    </row>
    <row r="39" spans="3:18" x14ac:dyDescent="0.25">
      <c r="C39" s="20" t="s">
        <v>10</v>
      </c>
      <c r="D39" s="25" t="str">
        <f>+D36</f>
        <v>Agr</v>
      </c>
      <c r="E39" s="5">
        <v>0.47023963044421624</v>
      </c>
      <c r="F39" s="6">
        <v>0.44093639969605058</v>
      </c>
      <c r="G39" s="6">
        <v>0.51658248137442486</v>
      </c>
      <c r="H39" s="6">
        <v>1.4109742391582467</v>
      </c>
      <c r="I39" s="6">
        <v>0.58861859073252176</v>
      </c>
      <c r="J39" s="6">
        <v>0.47333952845697108</v>
      </c>
      <c r="K39" s="6">
        <v>0.42624433287011199</v>
      </c>
      <c r="L39" s="6">
        <v>0.5072869425100226</v>
      </c>
      <c r="M39" s="7">
        <v>0.55139316041915176</v>
      </c>
      <c r="N39" s="16"/>
    </row>
    <row r="40" spans="3:18" x14ac:dyDescent="0.25">
      <c r="C40" s="20" t="s">
        <v>10</v>
      </c>
      <c r="D40" s="25" t="str">
        <f t="shared" ref="D40:D44" si="9">+D37</f>
        <v>Ind</v>
      </c>
      <c r="E40" s="5">
        <v>0.29455339705230599</v>
      </c>
      <c r="F40" s="6">
        <v>0.27422051255461338</v>
      </c>
      <c r="G40" s="6">
        <v>0.35376146629829874</v>
      </c>
      <c r="H40" s="6">
        <v>0.2991431859804079</v>
      </c>
      <c r="I40" s="6">
        <v>1.4047790269261542</v>
      </c>
      <c r="J40" s="6">
        <v>0.2877489639154529</v>
      </c>
      <c r="K40" s="6">
        <v>0.31700481583946333</v>
      </c>
      <c r="L40" s="6">
        <v>0.28443114848773804</v>
      </c>
      <c r="M40" s="7">
        <v>0.41116803859232143</v>
      </c>
      <c r="N40" s="16"/>
    </row>
    <row r="41" spans="3:18" x14ac:dyDescent="0.25">
      <c r="C41" s="20" t="s">
        <v>10</v>
      </c>
      <c r="D41" s="25" t="str">
        <f t="shared" si="9"/>
        <v>Serv</v>
      </c>
      <c r="E41" s="5">
        <v>0.24938734051398054</v>
      </c>
      <c r="F41" s="6">
        <v>0.24823912552169111</v>
      </c>
      <c r="G41" s="6">
        <v>0.28804360614520952</v>
      </c>
      <c r="H41" s="6">
        <v>0.18015173246052865</v>
      </c>
      <c r="I41" s="6">
        <v>0.35654857165415915</v>
      </c>
      <c r="J41" s="6">
        <v>1.2024825519943017</v>
      </c>
      <c r="K41" s="6">
        <v>0.17350938871361624</v>
      </c>
      <c r="L41" s="6">
        <v>0.26776291526352852</v>
      </c>
      <c r="M41" s="7">
        <v>0.23055152490045336</v>
      </c>
      <c r="N41" s="16"/>
    </row>
    <row r="42" spans="3:18" x14ac:dyDescent="0.25">
      <c r="C42" s="20" t="s">
        <v>11</v>
      </c>
      <c r="D42" s="25" t="str">
        <f t="shared" si="9"/>
        <v>Agr</v>
      </c>
      <c r="E42" s="5">
        <v>0.41104393527817451</v>
      </c>
      <c r="F42" s="6">
        <v>0.5240293941518005</v>
      </c>
      <c r="G42" s="6">
        <v>0.60446180047590148</v>
      </c>
      <c r="H42" s="6">
        <v>0.45482746256452317</v>
      </c>
      <c r="I42" s="6">
        <v>0.6006520489737277</v>
      </c>
      <c r="J42" s="6">
        <v>0.35809145325019492</v>
      </c>
      <c r="K42" s="6">
        <v>1.4152972377191755</v>
      </c>
      <c r="L42" s="6">
        <v>0.52158863939271627</v>
      </c>
      <c r="M42" s="7">
        <v>0.57028486752001473</v>
      </c>
      <c r="N42" s="16"/>
    </row>
    <row r="43" spans="3:18" x14ac:dyDescent="0.25">
      <c r="C43" s="20" t="s">
        <v>11</v>
      </c>
      <c r="D43" s="25" t="str">
        <f t="shared" si="9"/>
        <v>Ind</v>
      </c>
      <c r="E43" s="5">
        <v>0.2057200210597542</v>
      </c>
      <c r="F43" s="6">
        <v>0.33096145168045288</v>
      </c>
      <c r="G43" s="6">
        <v>0.24224121545883034</v>
      </c>
      <c r="H43" s="6">
        <v>0.28529475461148746</v>
      </c>
      <c r="I43" s="6">
        <v>0.21876025879187763</v>
      </c>
      <c r="J43" s="6">
        <v>0.19030065475024077</v>
      </c>
      <c r="K43" s="6">
        <v>0.26297454644315144</v>
      </c>
      <c r="L43" s="6">
        <v>1.3560499947292397</v>
      </c>
      <c r="M43" s="7">
        <v>0.24851235368494995</v>
      </c>
      <c r="N43" s="16"/>
    </row>
    <row r="44" spans="3:18" x14ac:dyDescent="0.25">
      <c r="C44" s="20" t="s">
        <v>11</v>
      </c>
      <c r="D44" s="25" t="str">
        <f t="shared" si="9"/>
        <v>Serv</v>
      </c>
      <c r="E44" s="9">
        <v>0.33780896254579085</v>
      </c>
      <c r="F44" s="10">
        <v>0.22463540062875265</v>
      </c>
      <c r="G44" s="10">
        <v>0.32651043860234386</v>
      </c>
      <c r="H44" s="10">
        <v>0.29973888358026107</v>
      </c>
      <c r="I44" s="10">
        <v>0.23032296685271444</v>
      </c>
      <c r="J44" s="10">
        <v>0.19588011509167189</v>
      </c>
      <c r="K44" s="10">
        <v>0.21001942188510817</v>
      </c>
      <c r="L44" s="10">
        <v>0.21547927796367575</v>
      </c>
      <c r="M44" s="11">
        <v>1.3461379677348611</v>
      </c>
      <c r="N44" s="16"/>
    </row>
    <row r="45" spans="3:18" ht="15.75" thickBot="1" x14ac:dyDescent="0.3"/>
    <row r="46" spans="3:18" ht="15.75" thickBot="1" x14ac:dyDescent="0.3">
      <c r="C46" s="38" t="s">
        <v>15</v>
      </c>
      <c r="D46" s="39"/>
      <c r="E46" s="21" t="s">
        <v>12</v>
      </c>
      <c r="F46" s="20" t="s">
        <v>13</v>
      </c>
      <c r="G46" s="20" t="s">
        <v>7</v>
      </c>
      <c r="H46" s="20" t="s">
        <v>14</v>
      </c>
      <c r="J46" s="38" t="s">
        <v>16</v>
      </c>
      <c r="K46" s="39"/>
      <c r="L46" s="21" t="s">
        <v>17</v>
      </c>
      <c r="M46" s="20" t="s">
        <v>18</v>
      </c>
      <c r="N46" s="20" t="s">
        <v>8</v>
      </c>
      <c r="O46" s="20" t="s">
        <v>19</v>
      </c>
    </row>
    <row r="47" spans="3:18" x14ac:dyDescent="0.25">
      <c r="C47" s="22" t="s">
        <v>1</v>
      </c>
      <c r="D47" s="28" t="s">
        <v>51</v>
      </c>
      <c r="E47" s="32"/>
      <c r="F47" s="35"/>
      <c r="G47" s="1"/>
      <c r="H47" s="84" cm="1">
        <f t="array" ref="H47:H55">+N5:N13</f>
        <v>21.975782452885667</v>
      </c>
      <c r="J47" s="22" t="s">
        <v>1</v>
      </c>
      <c r="K47" s="28" t="s">
        <v>51</v>
      </c>
      <c r="L47" s="32">
        <v>0</v>
      </c>
      <c r="M47" s="35">
        <f>1-L47%</f>
        <v>1</v>
      </c>
      <c r="N47" s="1" cm="1">
        <f t="array" ref="N47:N55">+_xlfn.ANCHORARRAY(O5)</f>
        <v>67.975782452885653</v>
      </c>
      <c r="O47" s="3" cm="1">
        <f t="array" ref="O47:O55">+_xlfn.ANCHORARRAY(O5)</f>
        <v>67.975782452885653</v>
      </c>
      <c r="P47" s="18"/>
      <c r="Q47" s="18"/>
      <c r="R47" s="18"/>
    </row>
    <row r="48" spans="3:18" x14ac:dyDescent="0.25">
      <c r="C48" s="20" t="s">
        <v>1</v>
      </c>
      <c r="D48" s="25" t="s">
        <v>52</v>
      </c>
      <c r="E48" s="33"/>
      <c r="F48" s="35"/>
      <c r="G48" s="5"/>
      <c r="H48" s="87">
        <v>4.6572962663199036</v>
      </c>
      <c r="J48" s="20" t="s">
        <v>1</v>
      </c>
      <c r="K48" s="25" t="s">
        <v>52</v>
      </c>
      <c r="L48" s="33"/>
      <c r="M48" s="35">
        <f t="shared" ref="M48:M55" si="10">1-L48%</f>
        <v>1</v>
      </c>
      <c r="N48" s="5">
        <v>52.657296266319889</v>
      </c>
      <c r="O48" s="7">
        <v>52.657296266319889</v>
      </c>
      <c r="P48" s="18"/>
    </row>
    <row r="49" spans="1:16" x14ac:dyDescent="0.25">
      <c r="C49" s="20" t="s">
        <v>1</v>
      </c>
      <c r="D49" s="25" t="s">
        <v>53</v>
      </c>
      <c r="E49" s="33"/>
      <c r="F49" s="35"/>
      <c r="G49" s="5"/>
      <c r="H49" s="87">
        <v>13.102160723918185</v>
      </c>
      <c r="J49" s="20" t="s">
        <v>1</v>
      </c>
      <c r="K49" s="25" t="s">
        <v>53</v>
      </c>
      <c r="L49" s="33"/>
      <c r="M49" s="35">
        <f t="shared" si="10"/>
        <v>1</v>
      </c>
      <c r="N49" s="5">
        <v>43.282160723918189</v>
      </c>
      <c r="O49" s="7">
        <v>43.282160723918189</v>
      </c>
      <c r="P49" s="18"/>
    </row>
    <row r="50" spans="1:16" x14ac:dyDescent="0.25">
      <c r="C50" s="20" t="s">
        <v>10</v>
      </c>
      <c r="D50" s="25" t="str">
        <f>+D47</f>
        <v>Agr</v>
      </c>
      <c r="E50" s="33"/>
      <c r="F50" s="35"/>
      <c r="G50" s="5"/>
      <c r="H50" s="87">
        <v>10.395938549462429</v>
      </c>
      <c r="J50" s="20" t="s">
        <v>10</v>
      </c>
      <c r="K50" s="25" t="str">
        <f>+K47</f>
        <v>Agr</v>
      </c>
      <c r="L50" s="33"/>
      <c r="M50" s="35">
        <f t="shared" si="10"/>
        <v>1</v>
      </c>
      <c r="N50" s="5">
        <v>75.19593854946244</v>
      </c>
      <c r="O50" s="7">
        <v>75.19593854946244</v>
      </c>
      <c r="P50" s="18"/>
    </row>
    <row r="51" spans="1:16" x14ac:dyDescent="0.25">
      <c r="C51" s="20" t="s">
        <v>10</v>
      </c>
      <c r="D51" s="25" t="str">
        <f t="shared" ref="D51:D55" si="11">+D48</f>
        <v>Ind</v>
      </c>
      <c r="E51" s="33"/>
      <c r="F51" s="35"/>
      <c r="G51" s="5"/>
      <c r="H51" s="87">
        <v>3.8490880837992663</v>
      </c>
      <c r="J51" s="20" t="s">
        <v>10</v>
      </c>
      <c r="K51" s="25" t="str">
        <f t="shared" ref="K51:K55" si="12">+K48</f>
        <v>Ind</v>
      </c>
      <c r="L51" s="33"/>
      <c r="M51" s="35">
        <f t="shared" si="10"/>
        <v>1</v>
      </c>
      <c r="N51" s="5">
        <v>46.349088083799273</v>
      </c>
      <c r="O51" s="7">
        <v>46.349088083799273</v>
      </c>
      <c r="P51" s="18"/>
    </row>
    <row r="52" spans="1:16" x14ac:dyDescent="0.25">
      <c r="C52" s="20" t="s">
        <v>10</v>
      </c>
      <c r="D52" s="25" t="str">
        <f t="shared" si="11"/>
        <v>Serv</v>
      </c>
      <c r="E52" s="33"/>
      <c r="F52" s="35"/>
      <c r="G52" s="5"/>
      <c r="H52" s="87">
        <v>19.027642517413579</v>
      </c>
      <c r="J52" s="20" t="s">
        <v>10</v>
      </c>
      <c r="K52" s="25" t="str">
        <f t="shared" si="12"/>
        <v>Serv</v>
      </c>
      <c r="L52" s="33"/>
      <c r="M52" s="35">
        <f t="shared" si="10"/>
        <v>1</v>
      </c>
      <c r="N52" s="5">
        <v>50.527642517413568</v>
      </c>
      <c r="O52" s="7">
        <v>50.527642517413568</v>
      </c>
      <c r="P52" s="18"/>
    </row>
    <row r="53" spans="1:16" x14ac:dyDescent="0.25">
      <c r="C53" s="20" t="s">
        <v>11</v>
      </c>
      <c r="D53" s="25" t="str">
        <f t="shared" si="11"/>
        <v>Agr</v>
      </c>
      <c r="E53" s="33"/>
      <c r="F53" s="35"/>
      <c r="G53" s="5"/>
      <c r="H53" s="87">
        <v>11.635025546168549</v>
      </c>
      <c r="J53" s="20" t="s">
        <v>11</v>
      </c>
      <c r="K53" s="25" t="str">
        <f t="shared" si="12"/>
        <v>Agr</v>
      </c>
      <c r="L53" s="33"/>
      <c r="M53" s="35">
        <f t="shared" si="10"/>
        <v>1</v>
      </c>
      <c r="N53" s="5">
        <v>75.635025546168563</v>
      </c>
      <c r="O53" s="7">
        <v>75.635025546168563</v>
      </c>
      <c r="P53" s="18"/>
    </row>
    <row r="54" spans="1:16" x14ac:dyDescent="0.25">
      <c r="C54" s="20" t="s">
        <v>11</v>
      </c>
      <c r="D54" s="25" t="str">
        <f t="shared" si="11"/>
        <v>Ind</v>
      </c>
      <c r="E54" s="33"/>
      <c r="F54" s="35"/>
      <c r="G54" s="5"/>
      <c r="H54" s="87">
        <v>26.249321633735939</v>
      </c>
      <c r="J54" s="20" t="s">
        <v>11</v>
      </c>
      <c r="K54" s="25" t="str">
        <f t="shared" si="12"/>
        <v>Ind</v>
      </c>
      <c r="L54" s="33"/>
      <c r="M54" s="35">
        <f t="shared" si="10"/>
        <v>1</v>
      </c>
      <c r="N54" s="5">
        <v>60.649321633735944</v>
      </c>
      <c r="O54" s="7">
        <v>60.649321633735944</v>
      </c>
      <c r="P54" s="18"/>
    </row>
    <row r="55" spans="1:16" x14ac:dyDescent="0.25">
      <c r="C55" s="20" t="s">
        <v>11</v>
      </c>
      <c r="D55" s="25" t="str">
        <f t="shared" si="11"/>
        <v>Serv</v>
      </c>
      <c r="E55" s="34"/>
      <c r="F55" s="35"/>
      <c r="G55" s="9"/>
      <c r="H55" s="90">
        <v>21.444323199621699</v>
      </c>
      <c r="J55" s="20" t="s">
        <v>11</v>
      </c>
      <c r="K55" s="25" t="str">
        <f t="shared" si="12"/>
        <v>Serv</v>
      </c>
      <c r="L55" s="34"/>
      <c r="M55" s="35">
        <f t="shared" si="10"/>
        <v>1</v>
      </c>
      <c r="N55" s="9">
        <v>57.444323199621692</v>
      </c>
      <c r="O55" s="11">
        <v>57.444323199621692</v>
      </c>
      <c r="P55" s="18"/>
    </row>
    <row r="56" spans="1:16" x14ac:dyDescent="0.25">
      <c r="G56" s="13">
        <f t="shared" ref="G56:H56" si="13">SUM(G47:G55)</f>
        <v>0</v>
      </c>
      <c r="H56" s="15">
        <f t="shared" si="13"/>
        <v>132.3365789733252</v>
      </c>
      <c r="N56" s="13">
        <f t="shared" ref="N56:O56" si="14">SUM(N47:N55)</f>
        <v>529.71657897332523</v>
      </c>
      <c r="O56" s="15">
        <f t="shared" si="14"/>
        <v>529.71657897332523</v>
      </c>
    </row>
    <row r="58" spans="1:16" x14ac:dyDescent="0.25">
      <c r="A58" s="66"/>
    </row>
    <row r="59" spans="1:16" x14ac:dyDescent="0.25">
      <c r="A59" s="68" t="s">
        <v>30</v>
      </c>
      <c r="E59" s="20" t="s">
        <v>20</v>
      </c>
      <c r="F59" s="20" t="s">
        <v>19</v>
      </c>
      <c r="G59" s="20" t="s">
        <v>3</v>
      </c>
    </row>
    <row r="60" spans="1:16" x14ac:dyDescent="0.25">
      <c r="A60" s="67"/>
      <c r="C60" s="20" t="s">
        <v>1</v>
      </c>
      <c r="D60" s="28" t="s">
        <v>51</v>
      </c>
      <c r="E60" s="91" cm="1">
        <f t="array" ref="E60:E68">+'IO_sub_model (4)'!F188:F196</f>
        <v>66.685384615384606</v>
      </c>
      <c r="F60" s="133" cm="1">
        <f t="array" ref="F60:F68">+_xlfn.ANCHORARRAY(O5)</f>
        <v>67.975782452885653</v>
      </c>
      <c r="G60" s="94">
        <f>+MIN(F60/E60,1)</f>
        <v>1</v>
      </c>
      <c r="H60" s="18"/>
    </row>
    <row r="61" spans="1:16" x14ac:dyDescent="0.25">
      <c r="C61" s="20" t="s">
        <v>1</v>
      </c>
      <c r="D61" s="25" t="s">
        <v>52</v>
      </c>
      <c r="E61" s="92">
        <v>51.657692307692301</v>
      </c>
      <c r="F61" s="134">
        <v>52.657296266319889</v>
      </c>
      <c r="G61" s="95">
        <f t="shared" ref="G61:G68" si="15">+MIN(F61/E61,1)</f>
        <v>1</v>
      </c>
      <c r="H61" s="18"/>
    </row>
    <row r="62" spans="1:16" x14ac:dyDescent="0.25">
      <c r="C62" s="20" t="s">
        <v>1</v>
      </c>
      <c r="D62" s="25" t="s">
        <v>53</v>
      </c>
      <c r="E62" s="92">
        <v>44.143846153846141</v>
      </c>
      <c r="F62" s="134">
        <v>43.282160723918189</v>
      </c>
      <c r="G62" s="95">
        <f t="shared" si="15"/>
        <v>0.98048005543230454</v>
      </c>
      <c r="H62" s="18"/>
    </row>
    <row r="63" spans="1:16" x14ac:dyDescent="0.25">
      <c r="C63" s="20" t="s">
        <v>10</v>
      </c>
      <c r="D63" s="25" t="str">
        <f>+D60</f>
        <v>Agr</v>
      </c>
      <c r="E63" s="92">
        <v>77.016923076923078</v>
      </c>
      <c r="F63" s="134">
        <v>75.19593854946244</v>
      </c>
      <c r="G63" s="95">
        <f t="shared" si="15"/>
        <v>0.97635604676595722</v>
      </c>
      <c r="H63" s="18"/>
    </row>
    <row r="64" spans="1:16" x14ac:dyDescent="0.25">
      <c r="C64" s="20" t="s">
        <v>10</v>
      </c>
      <c r="D64" s="25" t="str">
        <f t="shared" ref="D64:D68" si="16">+D61</f>
        <v>Ind</v>
      </c>
      <c r="E64" s="92">
        <v>46.961538461538467</v>
      </c>
      <c r="F64" s="134">
        <v>46.349088083799273</v>
      </c>
      <c r="G64" s="95">
        <f t="shared" si="15"/>
        <v>0.98695846861489023</v>
      </c>
      <c r="H64" s="18"/>
    </row>
    <row r="65" spans="1:13" x14ac:dyDescent="0.25">
      <c r="C65" s="20" t="s">
        <v>10</v>
      </c>
      <c r="D65" s="25" t="str">
        <f t="shared" si="16"/>
        <v>Serv</v>
      </c>
      <c r="E65" s="92">
        <v>51.657692307692287</v>
      </c>
      <c r="F65" s="134">
        <v>50.527642517413568</v>
      </c>
      <c r="G65" s="95">
        <f t="shared" si="15"/>
        <v>0.97812426882045511</v>
      </c>
      <c r="H65" s="18"/>
    </row>
    <row r="66" spans="1:13" x14ac:dyDescent="0.25">
      <c r="C66" s="20" t="s">
        <v>11</v>
      </c>
      <c r="D66" s="25" t="str">
        <f t="shared" si="16"/>
        <v>Agr</v>
      </c>
      <c r="E66" s="92">
        <v>74.19923076923078</v>
      </c>
      <c r="F66" s="134">
        <v>75.635025546168563</v>
      </c>
      <c r="G66" s="95">
        <f t="shared" si="15"/>
        <v>1</v>
      </c>
      <c r="H66" s="18"/>
    </row>
    <row r="67" spans="1:13" x14ac:dyDescent="0.25">
      <c r="C67" s="20" t="s">
        <v>11</v>
      </c>
      <c r="D67" s="25" t="str">
        <f t="shared" si="16"/>
        <v>Ind</v>
      </c>
      <c r="E67" s="92">
        <v>61.04999999999999</v>
      </c>
      <c r="F67" s="134">
        <v>60.649321633735944</v>
      </c>
      <c r="G67" s="95">
        <f t="shared" si="15"/>
        <v>0.99343688179747669</v>
      </c>
      <c r="H67" s="18"/>
    </row>
    <row r="68" spans="1:13" x14ac:dyDescent="0.25">
      <c r="C68" s="20" t="s">
        <v>11</v>
      </c>
      <c r="D68" s="25" t="str">
        <f t="shared" si="16"/>
        <v>Serv</v>
      </c>
      <c r="E68" s="93">
        <v>56.353846153846142</v>
      </c>
      <c r="F68" s="135">
        <v>57.444323199621692</v>
      </c>
      <c r="G68" s="96">
        <f t="shared" si="15"/>
        <v>1</v>
      </c>
      <c r="H68" s="18"/>
    </row>
    <row r="69" spans="1:13" x14ac:dyDescent="0.25">
      <c r="A69" s="66"/>
    </row>
    <row r="70" spans="1:13" x14ac:dyDescent="0.25">
      <c r="A70" s="68" t="s">
        <v>31</v>
      </c>
      <c r="E70" s="20" t="s">
        <v>1</v>
      </c>
      <c r="F70" s="20" t="s">
        <v>1</v>
      </c>
      <c r="G70" s="20" t="s">
        <v>1</v>
      </c>
      <c r="H70" s="20" t="s">
        <v>10</v>
      </c>
      <c r="I70" s="20" t="s">
        <v>10</v>
      </c>
      <c r="J70" s="20" t="s">
        <v>10</v>
      </c>
      <c r="K70" s="20" t="s">
        <v>11</v>
      </c>
      <c r="L70" s="20" t="s">
        <v>11</v>
      </c>
      <c r="M70" s="20" t="s">
        <v>11</v>
      </c>
    </row>
    <row r="71" spans="1:13" x14ac:dyDescent="0.25">
      <c r="A71" s="67"/>
      <c r="E71" s="27" t="s">
        <v>51</v>
      </c>
      <c r="F71" s="26" t="s">
        <v>52</v>
      </c>
      <c r="G71" s="26" t="s">
        <v>53</v>
      </c>
      <c r="H71" s="26" t="s">
        <v>51</v>
      </c>
      <c r="I71" s="26" t="s">
        <v>52</v>
      </c>
      <c r="J71" s="26" t="s">
        <v>53</v>
      </c>
      <c r="K71" s="26" t="s">
        <v>51</v>
      </c>
      <c r="L71" s="26" t="s">
        <v>52</v>
      </c>
      <c r="M71" s="26" t="s">
        <v>53</v>
      </c>
    </row>
    <row r="72" spans="1:13" x14ac:dyDescent="0.25">
      <c r="C72" t="s">
        <v>25</v>
      </c>
      <c r="D72" s="20" t="s">
        <v>4</v>
      </c>
      <c r="E72" s="43" cm="1">
        <f t="array" ref="E72">+MIN(_xlfn._xlws.FILTER($G$60:$G$68,E21:E29&gt;0))</f>
        <v>0.97635604676595722</v>
      </c>
      <c r="F72" s="44" cm="1">
        <f t="array" ref="F72">+MIN(_xlfn._xlws.FILTER($G$60:$G$68,F21:F29&gt;0))</f>
        <v>0.97635604676595722</v>
      </c>
      <c r="G72" s="44" cm="1">
        <f t="array" ref="G72">+MIN(_xlfn._xlws.FILTER($G$60:$G$68,G21:G29&gt;0))</f>
        <v>0.97635604676595722</v>
      </c>
      <c r="H72" s="44" cm="1">
        <f t="array" ref="H72">+MIN(_xlfn._xlws.FILTER($G$60:$G$68,H21:H29&gt;0))</f>
        <v>0.97635604676595722</v>
      </c>
      <c r="I72" s="44" cm="1">
        <f t="array" ref="I72">+MIN(_xlfn._xlws.FILTER($G$60:$G$68,I21:I29&gt;0))</f>
        <v>0.97635604676595722</v>
      </c>
      <c r="J72" s="44" cm="1">
        <f t="array" ref="J72">+MIN(_xlfn._xlws.FILTER($G$60:$G$68,J21:J29&gt;0))</f>
        <v>0.97635604676595722</v>
      </c>
      <c r="K72" s="44" cm="1">
        <f t="array" ref="K72">+MIN(_xlfn._xlws.FILTER($G$60:$G$68,K21:K29&gt;0))</f>
        <v>0.97635604676595722</v>
      </c>
      <c r="L72" s="44" cm="1">
        <f t="array" ref="L72">+MIN(_xlfn._xlws.FILTER($G$60:$G$68,L21:L29&gt;0))</f>
        <v>0.97635604676595722</v>
      </c>
      <c r="M72" s="45" cm="1">
        <f t="array" ref="M72">+MIN(_xlfn._xlws.FILTER($G$60:$G$68,M21:M29&gt;0))</f>
        <v>0.97635604676595722</v>
      </c>
    </row>
    <row r="73" spans="1:13" ht="15.75" thickBot="1" x14ac:dyDescent="0.3">
      <c r="C73" t="s">
        <v>26</v>
      </c>
      <c r="D73" s="49" t="s">
        <v>18</v>
      </c>
      <c r="E73" s="50" cm="1">
        <f t="array" ref="E73:M73">+TRANSPOSE(M47:M55)</f>
        <v>1</v>
      </c>
      <c r="F73" s="51">
        <v>1</v>
      </c>
      <c r="G73" s="51">
        <v>1</v>
      </c>
      <c r="H73" s="51">
        <v>1</v>
      </c>
      <c r="I73" s="51">
        <v>1</v>
      </c>
      <c r="J73" s="51">
        <v>1</v>
      </c>
      <c r="K73" s="51">
        <v>1</v>
      </c>
      <c r="L73" s="51">
        <v>1</v>
      </c>
      <c r="M73" s="52">
        <v>1</v>
      </c>
    </row>
    <row r="74" spans="1:13" x14ac:dyDescent="0.25">
      <c r="D74" s="22" t="s">
        <v>22</v>
      </c>
      <c r="E74" s="46">
        <f>+MIN(E72:E73)</f>
        <v>0.97635604676595722</v>
      </c>
      <c r="F74" s="47">
        <f t="shared" ref="F74:M74" si="17">+MIN(F72:F73)</f>
        <v>0.97635604676595722</v>
      </c>
      <c r="G74" s="47">
        <f t="shared" si="17"/>
        <v>0.97635604676595722</v>
      </c>
      <c r="H74" s="47">
        <f t="shared" si="17"/>
        <v>0.97635604676595722</v>
      </c>
      <c r="I74" s="47">
        <f t="shared" si="17"/>
        <v>0.97635604676595722</v>
      </c>
      <c r="J74" s="47">
        <f t="shared" si="17"/>
        <v>0.97635604676595722</v>
      </c>
      <c r="K74" s="47">
        <f t="shared" si="17"/>
        <v>0.97635604676595722</v>
      </c>
      <c r="L74" s="47">
        <f t="shared" si="17"/>
        <v>0.97635604676595722</v>
      </c>
      <c r="M74" s="48">
        <f t="shared" si="17"/>
        <v>0.97635604676595722</v>
      </c>
    </row>
    <row r="75" spans="1:13" x14ac:dyDescent="0.25">
      <c r="A75" s="66"/>
    </row>
    <row r="76" spans="1:13" ht="15.75" thickBot="1" x14ac:dyDescent="0.3">
      <c r="A76" s="68" t="s">
        <v>32</v>
      </c>
      <c r="E76" s="20" t="s">
        <v>1</v>
      </c>
      <c r="F76" s="20" t="s">
        <v>1</v>
      </c>
      <c r="G76" s="20" t="s">
        <v>1</v>
      </c>
      <c r="H76" s="20" t="s">
        <v>10</v>
      </c>
      <c r="I76" s="20" t="s">
        <v>10</v>
      </c>
      <c r="J76" s="20" t="s">
        <v>10</v>
      </c>
      <c r="K76" s="20" t="s">
        <v>11</v>
      </c>
      <c r="L76" s="20" t="s">
        <v>11</v>
      </c>
      <c r="M76" s="20" t="s">
        <v>11</v>
      </c>
    </row>
    <row r="77" spans="1:13" ht="15.75" thickBot="1" x14ac:dyDescent="0.3">
      <c r="A77" s="67"/>
      <c r="D77" s="23" t="s">
        <v>21</v>
      </c>
      <c r="E77" s="27" t="s">
        <v>51</v>
      </c>
      <c r="F77" s="26" t="s">
        <v>52</v>
      </c>
      <c r="G77" s="26" t="s">
        <v>53</v>
      </c>
      <c r="H77" s="26" t="s">
        <v>51</v>
      </c>
      <c r="I77" s="26" t="s">
        <v>52</v>
      </c>
      <c r="J77" s="26" t="s">
        <v>53</v>
      </c>
      <c r="K77" s="26" t="s">
        <v>51</v>
      </c>
      <c r="L77" s="26" t="s">
        <v>52</v>
      </c>
      <c r="M77" s="26" t="s">
        <v>53</v>
      </c>
    </row>
    <row r="78" spans="1:13" x14ac:dyDescent="0.25">
      <c r="B78" s="63" cm="1">
        <f t="array" ref="B78:B86">+TRANSPOSE(E74:M74)</f>
        <v>0.97635604676595722</v>
      </c>
      <c r="C78" s="20" t="s">
        <v>1</v>
      </c>
      <c r="D78" s="28" t="s">
        <v>51</v>
      </c>
      <c r="E78" s="1">
        <f>+E5*$B78</f>
        <v>8.970584779961353</v>
      </c>
      <c r="F78" s="2">
        <f t="shared" ref="F78:M78" si="18">+F5*$B78</f>
        <v>4.9875013058906683</v>
      </c>
      <c r="G78" s="2">
        <f t="shared" si="18"/>
        <v>8.7645139752506154</v>
      </c>
      <c r="H78" s="2">
        <f t="shared" si="18"/>
        <v>1.5490072382076234</v>
      </c>
      <c r="I78" s="2">
        <f t="shared" si="18"/>
        <v>0.9599287845571195</v>
      </c>
      <c r="J78" s="2">
        <f t="shared" si="18"/>
        <v>6.9740908722571149</v>
      </c>
      <c r="K78" s="2">
        <f t="shared" si="18"/>
        <v>3.4389087087877268</v>
      </c>
      <c r="L78" s="2">
        <f t="shared" si="18"/>
        <v>6.6590310667422017</v>
      </c>
      <c r="M78" s="3">
        <f t="shared" si="18"/>
        <v>2.6088114195795908</v>
      </c>
    </row>
    <row r="79" spans="1:13" x14ac:dyDescent="0.25">
      <c r="B79" s="30">
        <v>0.97635604676595722</v>
      </c>
      <c r="C79" s="20" t="s">
        <v>1</v>
      </c>
      <c r="D79" s="25" t="s">
        <v>52</v>
      </c>
      <c r="E79" s="5">
        <f t="shared" ref="E79:M86" si="19">+E6*$B79</f>
        <v>7.2584435142388255</v>
      </c>
      <c r="F79" s="6">
        <f t="shared" si="19"/>
        <v>3.3869620214814709</v>
      </c>
      <c r="G79" s="6">
        <f t="shared" si="19"/>
        <v>7.7797368343555906</v>
      </c>
      <c r="H79" s="6">
        <f t="shared" si="19"/>
        <v>4.3525399169144094</v>
      </c>
      <c r="I79" s="6">
        <f t="shared" si="19"/>
        <v>2.178288733601847</v>
      </c>
      <c r="J79" s="6">
        <f t="shared" si="19"/>
        <v>8.6771101599117575</v>
      </c>
      <c r="K79" s="6">
        <f t="shared" si="19"/>
        <v>2.2476283189273998</v>
      </c>
      <c r="L79" s="6">
        <f t="shared" si="19"/>
        <v>4.254678192917952</v>
      </c>
      <c r="M79" s="7">
        <f t="shared" si="19"/>
        <v>6.7297025524166774</v>
      </c>
    </row>
    <row r="80" spans="1:13" x14ac:dyDescent="0.25">
      <c r="B80" s="30">
        <v>0.97635604676595722</v>
      </c>
      <c r="C80" s="20" t="s">
        <v>1</v>
      </c>
      <c r="D80" s="25" t="s">
        <v>53</v>
      </c>
      <c r="E80" s="5">
        <f t="shared" si="19"/>
        <v>0.68997518816627745</v>
      </c>
      <c r="F80" s="6">
        <f t="shared" si="19"/>
        <v>0.30186414482274626</v>
      </c>
      <c r="G80" s="6">
        <f t="shared" si="19"/>
        <v>0.25688189592291277</v>
      </c>
      <c r="H80" s="6">
        <f t="shared" si="19"/>
        <v>5.9770260836323281</v>
      </c>
      <c r="I80" s="6">
        <f t="shared" si="19"/>
        <v>3.5384802349990099</v>
      </c>
      <c r="J80" s="6">
        <f t="shared" si="19"/>
        <v>3.2858418116862391</v>
      </c>
      <c r="K80" s="6">
        <f t="shared" si="19"/>
        <v>5.8944320317246115</v>
      </c>
      <c r="L80" s="6">
        <f t="shared" si="19"/>
        <v>3.4549982716762853</v>
      </c>
      <c r="M80" s="7">
        <f t="shared" si="19"/>
        <v>6.0669258287661805</v>
      </c>
    </row>
    <row r="81" spans="1:14" x14ac:dyDescent="0.25">
      <c r="B81" s="30">
        <v>0.97635604676595722</v>
      </c>
      <c r="C81" s="20" t="s">
        <v>10</v>
      </c>
      <c r="D81" s="25" t="str">
        <f>+D78</f>
        <v>Agr</v>
      </c>
      <c r="E81" s="5">
        <f t="shared" si="19"/>
        <v>8.0241191290583807</v>
      </c>
      <c r="F81" s="6">
        <f t="shared" si="19"/>
        <v>4.8309837128438504</v>
      </c>
      <c r="G81" s="6">
        <f t="shared" si="19"/>
        <v>3.8623465896650306</v>
      </c>
      <c r="H81" s="6">
        <f t="shared" si="19"/>
        <v>5.9906704895932892</v>
      </c>
      <c r="I81" s="6">
        <f t="shared" si="19"/>
        <v>8.4825804523025639</v>
      </c>
      <c r="J81" s="6">
        <f t="shared" si="19"/>
        <v>7.5463200098149263</v>
      </c>
      <c r="K81" s="6">
        <f t="shared" si="19"/>
        <v>8.7024652056012055</v>
      </c>
      <c r="L81" s="6">
        <f t="shared" si="19"/>
        <v>7.9481924455093838</v>
      </c>
      <c r="M81" s="7">
        <f t="shared" si="19"/>
        <v>7.8801937960454103</v>
      </c>
    </row>
    <row r="82" spans="1:14" x14ac:dyDescent="0.25">
      <c r="B82" s="30">
        <v>0.97635604676595722</v>
      </c>
      <c r="C82" s="20" t="s">
        <v>10</v>
      </c>
      <c r="D82" s="25" t="str">
        <f t="shared" ref="D82:D86" si="20">+D79</f>
        <v>Ind</v>
      </c>
      <c r="E82" s="5">
        <f t="shared" si="19"/>
        <v>3.8457591997273908</v>
      </c>
      <c r="F82" s="6">
        <f t="shared" si="19"/>
        <v>2.2971666026244502</v>
      </c>
      <c r="G82" s="6">
        <f t="shared" si="19"/>
        <v>2.862340160787209</v>
      </c>
      <c r="H82" s="6">
        <f t="shared" si="19"/>
        <v>5.4743738301337093</v>
      </c>
      <c r="I82" s="6">
        <f t="shared" si="19"/>
        <v>5.8436047231488963</v>
      </c>
      <c r="J82" s="6">
        <f t="shared" si="19"/>
        <v>3.7158302834650554</v>
      </c>
      <c r="K82" s="6">
        <f t="shared" si="19"/>
        <v>8.0051537715314804</v>
      </c>
      <c r="L82" s="6">
        <f t="shared" si="19"/>
        <v>2.3352111747736752</v>
      </c>
      <c r="M82" s="7">
        <f t="shared" si="19"/>
        <v>7.1156922413613177</v>
      </c>
    </row>
    <row r="83" spans="1:14" x14ac:dyDescent="0.25">
      <c r="B83" s="30">
        <v>0.97635604676595722</v>
      </c>
      <c r="C83" s="20" t="s">
        <v>10</v>
      </c>
      <c r="D83" s="25" t="str">
        <f t="shared" si="20"/>
        <v>Serv</v>
      </c>
      <c r="E83" s="5">
        <f t="shared" si="19"/>
        <v>5.2996200809625948</v>
      </c>
      <c r="F83" s="6">
        <f t="shared" si="19"/>
        <v>4.1575374944808789</v>
      </c>
      <c r="G83" s="6">
        <f t="shared" si="19"/>
        <v>3.3321471113307428</v>
      </c>
      <c r="H83" s="6">
        <f t="shared" si="19"/>
        <v>1.2810084394608869</v>
      </c>
      <c r="I83" s="6">
        <f t="shared" si="19"/>
        <v>7.3753854264604337</v>
      </c>
      <c r="J83" s="6">
        <f t="shared" si="19"/>
        <v>1.7206340700510396</v>
      </c>
      <c r="K83" s="6">
        <f t="shared" si="19"/>
        <v>1.2238128726884387</v>
      </c>
      <c r="L83" s="6">
        <f t="shared" si="19"/>
        <v>4.9777965325907436</v>
      </c>
      <c r="M83" s="7">
        <f t="shared" si="19"/>
        <v>1.3872734451018818</v>
      </c>
    </row>
    <row r="84" spans="1:14" x14ac:dyDescent="0.25">
      <c r="B84" s="30">
        <v>0.97635604676595722</v>
      </c>
      <c r="C84" s="20" t="s">
        <v>11</v>
      </c>
      <c r="D84" s="25" t="str">
        <f t="shared" si="20"/>
        <v>Agr</v>
      </c>
      <c r="E84" s="5">
        <f t="shared" si="19"/>
        <v>4.030884435754098</v>
      </c>
      <c r="F84" s="6">
        <f t="shared" si="19"/>
        <v>9.2956862037871506</v>
      </c>
      <c r="G84" s="6">
        <f t="shared" si="19"/>
        <v>7.6156587219573773</v>
      </c>
      <c r="H84" s="6">
        <f t="shared" si="19"/>
        <v>8.0465253856152756</v>
      </c>
      <c r="I84" s="6">
        <f t="shared" si="19"/>
        <v>9.0785160770724413</v>
      </c>
      <c r="J84" s="6">
        <f t="shared" si="19"/>
        <v>1.0848284992630959</v>
      </c>
      <c r="K84" s="6">
        <f t="shared" si="19"/>
        <v>6.9727973081327388</v>
      </c>
      <c r="L84" s="6">
        <f t="shared" si="19"/>
        <v>8.6924329156685047</v>
      </c>
      <c r="M84" s="7">
        <f t="shared" si="19"/>
        <v>7.6694574457705915</v>
      </c>
    </row>
    <row r="85" spans="1:14" x14ac:dyDescent="0.25">
      <c r="B85" s="30">
        <v>0.97635604676595722</v>
      </c>
      <c r="C85" s="20" t="s">
        <v>11</v>
      </c>
      <c r="D85" s="25" t="str">
        <f t="shared" si="20"/>
        <v>Ind</v>
      </c>
      <c r="E85" s="5">
        <f t="shared" si="19"/>
        <v>1.3355650011041489</v>
      </c>
      <c r="F85" s="6">
        <f t="shared" si="19"/>
        <v>6.7556390909644453</v>
      </c>
      <c r="G85" s="6">
        <f t="shared" si="19"/>
        <v>0.39543582731216881</v>
      </c>
      <c r="H85" s="6">
        <f t="shared" si="19"/>
        <v>7.5741049781214604</v>
      </c>
      <c r="I85" s="6">
        <f t="shared" si="19"/>
        <v>0.31190889741828531</v>
      </c>
      <c r="J85" s="6">
        <f t="shared" si="19"/>
        <v>0.45266917805680745</v>
      </c>
      <c r="K85" s="6">
        <f t="shared" si="19"/>
        <v>6.9715116688693222</v>
      </c>
      <c r="L85" s="6">
        <f t="shared" si="19"/>
        <v>8.3247248190552199</v>
      </c>
      <c r="M85" s="7">
        <f t="shared" si="19"/>
        <v>1.4650885478470759</v>
      </c>
    </row>
    <row r="86" spans="1:14" x14ac:dyDescent="0.25">
      <c r="B86" s="31">
        <v>0.97635604676595722</v>
      </c>
      <c r="C86" s="20" t="s">
        <v>11</v>
      </c>
      <c r="D86" s="25" t="str">
        <f t="shared" si="20"/>
        <v>Serv</v>
      </c>
      <c r="E86" s="9">
        <f t="shared" si="19"/>
        <v>8.9667013464254168</v>
      </c>
      <c r="F86" s="10">
        <f t="shared" si="19"/>
        <v>2.0839781300013773</v>
      </c>
      <c r="G86" s="10">
        <f t="shared" si="19"/>
        <v>3.6039581144303514</v>
      </c>
      <c r="H86" s="10">
        <f t="shared" si="19"/>
        <v>8.8581138587380277</v>
      </c>
      <c r="I86" s="10">
        <f t="shared" si="19"/>
        <v>0.85196956584395955</v>
      </c>
      <c r="J86" s="10">
        <f t="shared" si="19"/>
        <v>0.37530258743058403</v>
      </c>
      <c r="K86" s="10">
        <f t="shared" si="19"/>
        <v>3.1642090187805265</v>
      </c>
      <c r="L86" s="10">
        <f t="shared" si="19"/>
        <v>0.67725625871012241</v>
      </c>
      <c r="M86" s="11">
        <f t="shared" si="19"/>
        <v>6.567328803214088</v>
      </c>
    </row>
    <row r="87" spans="1:14" x14ac:dyDescent="0.25">
      <c r="N87" s="19">
        <f>+SUM(E78:M86)</f>
        <v>387.98436586385606</v>
      </c>
    </row>
    <row r="88" spans="1:14" x14ac:dyDescent="0.25">
      <c r="D88" s="20" t="str" cm="1">
        <f t="array" ref="D88:M89">+TRANSPOSE(E59:F68)</f>
        <v>x_md</v>
      </c>
      <c r="E88" s="43">
        <v>66.685384615384606</v>
      </c>
      <c r="F88" s="44">
        <v>51.657692307692301</v>
      </c>
      <c r="G88" s="44">
        <v>44.143846153846141</v>
      </c>
      <c r="H88" s="44">
        <v>77.016923076923078</v>
      </c>
      <c r="I88" s="44">
        <v>46.961538461538467</v>
      </c>
      <c r="J88" s="44">
        <v>51.657692307692287</v>
      </c>
      <c r="K88" s="44">
        <v>74.19923076923078</v>
      </c>
      <c r="L88" s="44">
        <v>61.04999999999999</v>
      </c>
      <c r="M88" s="45">
        <v>56.353846153846142</v>
      </c>
    </row>
    <row r="89" spans="1:14" ht="15.75" thickBot="1" x14ac:dyDescent="0.3">
      <c r="D89" s="49" t="str">
        <v>x_max</v>
      </c>
      <c r="E89" s="50">
        <v>67.975782452885653</v>
      </c>
      <c r="F89" s="51">
        <v>52.657296266319889</v>
      </c>
      <c r="G89" s="51">
        <v>43.282160723918189</v>
      </c>
      <c r="H89" s="51">
        <v>75.19593854946244</v>
      </c>
      <c r="I89" s="51">
        <v>46.349088083799273</v>
      </c>
      <c r="J89" s="51">
        <v>50.527642517413568</v>
      </c>
      <c r="K89" s="51">
        <v>75.635025546168563</v>
      </c>
      <c r="L89" s="51">
        <v>60.649321633735944</v>
      </c>
      <c r="M89" s="52">
        <v>57.444323199621692</v>
      </c>
    </row>
    <row r="90" spans="1:14" x14ac:dyDescent="0.25">
      <c r="D90" s="22"/>
      <c r="E90" s="46">
        <f>+MIN(E88:E89)</f>
        <v>66.685384615384606</v>
      </c>
      <c r="F90" s="47">
        <f t="shared" ref="F90:M90" si="21">+MIN(F88:F89)</f>
        <v>51.657692307692301</v>
      </c>
      <c r="G90" s="47">
        <f t="shared" si="21"/>
        <v>43.282160723918189</v>
      </c>
      <c r="H90" s="47">
        <f t="shared" si="21"/>
        <v>75.19593854946244</v>
      </c>
      <c r="I90" s="47">
        <f t="shared" si="21"/>
        <v>46.349088083799273</v>
      </c>
      <c r="J90" s="47">
        <f t="shared" si="21"/>
        <v>50.527642517413568</v>
      </c>
      <c r="K90" s="47">
        <f t="shared" si="21"/>
        <v>74.19923076923078</v>
      </c>
      <c r="L90" s="47">
        <f t="shared" si="21"/>
        <v>60.649321633735944</v>
      </c>
      <c r="M90" s="48">
        <f t="shared" si="21"/>
        <v>56.353846153846142</v>
      </c>
    </row>
    <row r="91" spans="1:14" x14ac:dyDescent="0.25">
      <c r="A91" s="66"/>
    </row>
    <row r="92" spans="1:14" ht="15.75" thickBot="1" x14ac:dyDescent="0.3">
      <c r="A92" s="68" t="s">
        <v>33</v>
      </c>
      <c r="E92" s="20" t="s">
        <v>1</v>
      </c>
      <c r="F92" s="20" t="s">
        <v>1</v>
      </c>
      <c r="G92" s="20" t="s">
        <v>1</v>
      </c>
      <c r="H92" s="20" t="s">
        <v>10</v>
      </c>
      <c r="I92" s="20" t="s">
        <v>10</v>
      </c>
      <c r="J92" s="20" t="s">
        <v>10</v>
      </c>
      <c r="K92" s="20" t="s">
        <v>11</v>
      </c>
      <c r="L92" s="20" t="s">
        <v>11</v>
      </c>
      <c r="M92" s="20" t="s">
        <v>11</v>
      </c>
    </row>
    <row r="93" spans="1:14" ht="15.75" thickBot="1" x14ac:dyDescent="0.3">
      <c r="A93" s="67"/>
      <c r="D93" s="23" t="s">
        <v>23</v>
      </c>
      <c r="E93" s="27" t="s">
        <v>51</v>
      </c>
      <c r="F93" s="26" t="s">
        <v>52</v>
      </c>
      <c r="G93" s="26" t="s">
        <v>53</v>
      </c>
      <c r="H93" s="26" t="s">
        <v>51</v>
      </c>
      <c r="I93" s="26" t="s">
        <v>52</v>
      </c>
      <c r="J93" s="26" t="s">
        <v>53</v>
      </c>
      <c r="K93" s="26" t="s">
        <v>51</v>
      </c>
      <c r="L93" s="26" t="s">
        <v>52</v>
      </c>
      <c r="M93" s="26" t="s">
        <v>53</v>
      </c>
    </row>
    <row r="94" spans="1:14" x14ac:dyDescent="0.25">
      <c r="C94" s="20" t="s">
        <v>1</v>
      </c>
      <c r="D94" s="28" t="s">
        <v>51</v>
      </c>
      <c r="E94" s="1">
        <f>+E21*E$88</f>
        <v>9.0134069521682108</v>
      </c>
      <c r="F94" s="2">
        <f t="shared" ref="F94:M94" si="22">+F21*F$88</f>
        <v>5.0113097470393262</v>
      </c>
      <c r="G94" s="2">
        <f t="shared" si="22"/>
        <v>9.1554744237954093</v>
      </c>
      <c r="H94" s="2">
        <f t="shared" si="22"/>
        <v>1.6249387916697935</v>
      </c>
      <c r="I94" s="2">
        <f t="shared" si="22"/>
        <v>0.99616646272962384</v>
      </c>
      <c r="J94" s="2">
        <f t="shared" si="22"/>
        <v>7.3027317331939301</v>
      </c>
      <c r="K94" s="2">
        <f t="shared" si="22"/>
        <v>3.4553247557393507</v>
      </c>
      <c r="L94" s="2">
        <f t="shared" si="22"/>
        <v>6.865347765793917</v>
      </c>
      <c r="M94" s="3">
        <f t="shared" si="22"/>
        <v>2.6212648966498926</v>
      </c>
      <c r="N94" s="19"/>
    </row>
    <row r="95" spans="1:14" x14ac:dyDescent="0.25">
      <c r="C95" s="20" t="s">
        <v>1</v>
      </c>
      <c r="D95" s="25" t="s">
        <v>52</v>
      </c>
      <c r="E95" s="5">
        <f t="shared" ref="E95:M102" si="23">+E22*E$88</f>
        <v>7.2930925728837863</v>
      </c>
      <c r="F95" s="6">
        <f t="shared" si="23"/>
        <v>3.4031300946338408</v>
      </c>
      <c r="G95" s="6">
        <f t="shared" si="23"/>
        <v>8.1267691296898157</v>
      </c>
      <c r="H95" s="6">
        <f t="shared" si="23"/>
        <v>4.5658992281206219</v>
      </c>
      <c r="I95" s="6">
        <f t="shared" si="23"/>
        <v>2.2605199650899981</v>
      </c>
      <c r="J95" s="6">
        <f t="shared" si="23"/>
        <v>9.0860025884203743</v>
      </c>
      <c r="K95" s="6">
        <f t="shared" si="23"/>
        <v>2.2583576447507419</v>
      </c>
      <c r="L95" s="6">
        <f t="shared" si="23"/>
        <v>4.3865008487205772</v>
      </c>
      <c r="M95" s="7">
        <f t="shared" si="23"/>
        <v>6.7618276020839225</v>
      </c>
      <c r="N95" s="19"/>
    </row>
    <row r="96" spans="1:14" x14ac:dyDescent="0.25">
      <c r="C96" s="20" t="s">
        <v>1</v>
      </c>
      <c r="D96" s="25" t="s">
        <v>53</v>
      </c>
      <c r="E96" s="5">
        <f t="shared" si="23"/>
        <v>0.6932688682385193</v>
      </c>
      <c r="F96" s="6">
        <f t="shared" si="23"/>
        <v>0.30330512985435198</v>
      </c>
      <c r="G96" s="6">
        <f t="shared" si="23"/>
        <v>0.26834067863883482</v>
      </c>
      <c r="H96" s="6">
        <f t="shared" si="23"/>
        <v>6.270016887302984</v>
      </c>
      <c r="I96" s="6">
        <f t="shared" si="23"/>
        <v>3.6720592150634754</v>
      </c>
      <c r="J96" s="6">
        <f t="shared" si="23"/>
        <v>3.4406809013503032</v>
      </c>
      <c r="K96" s="6">
        <f t="shared" si="23"/>
        <v>5.9225698164639029</v>
      </c>
      <c r="L96" s="6">
        <f t="shared" si="23"/>
        <v>3.5620444517431946</v>
      </c>
      <c r="M96" s="7">
        <f t="shared" si="23"/>
        <v>6.0958870335235318</v>
      </c>
      <c r="N96" s="19"/>
    </row>
    <row r="97" spans="3:25" x14ac:dyDescent="0.25">
      <c r="C97" s="20" t="s">
        <v>10</v>
      </c>
      <c r="D97" s="25" t="str">
        <f>+D94</f>
        <v>Agr</v>
      </c>
      <c r="E97" s="5">
        <f t="shared" si="23"/>
        <v>8.0624232329246563</v>
      </c>
      <c r="F97" s="6">
        <f t="shared" si="23"/>
        <v>4.8540449983179057</v>
      </c>
      <c r="G97" s="6">
        <f t="shared" si="23"/>
        <v>4.0346350656027647</v>
      </c>
      <c r="H97" s="6">
        <f t="shared" si="23"/>
        <v>6.2843301351616008</v>
      </c>
      <c r="I97" s="6">
        <f t="shared" si="23"/>
        <v>8.8028011035092426</v>
      </c>
      <c r="J97" s="6">
        <f t="shared" si="23"/>
        <v>7.9019260881348741</v>
      </c>
      <c r="K97" s="6">
        <f t="shared" si="23"/>
        <v>8.7440074765678517</v>
      </c>
      <c r="L97" s="6">
        <f t="shared" si="23"/>
        <v>8.1944512198489878</v>
      </c>
      <c r="M97" s="7">
        <f t="shared" si="23"/>
        <v>7.917810854914463</v>
      </c>
      <c r="N97" s="19"/>
    </row>
    <row r="98" spans="3:25" x14ac:dyDescent="0.25">
      <c r="C98" s="20" t="s">
        <v>10</v>
      </c>
      <c r="D98" s="25" t="str">
        <f t="shared" ref="D98:D102" si="24">+D95</f>
        <v>Ind</v>
      </c>
      <c r="E98" s="5">
        <f t="shared" si="23"/>
        <v>3.8641173967408902</v>
      </c>
      <c r="F98" s="6">
        <f t="shared" si="23"/>
        <v>2.3081324054409129</v>
      </c>
      <c r="G98" s="6">
        <f t="shared" si="23"/>
        <v>2.9900211475834158</v>
      </c>
      <c r="H98" s="6">
        <f t="shared" si="23"/>
        <v>5.7427248738871848</v>
      </c>
      <c r="I98" s="6">
        <f t="shared" si="23"/>
        <v>6.0642030328688152</v>
      </c>
      <c r="J98" s="6">
        <f t="shared" si="23"/>
        <v>3.8909317677762028</v>
      </c>
      <c r="K98" s="6">
        <f t="shared" si="23"/>
        <v>8.0433673419681195</v>
      </c>
      <c r="L98" s="6">
        <f t="shared" si="23"/>
        <v>2.4075630013891485</v>
      </c>
      <c r="M98" s="7">
        <f t="shared" si="23"/>
        <v>7.1496598595272163</v>
      </c>
      <c r="N98" s="19"/>
    </row>
    <row r="99" spans="3:25" x14ac:dyDescent="0.25">
      <c r="C99" s="20" t="s">
        <v>10</v>
      </c>
      <c r="D99" s="25" t="str">
        <f t="shared" si="24"/>
        <v>Serv</v>
      </c>
      <c r="E99" s="5">
        <f t="shared" si="23"/>
        <v>5.3249184588615295</v>
      </c>
      <c r="F99" s="6">
        <f t="shared" si="23"/>
        <v>4.1773840029206424</v>
      </c>
      <c r="G99" s="6">
        <f t="shared" si="23"/>
        <v>3.480784871843396</v>
      </c>
      <c r="H99" s="6">
        <f t="shared" si="23"/>
        <v>1.3438028269932312</v>
      </c>
      <c r="I99" s="6">
        <f t="shared" si="23"/>
        <v>7.6538090426514627</v>
      </c>
      <c r="J99" s="6">
        <f t="shared" si="23"/>
        <v>1.8017157009756135</v>
      </c>
      <c r="K99" s="6">
        <f t="shared" si="23"/>
        <v>1.2296548915610876</v>
      </c>
      <c r="L99" s="6">
        <f t="shared" si="23"/>
        <v>5.132023557342805</v>
      </c>
      <c r="M99" s="7">
        <f t="shared" si="23"/>
        <v>1.3938957628014872</v>
      </c>
      <c r="N99" s="19"/>
    </row>
    <row r="100" spans="3:25" x14ac:dyDescent="0.25">
      <c r="C100" s="20" t="s">
        <v>11</v>
      </c>
      <c r="D100" s="25" t="str">
        <f t="shared" si="24"/>
        <v>Agr</v>
      </c>
      <c r="E100" s="5">
        <f t="shared" si="23"/>
        <v>4.0501263504885072</v>
      </c>
      <c r="F100" s="6">
        <f t="shared" si="23"/>
        <v>9.340060286989468</v>
      </c>
      <c r="G100" s="6">
        <f t="shared" si="23"/>
        <v>7.9553719517278143</v>
      </c>
      <c r="H100" s="6">
        <f t="shared" si="23"/>
        <v>8.4409620011662359</v>
      </c>
      <c r="I100" s="6">
        <f t="shared" si="23"/>
        <v>9.4212335256763389</v>
      </c>
      <c r="J100" s="6">
        <f t="shared" si="23"/>
        <v>1.1359489934603892</v>
      </c>
      <c r="K100" s="6">
        <f t="shared" si="23"/>
        <v>7.0060828000395059</v>
      </c>
      <c r="L100" s="6">
        <f t="shared" si="23"/>
        <v>8.961750485734532</v>
      </c>
      <c r="M100" s="7">
        <f t="shared" si="23"/>
        <v>7.7060685291650168</v>
      </c>
      <c r="N100" s="19"/>
    </row>
    <row r="101" spans="3:25" x14ac:dyDescent="0.25">
      <c r="C101" s="20" t="s">
        <v>11</v>
      </c>
      <c r="D101" s="25" t="str">
        <f t="shared" si="24"/>
        <v>Ind</v>
      </c>
      <c r="E101" s="5">
        <f t="shared" si="23"/>
        <v>1.3419404822877714</v>
      </c>
      <c r="F101" s="6">
        <f t="shared" si="23"/>
        <v>6.7878879518376909</v>
      </c>
      <c r="G101" s="6">
        <f t="shared" si="23"/>
        <v>0.41307511328435254</v>
      </c>
      <c r="H101" s="6">
        <f t="shared" si="23"/>
        <v>7.9453837835967596</v>
      </c>
      <c r="I101" s="6">
        <f t="shared" si="23"/>
        <v>0.32368357740040432</v>
      </c>
      <c r="J101" s="6">
        <f t="shared" si="23"/>
        <v>0.4740003581519705</v>
      </c>
      <c r="K101" s="6">
        <f t="shared" si="23"/>
        <v>7.0047910236214568</v>
      </c>
      <c r="L101" s="6">
        <f t="shared" si="23"/>
        <v>8.5826496925040576</v>
      </c>
      <c r="M101" s="7">
        <f t="shared" si="23"/>
        <v>1.4720823253580295</v>
      </c>
      <c r="N101" s="19"/>
    </row>
    <row r="102" spans="3:25" x14ac:dyDescent="0.25">
      <c r="C102" s="20" t="s">
        <v>11</v>
      </c>
      <c r="D102" s="25" t="str">
        <f t="shared" si="24"/>
        <v>Serv</v>
      </c>
      <c r="E102" s="9">
        <f t="shared" si="23"/>
        <v>9.009504980592256</v>
      </c>
      <c r="F102" s="10">
        <f t="shared" si="23"/>
        <v>2.0939262518403887</v>
      </c>
      <c r="G102" s="10">
        <f t="shared" si="23"/>
        <v>3.7647206033639207</v>
      </c>
      <c r="H102" s="10">
        <f t="shared" si="23"/>
        <v>9.2923341318576309</v>
      </c>
      <c r="I102" s="10">
        <f t="shared" si="23"/>
        <v>0.88413174228506464</v>
      </c>
      <c r="J102" s="10">
        <f t="shared" si="23"/>
        <v>0.39298801305869652</v>
      </c>
      <c r="K102" s="10">
        <f t="shared" si="23"/>
        <v>3.1793137535134712</v>
      </c>
      <c r="L102" s="10">
        <f t="shared" si="23"/>
        <v>0.69823968322169272</v>
      </c>
      <c r="M102" s="11">
        <f t="shared" si="23"/>
        <v>6.5986787421365172</v>
      </c>
      <c r="N102" s="19"/>
    </row>
    <row r="103" spans="3:25" x14ac:dyDescent="0.25">
      <c r="N103" s="19">
        <f>+SUM(E94:M102)</f>
        <v>397.48831543782768</v>
      </c>
    </row>
    <row r="104" spans="3:25" ht="15.75" thickBot="1" x14ac:dyDescent="0.3">
      <c r="E104" s="20" t="s">
        <v>1</v>
      </c>
      <c r="F104" s="20" t="s">
        <v>1</v>
      </c>
      <c r="G104" s="20" t="s">
        <v>1</v>
      </c>
      <c r="H104" s="20" t="s">
        <v>10</v>
      </c>
      <c r="I104" s="20" t="s">
        <v>10</v>
      </c>
      <c r="J104" s="20" t="s">
        <v>10</v>
      </c>
      <c r="K104" s="20" t="s">
        <v>11</v>
      </c>
      <c r="L104" s="20" t="s">
        <v>11</v>
      </c>
      <c r="M104" s="20" t="s">
        <v>11</v>
      </c>
    </row>
    <row r="105" spans="3:25" ht="15.75" thickBot="1" x14ac:dyDescent="0.3">
      <c r="D105" s="23" t="s">
        <v>6</v>
      </c>
      <c r="E105" s="27" t="s">
        <v>51</v>
      </c>
      <c r="F105" s="26" t="s">
        <v>52</v>
      </c>
      <c r="G105" s="26" t="s">
        <v>53</v>
      </c>
      <c r="H105" s="26" t="s">
        <v>51</v>
      </c>
      <c r="I105" s="26" t="s">
        <v>52</v>
      </c>
      <c r="J105" s="26" t="s">
        <v>53</v>
      </c>
      <c r="K105" s="26" t="s">
        <v>51</v>
      </c>
      <c r="L105" s="26" t="s">
        <v>52</v>
      </c>
      <c r="M105" s="26" t="s">
        <v>53</v>
      </c>
    </row>
    <row r="106" spans="3:25" x14ac:dyDescent="0.25">
      <c r="C106" s="20" t="s">
        <v>1</v>
      </c>
      <c r="D106" s="28" t="s">
        <v>51</v>
      </c>
      <c r="E106" s="1">
        <f>+MAX(E94-E78,0)</f>
        <v>4.28221722068578E-2</v>
      </c>
      <c r="F106" s="2">
        <f t="shared" ref="F106:M106" si="25">+MAX(F94-F78,0)</f>
        <v>2.3808441148657877E-2</v>
      </c>
      <c r="G106" s="2">
        <f t="shared" si="25"/>
        <v>0.39096044854479395</v>
      </c>
      <c r="H106" s="2">
        <f t="shared" si="25"/>
        <v>7.5931553462170065E-2</v>
      </c>
      <c r="I106" s="2">
        <f t="shared" si="25"/>
        <v>3.623767817250434E-2</v>
      </c>
      <c r="J106" s="2">
        <f t="shared" si="25"/>
        <v>0.32864086093681522</v>
      </c>
      <c r="K106" s="2">
        <f t="shared" si="25"/>
        <v>1.6416046951623908E-2</v>
      </c>
      <c r="L106" s="2">
        <f t="shared" si="25"/>
        <v>0.20631669905171535</v>
      </c>
      <c r="M106" s="3">
        <f t="shared" si="25"/>
        <v>1.2453477070301755E-2</v>
      </c>
      <c r="N106" s="53">
        <f>+SUM(E106:M106)</f>
        <v>1.1335873775454401</v>
      </c>
    </row>
    <row r="107" spans="3:25" x14ac:dyDescent="0.25">
      <c r="C107" s="20" t="s">
        <v>1</v>
      </c>
      <c r="D107" s="25" t="s">
        <v>52</v>
      </c>
      <c r="E107" s="5">
        <f t="shared" ref="E107:M114" si="26">+MAX(E95-E79,0)</f>
        <v>3.4649058644960817E-2</v>
      </c>
      <c r="F107" s="6">
        <f t="shared" si="26"/>
        <v>1.61680731523699E-2</v>
      </c>
      <c r="G107" s="6">
        <f t="shared" si="26"/>
        <v>0.34703229533422508</v>
      </c>
      <c r="H107" s="6">
        <f t="shared" si="26"/>
        <v>0.21335931120621243</v>
      </c>
      <c r="I107" s="6">
        <f t="shared" si="26"/>
        <v>8.2231231488151035E-2</v>
      </c>
      <c r="J107" s="6">
        <f t="shared" si="26"/>
        <v>0.40889242850861685</v>
      </c>
      <c r="K107" s="6">
        <f t="shared" si="26"/>
        <v>1.0729325823342073E-2</v>
      </c>
      <c r="L107" s="6">
        <f t="shared" si="26"/>
        <v>0.1318226558026252</v>
      </c>
      <c r="M107" s="7">
        <f t="shared" si="26"/>
        <v>3.2125049667245165E-2</v>
      </c>
      <c r="N107" s="8">
        <f t="shared" ref="N107:N114" si="27">+SUM(E107:M107)</f>
        <v>1.2770094296277485</v>
      </c>
    </row>
    <row r="108" spans="3:25" x14ac:dyDescent="0.25">
      <c r="C108" s="20" t="s">
        <v>1</v>
      </c>
      <c r="D108" s="25" t="s">
        <v>53</v>
      </c>
      <c r="E108" s="5">
        <f t="shared" si="26"/>
        <v>3.2936800722418447E-3</v>
      </c>
      <c r="F108" s="6">
        <f t="shared" si="26"/>
        <v>1.4409850316057238E-3</v>
      </c>
      <c r="G108" s="6">
        <f t="shared" si="26"/>
        <v>1.1458782715922045E-2</v>
      </c>
      <c r="H108" s="6">
        <f t="shared" si="26"/>
        <v>0.29299080367065589</v>
      </c>
      <c r="I108" s="6">
        <f t="shared" si="26"/>
        <v>0.13357898006446556</v>
      </c>
      <c r="J108" s="6">
        <f t="shared" si="26"/>
        <v>0.15483908966406412</v>
      </c>
      <c r="K108" s="6">
        <f t="shared" si="26"/>
        <v>2.8137784739291405E-2</v>
      </c>
      <c r="L108" s="6">
        <f t="shared" si="26"/>
        <v>0.10704618006690936</v>
      </c>
      <c r="M108" s="7">
        <f t="shared" si="26"/>
        <v>2.8961204757351311E-2</v>
      </c>
      <c r="N108" s="8">
        <f t="shared" si="27"/>
        <v>0.76174749078250725</v>
      </c>
    </row>
    <row r="109" spans="3:25" x14ac:dyDescent="0.25">
      <c r="C109" s="20" t="s">
        <v>10</v>
      </c>
      <c r="D109" s="25" t="str">
        <f>+D106</f>
        <v>Agr</v>
      </c>
      <c r="E109" s="5">
        <f t="shared" si="26"/>
        <v>3.8304103866275696E-2</v>
      </c>
      <c r="F109" s="6">
        <f t="shared" si="26"/>
        <v>2.3061285474055282E-2</v>
      </c>
      <c r="G109" s="6">
        <f t="shared" si="26"/>
        <v>0.17228847593773411</v>
      </c>
      <c r="H109" s="6">
        <f t="shared" si="26"/>
        <v>0.29365964556831159</v>
      </c>
      <c r="I109" s="6">
        <f t="shared" si="26"/>
        <v>0.32022065120667875</v>
      </c>
      <c r="J109" s="6">
        <f t="shared" si="26"/>
        <v>0.35560607831994773</v>
      </c>
      <c r="K109" s="6">
        <f t="shared" si="26"/>
        <v>4.15422709666462E-2</v>
      </c>
      <c r="L109" s="6">
        <f t="shared" si="26"/>
        <v>0.24625877433960408</v>
      </c>
      <c r="M109" s="7">
        <f t="shared" si="26"/>
        <v>3.7617058869052755E-2</v>
      </c>
      <c r="N109" s="8">
        <f t="shared" si="27"/>
        <v>1.5285583445483062</v>
      </c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3:25" x14ac:dyDescent="0.25">
      <c r="C110" s="20" t="s">
        <v>10</v>
      </c>
      <c r="D110" s="25" t="str">
        <f t="shared" ref="D110:D114" si="28">+D107</f>
        <v>Ind</v>
      </c>
      <c r="E110" s="5">
        <f t="shared" si="26"/>
        <v>1.8358197013499389E-2</v>
      </c>
      <c r="F110" s="6">
        <f t="shared" si="26"/>
        <v>1.0965802816462755E-2</v>
      </c>
      <c r="G110" s="6">
        <f t="shared" si="26"/>
        <v>0.12768098679620676</v>
      </c>
      <c r="H110" s="6">
        <f t="shared" si="26"/>
        <v>0.26835104375347552</v>
      </c>
      <c r="I110" s="6">
        <f t="shared" si="26"/>
        <v>0.22059830971991889</v>
      </c>
      <c r="J110" s="6">
        <f t="shared" si="26"/>
        <v>0.17510148431114736</v>
      </c>
      <c r="K110" s="6">
        <f t="shared" si="26"/>
        <v>3.8213570436639088E-2</v>
      </c>
      <c r="L110" s="6">
        <f t="shared" si="26"/>
        <v>7.2351826615473236E-2</v>
      </c>
      <c r="M110" s="7">
        <f t="shared" si="26"/>
        <v>3.396761816589855E-2</v>
      </c>
      <c r="N110" s="8">
        <f t="shared" si="27"/>
        <v>0.96558883962872155</v>
      </c>
    </row>
    <row r="111" spans="3:25" x14ac:dyDescent="0.25">
      <c r="C111" s="20" t="s">
        <v>10</v>
      </c>
      <c r="D111" s="25" t="str">
        <f t="shared" si="28"/>
        <v>Serv</v>
      </c>
      <c r="E111" s="5">
        <f t="shared" si="26"/>
        <v>2.5298377898934632E-2</v>
      </c>
      <c r="F111" s="6">
        <f t="shared" si="26"/>
        <v>1.9846508439763433E-2</v>
      </c>
      <c r="G111" s="6">
        <f t="shared" si="26"/>
        <v>0.14863776051265321</v>
      </c>
      <c r="H111" s="6">
        <f t="shared" si="26"/>
        <v>6.2794387532344231E-2</v>
      </c>
      <c r="I111" s="6">
        <f t="shared" si="26"/>
        <v>0.27842361619102896</v>
      </c>
      <c r="J111" s="6">
        <f t="shared" si="26"/>
        <v>8.1081630924573878E-2</v>
      </c>
      <c r="K111" s="6">
        <f t="shared" si="26"/>
        <v>5.842018872648902E-3</v>
      </c>
      <c r="L111" s="6">
        <f t="shared" si="26"/>
        <v>0.1542270247520614</v>
      </c>
      <c r="M111" s="7">
        <f t="shared" si="26"/>
        <v>6.6223176996054178E-3</v>
      </c>
      <c r="N111" s="8">
        <f t="shared" si="27"/>
        <v>0.78277364282361406</v>
      </c>
    </row>
    <row r="112" spans="3:25" x14ac:dyDescent="0.25">
      <c r="C112" s="20" t="s">
        <v>11</v>
      </c>
      <c r="D112" s="25" t="str">
        <f t="shared" si="28"/>
        <v>Agr</v>
      </c>
      <c r="E112" s="5">
        <f t="shared" si="26"/>
        <v>1.9241914734409171E-2</v>
      </c>
      <c r="F112" s="6">
        <f t="shared" si="26"/>
        <v>4.4374083202317394E-2</v>
      </c>
      <c r="G112" s="6">
        <f t="shared" si="26"/>
        <v>0.33971322977043705</v>
      </c>
      <c r="H112" s="6">
        <f t="shared" si="26"/>
        <v>0.39443661555096021</v>
      </c>
      <c r="I112" s="6">
        <f t="shared" si="26"/>
        <v>0.34271744860389752</v>
      </c>
      <c r="J112" s="6">
        <f t="shared" si="26"/>
        <v>5.1120494197293365E-2</v>
      </c>
      <c r="K112" s="6">
        <f t="shared" si="26"/>
        <v>3.3285491906767106E-2</v>
      </c>
      <c r="L112" s="6">
        <f t="shared" si="26"/>
        <v>0.2693175700660273</v>
      </c>
      <c r="M112" s="7">
        <f t="shared" si="26"/>
        <v>3.6611083394425314E-2</v>
      </c>
      <c r="N112" s="8">
        <f t="shared" si="27"/>
        <v>1.5308179314265344</v>
      </c>
    </row>
    <row r="113" spans="1:14" x14ac:dyDescent="0.25">
      <c r="C113" s="20" t="s">
        <v>11</v>
      </c>
      <c r="D113" s="25" t="str">
        <f t="shared" si="28"/>
        <v>Ind</v>
      </c>
      <c r="E113" s="5">
        <f t="shared" si="26"/>
        <v>6.3754811836225223E-3</v>
      </c>
      <c r="F113" s="6">
        <f t="shared" si="26"/>
        <v>3.2248860873245633E-2</v>
      </c>
      <c r="G113" s="6">
        <f t="shared" si="26"/>
        <v>1.7639285972183727E-2</v>
      </c>
      <c r="H113" s="6">
        <f t="shared" si="26"/>
        <v>0.37127880547529912</v>
      </c>
      <c r="I113" s="6">
        <f t="shared" si="26"/>
        <v>1.1774679982119007E-2</v>
      </c>
      <c r="J113" s="6">
        <f t="shared" si="26"/>
        <v>2.1331180095163049E-2</v>
      </c>
      <c r="K113" s="6">
        <f t="shared" si="26"/>
        <v>3.3279354752134616E-2</v>
      </c>
      <c r="L113" s="6">
        <f t="shared" si="26"/>
        <v>0.25792487344883774</v>
      </c>
      <c r="M113" s="7">
        <f t="shared" si="26"/>
        <v>6.9937775109536471E-3</v>
      </c>
      <c r="N113" s="8">
        <f t="shared" si="27"/>
        <v>0.75884629929355907</v>
      </c>
    </row>
    <row r="114" spans="1:14" x14ac:dyDescent="0.25">
      <c r="C114" s="20" t="s">
        <v>11</v>
      </c>
      <c r="D114" s="25" t="str">
        <f t="shared" si="28"/>
        <v>Serv</v>
      </c>
      <c r="E114" s="9">
        <f t="shared" si="26"/>
        <v>4.2803634166839188E-2</v>
      </c>
      <c r="F114" s="10">
        <f t="shared" si="26"/>
        <v>9.9481218390113924E-3</v>
      </c>
      <c r="G114" s="10">
        <f t="shared" si="26"/>
        <v>0.16076248893356926</v>
      </c>
      <c r="H114" s="10">
        <f t="shared" si="26"/>
        <v>0.43422027311960321</v>
      </c>
      <c r="I114" s="10">
        <f t="shared" si="26"/>
        <v>3.2162176441105084E-2</v>
      </c>
      <c r="J114" s="10">
        <f t="shared" si="26"/>
        <v>1.7685425628112483E-2</v>
      </c>
      <c r="K114" s="10">
        <f t="shared" si="26"/>
        <v>1.5104734732944713E-2</v>
      </c>
      <c r="L114" s="10">
        <f t="shared" si="26"/>
        <v>2.0983424511570314E-2</v>
      </c>
      <c r="M114" s="11">
        <f t="shared" si="26"/>
        <v>3.134993892242921E-2</v>
      </c>
      <c r="N114" s="12">
        <f t="shared" si="27"/>
        <v>0.76502021829518485</v>
      </c>
    </row>
    <row r="115" spans="1:14" x14ac:dyDescent="0.25">
      <c r="C115" s="57"/>
      <c r="D115" s="57"/>
      <c r="N115" s="19">
        <f>+SUM(E106:M114)</f>
        <v>9.5039495739716138</v>
      </c>
    </row>
    <row r="116" spans="1:14" x14ac:dyDescent="0.25">
      <c r="A116" s="66"/>
    </row>
    <row r="117" spans="1:14" x14ac:dyDescent="0.25">
      <c r="A117" s="68" t="s">
        <v>35</v>
      </c>
      <c r="E117" s="20" t="s">
        <v>5</v>
      </c>
      <c r="F117" s="20" t="s">
        <v>36</v>
      </c>
      <c r="G117" s="20" t="s">
        <v>40</v>
      </c>
      <c r="J117" s="20" t="s">
        <v>28</v>
      </c>
      <c r="K117" s="20" t="s">
        <v>34</v>
      </c>
      <c r="L117" s="20" t="s">
        <v>24</v>
      </c>
    </row>
    <row r="118" spans="1:14" x14ac:dyDescent="0.25">
      <c r="A118" s="67"/>
      <c r="C118" s="20" t="s">
        <v>1</v>
      </c>
      <c r="D118" s="28" t="s">
        <v>51</v>
      </c>
      <c r="E118" s="53">
        <f t="shared" ref="E118:E126" si="29">+MAX(F60-H47-SUM(E78:M78),0)</f>
        <v>1.087621848765977</v>
      </c>
      <c r="F118" s="53" cm="1">
        <f t="array" ref="F118">+E118/_xlfn.XLOOKUP(D118,_xlfn.ANCHORARRAY($I$118),$K$118:$K$120,,0)</f>
        <v>0.25939214804613053</v>
      </c>
      <c r="G118" s="53" cm="1">
        <f t="array" ref="G118">+E118/_xlfn.XLOOKUP(D118,_xlfn.ANCHORARRAY($I$118),$J$118:$J$120,,0)</f>
        <v>0.26315789473684376</v>
      </c>
      <c r="I118" s="54" t="str" cm="1">
        <f t="array" ref="I118:I120">+_xlfn.UNIQUE(D118:D126)</f>
        <v>Agr</v>
      </c>
      <c r="J118" s="58">
        <f>+SUMIF($D$118:$D$126,I118,$E$118:$E$126)</f>
        <v>4.132963025310687</v>
      </c>
      <c r="K118" s="40">
        <f>+SUMIF($D$106:$D$114,I118,$N$106:$N$114)</f>
        <v>4.1929636535202803</v>
      </c>
      <c r="L118" s="40">
        <f>+J118/K118</f>
        <v>0.98569016257528996</v>
      </c>
      <c r="M118" s="18"/>
    </row>
    <row r="119" spans="1:14" x14ac:dyDescent="0.25">
      <c r="C119" s="20" t="s">
        <v>1</v>
      </c>
      <c r="D119" s="25" t="s">
        <v>52</v>
      </c>
      <c r="E119" s="8">
        <f t="shared" si="29"/>
        <v>1.1349097552340623</v>
      </c>
      <c r="F119" s="8" cm="1">
        <f t="array" ref="F119">+E119/_xlfn.XLOOKUP(D119,_xlfn.ANCHORARRAY($I$118),$K$118:$K$120,,0)</f>
        <v>0.37812117775752463</v>
      </c>
      <c r="G119" s="8" cm="1">
        <f t="array" ref="G119">+E119/_xlfn.XLOOKUP(D119,_xlfn.ANCHORARRAY($I$118),$J$118:$J$120,,0)</f>
        <v>0.38430744595676558</v>
      </c>
      <c r="I119" s="55" t="str">
        <v>Ind</v>
      </c>
      <c r="J119" s="59">
        <f t="shared" ref="J119:J120" si="30">+SUMIF($D$118:$D$126,I119,$E$118:$E$126)</f>
        <v>2.9531297589319649</v>
      </c>
      <c r="K119" s="41">
        <f t="shared" ref="K119:K120" si="31">+SUMIF($D$106:$D$114,I119,$N$106:$N$114)</f>
        <v>3.0014445685500291</v>
      </c>
      <c r="L119" s="41">
        <f t="shared" ref="L119:L120" si="32">+J119/K119</f>
        <v>0.98390281462322504</v>
      </c>
      <c r="M119" s="18"/>
    </row>
    <row r="120" spans="1:14" x14ac:dyDescent="0.25">
      <c r="C120" s="20" t="s">
        <v>1</v>
      </c>
      <c r="D120" s="25" t="s">
        <v>53</v>
      </c>
      <c r="E120" s="8">
        <f t="shared" si="29"/>
        <v>0.71357450860341132</v>
      </c>
      <c r="F120" s="8" cm="1">
        <f t="array" ref="F120">+E120/_xlfn.XLOOKUP(D120,_xlfn.ANCHORARRAY($I$118),$K$118:$K$120,,0)</f>
        <v>0.30896805896805807</v>
      </c>
      <c r="G120" s="8" cm="1">
        <f t="array" ref="G120">+E120/_xlfn.XLOOKUP(D120,_xlfn.ANCHORARRAY($I$118),$J$118:$J$120,,0)</f>
        <v>0.30896805896805907</v>
      </c>
      <c r="I120" s="56" t="str">
        <v>Serv</v>
      </c>
      <c r="J120" s="60">
        <f t="shared" si="30"/>
        <v>2.3095413519012986</v>
      </c>
      <c r="K120" s="42">
        <f t="shared" si="31"/>
        <v>2.3095413519013062</v>
      </c>
      <c r="L120" s="42">
        <f t="shared" si="32"/>
        <v>0.99999999999999678</v>
      </c>
      <c r="M120" s="18"/>
    </row>
    <row r="121" spans="1:14" x14ac:dyDescent="0.25">
      <c r="C121" s="20" t="s">
        <v>10</v>
      </c>
      <c r="D121" s="25" t="str">
        <f>+D118</f>
        <v>Agr</v>
      </c>
      <c r="E121" s="8">
        <f t="shared" si="29"/>
        <v>1.5321281695659721</v>
      </c>
      <c r="F121" s="8" cm="1">
        <f t="array" ref="F121">+E121/_xlfn.XLOOKUP(D121,_xlfn.ANCHORARRAY($I$118),$K$118:$K$120,,0)</f>
        <v>0.36540459116063301</v>
      </c>
      <c r="G121" s="8" cm="1">
        <f t="array" ref="G121">+E121/_xlfn.XLOOKUP(D121,_xlfn.ANCHORARRAY($I$118),$J$118:$J$120,,0)</f>
        <v>0.37070938215102894</v>
      </c>
    </row>
    <row r="122" spans="1:14" x14ac:dyDescent="0.25">
      <c r="C122" s="20" t="s">
        <v>10</v>
      </c>
      <c r="D122" s="25" t="str">
        <f t="shared" ref="D122:D126" si="33">+D119</f>
        <v>Ind</v>
      </c>
      <c r="E122" s="8">
        <f t="shared" si="29"/>
        <v>1.0048680124468277</v>
      </c>
      <c r="F122" s="8" cm="1">
        <f t="array" ref="F122">+E122/_xlfn.XLOOKUP(D122,_xlfn.ANCHORARRAY($I$118),$K$118:$K$120,,0)</f>
        <v>0.33479479280614216</v>
      </c>
      <c r="G122" s="8" cm="1">
        <f t="array" ref="G122">+E122/_xlfn.XLOOKUP(D122,_xlfn.ANCHORARRAY($I$118),$J$118:$J$120,,0)</f>
        <v>0.34027221777422012</v>
      </c>
      <c r="I122" s="20" t="s">
        <v>39</v>
      </c>
    </row>
    <row r="123" spans="1:14" x14ac:dyDescent="0.25">
      <c r="C123" s="20" t="s">
        <v>10</v>
      </c>
      <c r="D123" s="25" t="str">
        <f t="shared" si="33"/>
        <v>Serv</v>
      </c>
      <c r="E123" s="8">
        <f t="shared" si="29"/>
        <v>0.74478452687234409</v>
      </c>
      <c r="F123" s="8" cm="1">
        <f t="array" ref="F123">+E123/_xlfn.XLOOKUP(D123,_xlfn.ANCHORARRAY($I$118),$K$118:$K$120,,0)</f>
        <v>0.32248157248156994</v>
      </c>
      <c r="G123" s="8" cm="1">
        <f t="array" ref="G123">+E123/_xlfn.XLOOKUP(D123,_xlfn.ANCHORARRAY($I$118),$J$118:$J$120,,0)</f>
        <v>0.322481572481571</v>
      </c>
      <c r="I123" s="69">
        <v>1</v>
      </c>
    </row>
    <row r="124" spans="1:14" x14ac:dyDescent="0.25">
      <c r="C124" s="20" t="s">
        <v>11</v>
      </c>
      <c r="D124" s="25" t="str">
        <f t="shared" si="33"/>
        <v>Agr</v>
      </c>
      <c r="E124" s="8">
        <f t="shared" si="29"/>
        <v>1.513213006978738</v>
      </c>
      <c r="F124" s="8" cm="1">
        <f t="array" ref="F124">+E124/_xlfn.XLOOKUP(D124,_xlfn.ANCHORARRAY($I$118),$K$118:$K$120,,0)</f>
        <v>0.36089342336852642</v>
      </c>
      <c r="G124" s="8" cm="1">
        <f t="array" ref="G124">+E124/_xlfn.XLOOKUP(D124,_xlfn.ANCHORARRAY($I$118),$J$118:$J$120,,0)</f>
        <v>0.36613272311212736</v>
      </c>
    </row>
    <row r="125" spans="1:14" x14ac:dyDescent="0.25">
      <c r="C125" s="20" t="s">
        <v>11</v>
      </c>
      <c r="D125" s="25" t="str">
        <f t="shared" si="33"/>
        <v>Ind</v>
      </c>
      <c r="E125" s="8">
        <f t="shared" si="29"/>
        <v>0.81335199125107494</v>
      </c>
      <c r="F125" s="8" cm="1">
        <f t="array" ref="F125">+E125/_xlfn.XLOOKUP(D125,_xlfn.ANCHORARRAY($I$118),$K$118:$K$120,,0)</f>
        <v>0.27098684405955831</v>
      </c>
      <c r="G125" s="8" cm="1">
        <f t="array" ref="G125">+E125/_xlfn.XLOOKUP(D125,_xlfn.ANCHORARRAY($I$118),$J$118:$J$120,,0)</f>
        <v>0.2754203362690143</v>
      </c>
    </row>
    <row r="126" spans="1:14" x14ac:dyDescent="0.25">
      <c r="C126" s="20" t="s">
        <v>11</v>
      </c>
      <c r="D126" s="25" t="str">
        <f t="shared" si="33"/>
        <v>Serv</v>
      </c>
      <c r="E126" s="12">
        <f t="shared" si="29"/>
        <v>0.85118231642554321</v>
      </c>
      <c r="F126" s="12" cm="1">
        <f t="array" ref="F126">+E126/_xlfn.XLOOKUP(D126,_xlfn.ANCHORARRAY($I$118),$K$118:$K$120,,0)</f>
        <v>0.36855036855036871</v>
      </c>
      <c r="G126" s="12" cm="1">
        <f t="array" ref="G126">+E126/_xlfn.XLOOKUP(D126,_xlfn.ANCHORARRAY($I$118),$J$118:$J$120,,0)</f>
        <v>0.36855036855036993</v>
      </c>
    </row>
    <row r="127" spans="1:14" x14ac:dyDescent="0.25">
      <c r="E127" s="19">
        <f>SUM(E118:E126)</f>
        <v>9.3956341361439506</v>
      </c>
      <c r="G127" s="19">
        <f>SUM(G118:G126)</f>
        <v>3</v>
      </c>
    </row>
    <row r="128" spans="1:14" x14ac:dyDescent="0.25">
      <c r="A128" s="64"/>
      <c r="E128" s="19"/>
      <c r="G128" s="19"/>
    </row>
    <row r="129" spans="1:24" ht="15.75" thickBot="1" x14ac:dyDescent="0.3">
      <c r="A129" s="68" t="s">
        <v>37</v>
      </c>
      <c r="E129" s="20" t="s">
        <v>1</v>
      </c>
      <c r="F129" s="20" t="s">
        <v>1</v>
      </c>
      <c r="G129" s="20" t="s">
        <v>1</v>
      </c>
      <c r="H129" s="20" t="s">
        <v>10</v>
      </c>
      <c r="I129" s="20" t="s">
        <v>10</v>
      </c>
      <c r="J129" s="20" t="s">
        <v>10</v>
      </c>
      <c r="K129" s="20" t="s">
        <v>11</v>
      </c>
      <c r="L129" s="20" t="s">
        <v>11</v>
      </c>
      <c r="M129" s="20" t="s">
        <v>11</v>
      </c>
    </row>
    <row r="130" spans="1:24" ht="15.75" thickBot="1" x14ac:dyDescent="0.3">
      <c r="A130" s="67"/>
      <c r="D130" s="23" t="s">
        <v>34</v>
      </c>
      <c r="E130" s="27" t="s">
        <v>51</v>
      </c>
      <c r="F130" s="26" t="s">
        <v>52</v>
      </c>
      <c r="G130" s="26" t="s">
        <v>53</v>
      </c>
      <c r="H130" s="26" t="s">
        <v>51</v>
      </c>
      <c r="I130" s="26" t="s">
        <v>52</v>
      </c>
      <c r="J130" s="26" t="s">
        <v>53</v>
      </c>
      <c r="K130" s="26" t="s">
        <v>51</v>
      </c>
      <c r="L130" s="26" t="s">
        <v>52</v>
      </c>
      <c r="M130" s="26" t="s">
        <v>53</v>
      </c>
    </row>
    <row r="131" spans="1:24" x14ac:dyDescent="0.25">
      <c r="D131" s="28" t="str" cm="1">
        <f t="array" ref="D131:D133">+_xlfn.UNIQUE(D118:D126)</f>
        <v>Agr</v>
      </c>
      <c r="E131" s="1">
        <f t="shared" ref="E131:M133" si="34">+SUMIF($D$106:$D$114,$D131,E$106:E$114)</f>
        <v>0.10036819080754267</v>
      </c>
      <c r="F131" s="2">
        <f t="shared" si="34"/>
        <v>9.1243809825030553E-2</v>
      </c>
      <c r="G131" s="2">
        <f t="shared" si="34"/>
        <v>0.90296215425296511</v>
      </c>
      <c r="H131" s="2">
        <f t="shared" si="34"/>
        <v>0.76402781458144187</v>
      </c>
      <c r="I131" s="2">
        <f t="shared" si="34"/>
        <v>0.69917577798308062</v>
      </c>
      <c r="J131" s="2">
        <f t="shared" si="34"/>
        <v>0.73536743345405631</v>
      </c>
      <c r="K131" s="2">
        <f t="shared" si="34"/>
        <v>9.1243809825037214E-2</v>
      </c>
      <c r="L131" s="2">
        <f t="shared" si="34"/>
        <v>0.72189304345734673</v>
      </c>
      <c r="M131" s="3">
        <f t="shared" si="34"/>
        <v>8.6681619333779825E-2</v>
      </c>
    </row>
    <row r="132" spans="1:24" x14ac:dyDescent="0.25">
      <c r="D132" s="25" t="str">
        <v>Ind</v>
      </c>
      <c r="E132" s="5">
        <f t="shared" si="34"/>
        <v>5.9382736842082728E-2</v>
      </c>
      <c r="F132" s="6">
        <f t="shared" si="34"/>
        <v>5.9382736842078288E-2</v>
      </c>
      <c r="G132" s="6">
        <f t="shared" si="34"/>
        <v>0.49235256810261557</v>
      </c>
      <c r="H132" s="6">
        <f t="shared" si="34"/>
        <v>0.85298916043498707</v>
      </c>
      <c r="I132" s="6">
        <f t="shared" si="34"/>
        <v>0.31460422119018894</v>
      </c>
      <c r="J132" s="6">
        <f t="shared" si="34"/>
        <v>0.6053250929149272</v>
      </c>
      <c r="K132" s="6">
        <f t="shared" si="34"/>
        <v>8.2222251012115777E-2</v>
      </c>
      <c r="L132" s="6">
        <f t="shared" si="34"/>
        <v>0.46209935586693618</v>
      </c>
      <c r="M132" s="7">
        <f t="shared" si="34"/>
        <v>7.3086445344097362E-2</v>
      </c>
    </row>
    <row r="133" spans="1:24" x14ac:dyDescent="0.25">
      <c r="D133" s="25" t="str">
        <v>Serv</v>
      </c>
      <c r="E133" s="9">
        <f t="shared" si="34"/>
        <v>7.1395692138015665E-2</v>
      </c>
      <c r="F133" s="10">
        <f t="shared" si="34"/>
        <v>3.1235615310380549E-2</v>
      </c>
      <c r="G133" s="10">
        <f t="shared" si="34"/>
        <v>0.32085903216214451</v>
      </c>
      <c r="H133" s="10">
        <f t="shared" si="34"/>
        <v>0.79000546432260332</v>
      </c>
      <c r="I133" s="10">
        <f t="shared" si="34"/>
        <v>0.4441647726965996</v>
      </c>
      <c r="J133" s="10">
        <f t="shared" si="34"/>
        <v>0.25360614621675048</v>
      </c>
      <c r="K133" s="10">
        <f t="shared" si="34"/>
        <v>4.908453834488502E-2</v>
      </c>
      <c r="L133" s="10">
        <f t="shared" si="34"/>
        <v>0.28225662933054108</v>
      </c>
      <c r="M133" s="11">
        <f t="shared" si="34"/>
        <v>6.6933461379385939E-2</v>
      </c>
      <c r="O133" s="19"/>
    </row>
    <row r="135" spans="1:24" ht="15.75" thickBot="1" x14ac:dyDescent="0.3">
      <c r="E135" s="20" t="s">
        <v>1</v>
      </c>
      <c r="F135" s="20" t="s">
        <v>1</v>
      </c>
      <c r="G135" s="20" t="s">
        <v>1</v>
      </c>
      <c r="H135" s="20" t="s">
        <v>10</v>
      </c>
      <c r="I135" s="20" t="s">
        <v>10</v>
      </c>
      <c r="J135" s="20" t="s">
        <v>10</v>
      </c>
      <c r="K135" s="20" t="s">
        <v>11</v>
      </c>
      <c r="L135" s="20" t="s">
        <v>11</v>
      </c>
      <c r="M135" s="20" t="s">
        <v>11</v>
      </c>
    </row>
    <row r="136" spans="1:24" ht="15.75" thickBot="1" x14ac:dyDescent="0.3">
      <c r="D136" s="23" t="s">
        <v>38</v>
      </c>
      <c r="E136" s="27" t="s">
        <v>51</v>
      </c>
      <c r="F136" s="26" t="s">
        <v>52</v>
      </c>
      <c r="G136" s="26" t="s">
        <v>53</v>
      </c>
      <c r="H136" s="26" t="s">
        <v>51</v>
      </c>
      <c r="I136" s="26" t="s">
        <v>52</v>
      </c>
      <c r="J136" s="26" t="s">
        <v>53</v>
      </c>
      <c r="K136" s="26" t="s">
        <v>51</v>
      </c>
      <c r="L136" s="26" t="s">
        <v>52</v>
      </c>
      <c r="M136" s="26" t="s">
        <v>53</v>
      </c>
    </row>
    <row r="137" spans="1:24" x14ac:dyDescent="0.25">
      <c r="C137" s="20" t="s">
        <v>1</v>
      </c>
      <c r="D137" s="28" t="s">
        <v>51</v>
      </c>
      <c r="E137" s="1" cm="1">
        <f t="array" ref="E137">+$I$123*$G118*_xlfn.XLOOKUP($D137,_xlfn.ANCHORARRAY($I$118),$L$118:$L$120,,0)*_xlfn.XLOOKUP($D137,$D$131:$D$133,E$131:E$133,,0)</f>
        <v>2.6034720609072391E-2</v>
      </c>
      <c r="F137" s="2" cm="1">
        <f t="array" ref="F137">+$I$123*$G118*_xlfn.XLOOKUP($D137,_xlfn.ANCHORARRAY($I$118),$L$118:$L$120,,0)*_xlfn.XLOOKUP($D137,$D$131:$D$133,F$131:F$133,,0)</f>
        <v>2.366792782642731E-2</v>
      </c>
      <c r="G137" s="2" cm="1">
        <f t="array" ref="G137">+$I$123*$G118*_xlfn.XLOOKUP($D137,_xlfn.ANCHORARRAY($I$118),$L$118:$L$120,,0)*_xlfn.XLOOKUP($D137,$D$131:$D$133,G$131:G$133,,0)</f>
        <v>0.23422129279603812</v>
      </c>
      <c r="H137" s="2" cm="1">
        <f t="array" ref="H137">+$I$123*$G118*_xlfn.XLOOKUP($D137,_xlfn.ANCHORARRAY($I$118),$L$118:$L$120,,0)*_xlfn.XLOOKUP($D137,$D$131:$D$133,H$131:H$133,,0)</f>
        <v>0.19818281599127097</v>
      </c>
      <c r="I137" s="2" cm="1">
        <f t="array" ref="I137">+$I$123*$G118*_xlfn.XLOOKUP($D137,_xlfn.ANCHORARRAY($I$118),$L$118:$L$120,,0)*_xlfn.XLOOKUP($D137,$D$131:$D$133,I$131:I$133,,0)</f>
        <v>0.18136070691285577</v>
      </c>
      <c r="J137" s="2" cm="1">
        <f t="array" ref="J137">+$I$123*$G118*_xlfn.XLOOKUP($D137,_xlfn.ANCHORARRAY($I$118),$L$118:$L$120,,0)*_xlfn.XLOOKUP($D137,$D$131:$D$133,J$131:J$133,,0)</f>
        <v>0.19074853816681767</v>
      </c>
      <c r="K137" s="2" cm="1">
        <f t="array" ref="K137">+$I$123*$G118*_xlfn.XLOOKUP($D137,_xlfn.ANCHORARRAY($I$118),$L$118:$L$120,,0)*_xlfn.XLOOKUP($D137,$D$131:$D$133,K$131:K$133,,0)</f>
        <v>2.3667927826429038E-2</v>
      </c>
      <c r="L137" s="2" cm="1">
        <f t="array" ref="L137">+$I$123*$G118*_xlfn.XLOOKUP($D137,_xlfn.ANCHORARRAY($I$118),$L$118:$L$120,,0)*_xlfn.XLOOKUP($D137,$D$131:$D$133,L$131:L$133,,0)</f>
        <v>0.18725338720195986</v>
      </c>
      <c r="M137" s="3" cm="1">
        <f t="array" ref="M137">+$I$123*$G118*_xlfn.XLOOKUP($D137,_xlfn.ANCHORARRAY($I$118),$L$118:$L$120,,0)*_xlfn.XLOOKUP($D137,$D$131:$D$133,M$131:M$133,,0)</f>
        <v>2.2484531435106151E-2</v>
      </c>
      <c r="O137" s="18"/>
      <c r="P137" s="18"/>
      <c r="Q137" s="18"/>
      <c r="R137" s="18"/>
      <c r="S137" s="18"/>
      <c r="T137" s="18"/>
      <c r="U137" s="18"/>
      <c r="V137" s="18"/>
      <c r="W137" s="18"/>
      <c r="X137" s="18"/>
    </row>
    <row r="138" spans="1:24" x14ac:dyDescent="0.25">
      <c r="C138" s="20" t="s">
        <v>1</v>
      </c>
      <c r="D138" s="25" t="s">
        <v>52</v>
      </c>
      <c r="E138" s="5" cm="1">
        <f t="array" ref="E138">+$I$123*$G119*_xlfn.XLOOKUP($D138,_xlfn.ANCHORARRAY($I$118),$L$118:$L$120,,0)*_xlfn.XLOOKUP($D138,$D$131:$D$133,E$131:E$133,,0)</f>
        <v>2.2453870393193472E-2</v>
      </c>
      <c r="F138" s="6" cm="1">
        <f t="array" ref="F138">+$I$123*$G119*_xlfn.XLOOKUP($D138,_xlfn.ANCHORARRAY($I$118),$L$118:$L$120,,0)*_xlfn.XLOOKUP($D138,$D$131:$D$133,F$131:F$133,,0)</f>
        <v>2.2453870393191792E-2</v>
      </c>
      <c r="G138" s="6" cm="1">
        <f t="array" ref="G138">+$I$123*$G119*_xlfn.XLOOKUP($D138,_xlfn.ANCHORARRAY($I$118),$L$118:$L$120,,0)*_xlfn.XLOOKUP($D138,$D$131:$D$133,G$131:G$133,,0)</f>
        <v>0.18616893292290285</v>
      </c>
      <c r="H138" s="6" cm="1">
        <f t="array" ref="H138">+$I$123*$G119*_xlfn.XLOOKUP($D138,_xlfn.ANCHORARRAY($I$118),$L$118:$L$120,,0)*_xlfn.XLOOKUP($D138,$D$131:$D$133,H$131:H$133,,0)</f>
        <v>0.32253326595807946</v>
      </c>
      <c r="I138" s="6" cm="1">
        <f t="array" ref="I138">+$I$123*$G119*_xlfn.XLOOKUP($D138,_xlfn.ANCHORARRAY($I$118),$L$118:$L$120,,0)*_xlfn.XLOOKUP($D138,$D$131:$D$133,I$131:I$133,,0)</f>
        <v>0.11895851864392303</v>
      </c>
      <c r="J138" s="6" cm="1">
        <f t="array" ref="J138">+$I$123*$G119*_xlfn.XLOOKUP($D138,_xlfn.ANCHORARRAY($I$118),$L$118:$L$120,,0)*_xlfn.XLOOKUP($D138,$D$131:$D$133,J$131:J$133,,0)</f>
        <v>0.2288862370591753</v>
      </c>
      <c r="K138" s="6" cm="1">
        <f t="array" ref="K138">+$I$123*$G119*_xlfn.XLOOKUP($D138,_xlfn.ANCHORARRAY($I$118),$L$118:$L$120,,0)*_xlfn.XLOOKUP($D138,$D$131:$D$133,K$131:K$133,,0)</f>
        <v>3.108997439057604E-2</v>
      </c>
      <c r="L138" s="6" cm="1">
        <f t="array" ref="L138">+$I$123*$G119*_xlfn.XLOOKUP($D138,_xlfn.ANCHORARRAY($I$118),$L$118:$L$120,,0)*_xlfn.XLOOKUP($D138,$D$131:$D$133,L$131:L$133,,0)</f>
        <v>0.17472955268139942</v>
      </c>
      <c r="M138" s="7" cm="1">
        <f t="array" ref="M138">+$I$123*$G119*_xlfn.XLOOKUP($D138,_xlfn.ANCHORARRAY($I$118),$L$118:$L$120,,0)*_xlfn.XLOOKUP($D138,$D$131:$D$133,M$131:M$133,,0)</f>
        <v>2.7635532791621047E-2</v>
      </c>
      <c r="O138" s="18"/>
      <c r="P138" s="18"/>
      <c r="Q138" s="18"/>
      <c r="R138" s="18"/>
      <c r="S138" s="18"/>
      <c r="T138" s="18"/>
      <c r="U138" s="18"/>
      <c r="V138" s="18"/>
      <c r="W138" s="18"/>
      <c r="X138" s="18"/>
    </row>
    <row r="139" spans="1:24" x14ac:dyDescent="0.25">
      <c r="C139" s="20" t="s">
        <v>1</v>
      </c>
      <c r="D139" s="25" t="s">
        <v>53</v>
      </c>
      <c r="E139" s="5" cm="1">
        <f t="array" ref="E139">+$I$123*$G120*_xlfn.XLOOKUP($D139,_xlfn.ANCHORARRAY($I$118),$L$118:$L$120,,0)*_xlfn.XLOOKUP($D139,$D$131:$D$133,E$131:E$133,,0)</f>
        <v>2.2058988418563744E-2</v>
      </c>
      <c r="F139" s="6" cm="1">
        <f t="array" ref="F139">+$I$123*$G120*_xlfn.XLOOKUP($D139,_xlfn.ANCHORARRAY($I$118),$L$118:$L$120,,0)*_xlfn.XLOOKUP($D139,$D$131:$D$133,F$131:F$133,,0)</f>
        <v>9.6508074331212342E-3</v>
      </c>
      <c r="G139" s="6" cm="1">
        <f t="array" ref="G139">+$I$123*$G120*_xlfn.XLOOKUP($D139,_xlfn.ANCHORARRAY($I$118),$L$118:$L$120,,0)*_xlfn.XLOOKUP($D139,$D$131:$D$133,G$131:G$133,,0)</f>
        <v>9.9135192369507505E-2</v>
      </c>
      <c r="H139" s="6" cm="1">
        <f t="array" ref="H139">+$I$123*$G120*_xlfn.XLOOKUP($D139,_xlfn.ANCHORARRAY($I$118),$L$118:$L$120,,0)*_xlfn.XLOOKUP($D139,$D$131:$D$133,H$131:H$133,,0)</f>
        <v>0.24408645488591421</v>
      </c>
      <c r="I139" s="6" cm="1">
        <f t="array" ref="I139">+$I$123*$G120*_xlfn.XLOOKUP($D139,_xlfn.ANCHORARRAY($I$118),$L$118:$L$120,,0)*_xlfn.XLOOKUP($D139,$D$131:$D$133,I$131:I$133,,0)</f>
        <v>0.1372327276820571</v>
      </c>
      <c r="J139" s="6" cm="1">
        <f t="array" ref="J139">+$I$123*$G120*_xlfn.XLOOKUP($D139,_xlfn.ANCHORARRAY($I$118),$L$118:$L$120,,0)*_xlfn.XLOOKUP($D139,$D$131:$D$133,J$131:J$133,,0)</f>
        <v>7.8356198738958924E-2</v>
      </c>
      <c r="K139" s="6" cm="1">
        <f t="array" ref="K139">+$I$123*$G120*_xlfn.XLOOKUP($D139,_xlfn.ANCHORARRAY($I$118),$L$118:$L$120,,0)*_xlfn.XLOOKUP($D139,$D$131:$D$133,K$131:K$133,,0)</f>
        <v>1.5165554537762343E-2</v>
      </c>
      <c r="L139" s="6" cm="1">
        <f t="array" ref="L139">+$I$123*$G120*_xlfn.XLOOKUP($D139,_xlfn.ANCHORARRAY($I$118),$L$118:$L$120,,0)*_xlfn.XLOOKUP($D139,$D$131:$D$133,L$131:L$133,,0)</f>
        <v>8.7208282895123918E-2</v>
      </c>
      <c r="M139" s="7" cm="1">
        <f t="array" ref="M139">+$I$123*$G120*_xlfn.XLOOKUP($D139,_xlfn.ANCHORARRAY($I$118),$L$118:$L$120,,0)*_xlfn.XLOOKUP($D139,$D$131:$D$133,M$131:M$133,,0)</f>
        <v>2.0680301642402352E-2</v>
      </c>
      <c r="O139" s="18"/>
      <c r="P139" s="18"/>
      <c r="Q139" s="18"/>
      <c r="R139" s="18"/>
      <c r="S139" s="18"/>
      <c r="T139" s="18"/>
      <c r="U139" s="18"/>
      <c r="V139" s="18"/>
      <c r="W139" s="18"/>
      <c r="X139" s="18"/>
    </row>
    <row r="140" spans="1:24" x14ac:dyDescent="0.25">
      <c r="C140" s="20" t="s">
        <v>10</v>
      </c>
      <c r="D140" s="25" t="str">
        <f>+D137</f>
        <v>Agr</v>
      </c>
      <c r="E140" s="5" cm="1">
        <f t="array" ref="E140">+$I$123*$G121*_xlfn.XLOOKUP($D140,_xlfn.ANCHORARRAY($I$118),$L$118:$L$120,,0)*_xlfn.XLOOKUP($D140,$D$131:$D$133,E$131:E$133,,0)</f>
        <v>3.6674997727562532E-2</v>
      </c>
      <c r="F140" s="6" cm="1">
        <f t="array" ref="F140">+$I$123*$G121*_xlfn.XLOOKUP($D140,_xlfn.ANCHORARRAY($I$118),$L$118:$L$120,,0)*_xlfn.XLOOKUP($D140,$D$131:$D$133,F$131:F$133,,0)</f>
        <v>3.3340907025053837E-2</v>
      </c>
      <c r="G140" s="6" cm="1">
        <f t="array" ref="G140">+$I$123*$G121*_xlfn.XLOOKUP($D140,_xlfn.ANCHORARRAY($I$118),$L$118:$L$120,,0)*_xlfn.XLOOKUP($D140,$D$131:$D$133,G$131:G$133,,0)</f>
        <v>0.32994651680832915</v>
      </c>
      <c r="H140" s="6" cm="1">
        <f t="array" ref="H140">+$I$123*$G121*_xlfn.XLOOKUP($D140,_xlfn.ANCHORARRAY($I$118),$L$118:$L$120,,0)*_xlfn.XLOOKUP($D140,$D$131:$D$133,H$131:H$133,,0)</f>
        <v>0.2791792712224837</v>
      </c>
      <c r="I140" s="6" cm="1">
        <f t="array" ref="I140">+$I$123*$G121*_xlfn.XLOOKUP($D140,_xlfn.ANCHORARRAY($I$118),$L$118:$L$120,,0)*_xlfn.XLOOKUP($D140,$D$131:$D$133,I$131:I$133,,0)</f>
        <v>0.25548203930332508</v>
      </c>
      <c r="J140" s="6" cm="1">
        <f t="array" ref="J140">+$I$123*$G121*_xlfn.XLOOKUP($D140,_xlfn.ANCHORARRAY($I$118),$L$118:$L$120,,0)*_xlfn.XLOOKUP($D140,$D$131:$D$133,J$131:J$133,,0)</f>
        <v>0.26870663637412345</v>
      </c>
      <c r="K140" s="6" cm="1">
        <f t="array" ref="K140">+$I$123*$G121*_xlfn.XLOOKUP($D140,_xlfn.ANCHORARRAY($I$118),$L$118:$L$120,,0)*_xlfn.XLOOKUP($D140,$D$131:$D$133,K$131:K$133,,0)</f>
        <v>3.3340907025056273E-2</v>
      </c>
      <c r="L140" s="6" cm="1">
        <f t="array" ref="L140">+$I$123*$G121*_xlfn.XLOOKUP($D140,_xlfn.ANCHORARRAY($I$118),$L$118:$L$120,,0)*_xlfn.XLOOKUP($D140,$D$131:$D$133,L$131:L$133,,0)</f>
        <v>0.26378303240623685</v>
      </c>
      <c r="M140" s="7" cm="1">
        <f t="array" ref="M140">+$I$123*$G121*_xlfn.XLOOKUP($D140,_xlfn.ANCHORARRAY($I$118),$L$118:$L$120,,0)*_xlfn.XLOOKUP($D140,$D$131:$D$133,M$131:M$133,,0)</f>
        <v>3.1673861673801436E-2</v>
      </c>
      <c r="O140" s="18"/>
      <c r="P140" s="18"/>
      <c r="Q140" s="18"/>
      <c r="R140" s="18"/>
      <c r="S140" s="18"/>
      <c r="T140" s="18"/>
      <c r="U140" s="18"/>
      <c r="V140" s="18"/>
      <c r="W140" s="18"/>
      <c r="X140" s="18"/>
    </row>
    <row r="141" spans="1:24" x14ac:dyDescent="0.25">
      <c r="C141" s="20" t="s">
        <v>10</v>
      </c>
      <c r="D141" s="25" t="str">
        <f t="shared" ref="D141:D145" si="35">+D138</f>
        <v>Ind</v>
      </c>
      <c r="E141" s="5" cm="1">
        <f t="array" ref="E141">+$I$123*$G122*_xlfn.XLOOKUP($D141,_xlfn.ANCHORARRAY($I$118),$L$118:$L$120,,0)*_xlfn.XLOOKUP($D141,$D$131:$D$133,E$131:E$133,,0)</f>
        <v>1.9881031077306752E-2</v>
      </c>
      <c r="F141" s="6" cm="1">
        <f t="array" ref="F141">+$I$123*$G122*_xlfn.XLOOKUP($D141,_xlfn.ANCHORARRAY($I$118),$L$118:$L$120,,0)*_xlfn.XLOOKUP($D141,$D$131:$D$133,F$131:F$133,,0)</f>
        <v>1.9881031077305263E-2</v>
      </c>
      <c r="G141" s="6" cm="1">
        <f t="array" ref="G141">+$I$123*$G122*_xlfn.XLOOKUP($D141,_xlfn.ANCHORARRAY($I$118),$L$118:$L$120,,0)*_xlfn.XLOOKUP($D141,$D$131:$D$133,G$131:G$133,,0)</f>
        <v>0.16483707602548717</v>
      </c>
      <c r="H141" s="6" cm="1">
        <f t="array" ref="H141">+$I$123*$G122*_xlfn.XLOOKUP($D141,_xlfn.ANCHORARRAY($I$118),$L$118:$L$120,,0)*_xlfn.XLOOKUP($D141,$D$131:$D$133,H$131:H$133,,0)</f>
        <v>0.28557632923371667</v>
      </c>
      <c r="I141" s="6" cm="1">
        <f t="array" ref="I141">+$I$123*$G122*_xlfn.XLOOKUP($D141,_xlfn.ANCHORARRAY($I$118),$L$118:$L$120,,0)*_xlfn.XLOOKUP($D141,$D$131:$D$133,I$131:I$133,,0)</f>
        <v>0.10532785504930703</v>
      </c>
      <c r="J141" s="6" cm="1">
        <f t="array" ref="J141">+$I$123*$G122*_xlfn.XLOOKUP($D141,_xlfn.ANCHORARRAY($I$118),$L$118:$L$120,,0)*_xlfn.XLOOKUP($D141,$D$131:$D$133,J$131:J$133,,0)</f>
        <v>0.20265968906281182</v>
      </c>
      <c r="K141" s="6" cm="1">
        <f t="array" ref="K141">+$I$123*$G122*_xlfn.XLOOKUP($D141,_xlfn.ANCHORARRAY($I$118),$L$118:$L$120,,0)*_xlfn.XLOOKUP($D141,$D$131:$D$133,K$131:K$133,,0)</f>
        <v>2.7527581491655913E-2</v>
      </c>
      <c r="L141" s="6" cm="1">
        <f t="array" ref="L141">+$I$123*$G122*_xlfn.XLOOKUP($D141,_xlfn.ANCHORARRAY($I$118),$L$118:$L$120,,0)*_xlfn.XLOOKUP($D141,$D$131:$D$133,L$131:L$133,,0)</f>
        <v>0.15470845810332265</v>
      </c>
      <c r="M141" s="7" cm="1">
        <f t="array" ref="M141">+$I$123*$G122*_xlfn.XLOOKUP($D141,_xlfn.ANCHORARRAY($I$118),$L$118:$L$120,,0)*_xlfn.XLOOKUP($D141,$D$131:$D$133,M$131:M$133,,0)</f>
        <v>2.4468961325914508E-2</v>
      </c>
      <c r="O141" s="18"/>
      <c r="P141" s="18"/>
      <c r="Q141" s="18"/>
      <c r="R141" s="18"/>
      <c r="S141" s="18"/>
      <c r="T141" s="18"/>
      <c r="U141" s="18"/>
      <c r="V141" s="18"/>
      <c r="W141" s="18"/>
      <c r="X141" s="18"/>
    </row>
    <row r="142" spans="1:24" x14ac:dyDescent="0.25">
      <c r="C142" s="20" t="s">
        <v>10</v>
      </c>
      <c r="D142" s="25" t="str">
        <f t="shared" si="35"/>
        <v>Serv</v>
      </c>
      <c r="E142" s="5" cm="1">
        <f t="array" ref="E142">+$I$123*$G123*_xlfn.XLOOKUP($D142,_xlfn.ANCHORARRAY($I$118),$L$118:$L$120,,0)*_xlfn.XLOOKUP($D142,$D$131:$D$133,E$131:E$133,,0)</f>
        <v>2.3023795069077351E-2</v>
      </c>
      <c r="F142" s="6" cm="1">
        <f t="array" ref="F142">+$I$123*$G123*_xlfn.XLOOKUP($D142,_xlfn.ANCHORARRAY($I$118),$L$118:$L$120,,0)*_xlfn.XLOOKUP($D142,$D$131:$D$133,F$131:F$133,,0)</f>
        <v>1.007291034272092E-2</v>
      </c>
      <c r="G142" s="6" cm="1">
        <f t="array" ref="G142">+$I$123*$G123*_xlfn.XLOOKUP($D142,_xlfn.ANCHORARRAY($I$118),$L$118:$L$120,,0)*_xlfn.XLOOKUP($D142,$D$131:$D$133,G$131:G$133,,0)</f>
        <v>0.10347112523656299</v>
      </c>
      <c r="H142" s="6" cm="1">
        <f t="array" ref="H142">+$I$123*$G123*_xlfn.XLOOKUP($D142,_xlfn.ANCHORARRAY($I$118),$L$118:$L$120,,0)*_xlfn.XLOOKUP($D142,$D$131:$D$133,H$131:H$133,,0)</f>
        <v>0.25476220440378594</v>
      </c>
      <c r="I142" s="6" cm="1">
        <f t="array" ref="I142">+$I$123*$G123*_xlfn.XLOOKUP($D142,_xlfn.ANCHORARRAY($I$118),$L$118:$L$120,,0)*_xlfn.XLOOKUP($D142,$D$131:$D$133,I$131:I$133,,0)</f>
        <v>0.14323495434011851</v>
      </c>
      <c r="J142" s="6" cm="1">
        <f t="array" ref="J142">+$I$123*$G123*_xlfn.XLOOKUP($D142,_xlfn.ANCHORARRAY($I$118),$L$118:$L$120,,0)*_xlfn.XLOOKUP($D142,$D$131:$D$133,J$131:J$133,,0)</f>
        <v>8.1783308822968651E-2</v>
      </c>
      <c r="K142" s="6" cm="1">
        <f t="array" ref="K142">+$I$123*$G123*_xlfn.XLOOKUP($D142,_xlfn.ANCHORARRAY($I$118),$L$118:$L$120,,0)*_xlfn.XLOOKUP($D142,$D$131:$D$133,K$131:K$133,,0)</f>
        <v>1.5828859109990438E-2</v>
      </c>
      <c r="L142" s="6" cm="1">
        <f t="array" ref="L142">+$I$123*$G123*_xlfn.XLOOKUP($D142,_xlfn.ANCHORARRAY($I$118),$L$118:$L$120,,0)*_xlfn.XLOOKUP($D142,$D$131:$D$133,L$131:L$133,,0)</f>
        <v>9.1022561669860502E-2</v>
      </c>
      <c r="M142" s="7" cm="1">
        <f t="array" ref="M142">+$I$123*$G123*_xlfn.XLOOKUP($D142,_xlfn.ANCHORARRAY($I$118),$L$118:$L$120,,0)*_xlfn.XLOOKUP($D142,$D$131:$D$133,M$131:M$133,,0)</f>
        <v>2.1584807877258808E-2</v>
      </c>
      <c r="O142" s="18"/>
      <c r="P142" s="18"/>
      <c r="Q142" s="18"/>
      <c r="R142" s="18"/>
      <c r="S142" s="18"/>
      <c r="T142" s="18"/>
      <c r="U142" s="18"/>
      <c r="V142" s="18"/>
      <c r="W142" s="18"/>
      <c r="X142" s="18"/>
    </row>
    <row r="143" spans="1:24" x14ac:dyDescent="0.25">
      <c r="C143" s="20" t="s">
        <v>11</v>
      </c>
      <c r="D143" s="25" t="str">
        <f t="shared" si="35"/>
        <v>Agr</v>
      </c>
      <c r="E143" s="5" cm="1">
        <f t="array" ref="E143">+$I$123*$G124*_xlfn.XLOOKUP($D143,_xlfn.ANCHORARRAY($I$118),$L$118:$L$120,,0)*_xlfn.XLOOKUP($D143,$D$131:$D$133,E$131:E$133,,0)</f>
        <v>3.6222219977839538E-2</v>
      </c>
      <c r="F143" s="6" cm="1">
        <f t="array" ref="F143">+$I$123*$G124*_xlfn.XLOOKUP($D143,_xlfn.ANCHORARRAY($I$118),$L$118:$L$120,,0)*_xlfn.XLOOKUP($D143,$D$131:$D$133,F$131:F$133,,0)</f>
        <v>3.2929290888942059E-2</v>
      </c>
      <c r="G143" s="6" cm="1">
        <f t="array" ref="G143">+$I$123*$G124*_xlfn.XLOOKUP($D143,_xlfn.ANCHORARRAY($I$118),$L$118:$L$120,,0)*_xlfn.XLOOKUP($D143,$D$131:$D$133,G$131:G$133,,0)</f>
        <v>0.32587310302057199</v>
      </c>
      <c r="H143" s="6" cm="1">
        <f t="array" ref="H143">+$I$123*$G124*_xlfn.XLOOKUP($D143,_xlfn.ANCHORARRAY($I$118),$L$118:$L$120,,0)*_xlfn.XLOOKUP($D143,$D$131:$D$133,H$131:H$133,,0)</f>
        <v>0.27573261355307033</v>
      </c>
      <c r="I143" s="6" cm="1">
        <f t="array" ref="I143">+$I$123*$G124*_xlfn.XLOOKUP($D143,_xlfn.ANCHORARRAY($I$118),$L$118:$L$120,,0)*_xlfn.XLOOKUP($D143,$D$131:$D$133,I$131:I$133,,0)</f>
        <v>0.25232794005266673</v>
      </c>
      <c r="J143" s="6" cm="1">
        <f t="array" ref="J143">+$I$123*$G124*_xlfn.XLOOKUP($D143,_xlfn.ANCHORARRAY($I$118),$L$118:$L$120,,0)*_xlfn.XLOOKUP($D143,$D$131:$D$133,J$131:J$133,,0)</f>
        <v>0.2653892704929614</v>
      </c>
      <c r="K143" s="6" cm="1">
        <f t="array" ref="K143">+$I$123*$G124*_xlfn.XLOOKUP($D143,_xlfn.ANCHORARRAY($I$118),$L$118:$L$120,,0)*_xlfn.XLOOKUP($D143,$D$131:$D$133,K$131:K$133,,0)</f>
        <v>3.2929290888944467E-2</v>
      </c>
      <c r="L143" s="6" cm="1">
        <f t="array" ref="L143">+$I$123*$G124*_xlfn.XLOOKUP($D143,_xlfn.ANCHORARRAY($I$118),$L$118:$L$120,,0)*_xlfn.XLOOKUP($D143,$D$131:$D$133,L$131:L$133,,0)</f>
        <v>0.26052645175924627</v>
      </c>
      <c r="M143" s="7" cm="1">
        <f t="array" ref="M143">+$I$123*$G124*_xlfn.XLOOKUP($D143,_xlfn.ANCHORARRAY($I$118),$L$118:$L$120,,0)*_xlfn.XLOOKUP($D143,$D$131:$D$133,M$131:M$133,,0)</f>
        <v>3.1282826344495245E-2</v>
      </c>
      <c r="O143" s="18"/>
      <c r="P143" s="18"/>
      <c r="Q143" s="18"/>
      <c r="R143" s="18"/>
      <c r="S143" s="18"/>
      <c r="T143" s="18"/>
      <c r="U143" s="18"/>
      <c r="V143" s="18"/>
      <c r="W143" s="18"/>
      <c r="X143" s="18"/>
    </row>
    <row r="144" spans="1:24" x14ac:dyDescent="0.25">
      <c r="C144" s="20" t="s">
        <v>11</v>
      </c>
      <c r="D144" s="25" t="str">
        <f t="shared" si="35"/>
        <v>Ind</v>
      </c>
      <c r="E144" s="5" cm="1">
        <f t="array" ref="E144">+$I$123*$G125*_xlfn.XLOOKUP($D144,_xlfn.ANCHORARRAY($I$118),$L$118:$L$120,,0)*_xlfn.XLOOKUP($D144,$D$131:$D$133,E$131:E$133,,0)</f>
        <v>1.6091940448455262E-2</v>
      </c>
      <c r="F144" s="6" cm="1">
        <f t="array" ref="F144">+$I$123*$G125*_xlfn.XLOOKUP($D144,_xlfn.ANCHORARRAY($I$118),$L$118:$L$120,,0)*_xlfn.XLOOKUP($D144,$D$131:$D$133,F$131:F$133,,0)</f>
        <v>1.6091940448454058E-2</v>
      </c>
      <c r="G144" s="6" cm="1">
        <f t="array" ref="G144">+$I$123*$G125*_xlfn.XLOOKUP($D144,_xlfn.ANCHORARRAY($I$118),$L$118:$L$120,,0)*_xlfn.XLOOKUP($D144,$D$131:$D$133,G$131:G$133,,0)</f>
        <v>0.13342106859474656</v>
      </c>
      <c r="H144" s="6" cm="1">
        <f t="array" ref="H144">+$I$123*$G125*_xlfn.XLOOKUP($D144,_xlfn.ANCHORARRAY($I$118),$L$118:$L$120,,0)*_xlfn.XLOOKUP($D144,$D$131:$D$133,H$131:H$133,,0)</f>
        <v>0.23114884060328941</v>
      </c>
      <c r="I144" s="6" cm="1">
        <f t="array" ref="I144">+$I$123*$G125*_xlfn.XLOOKUP($D144,_xlfn.ANCHORARRAY($I$118),$L$118:$L$120,,0)*_xlfn.XLOOKUP($D144,$D$131:$D$133,I$131:I$133,,0)</f>
        <v>8.5253605028144525E-2</v>
      </c>
      <c r="J144" s="6" cm="1">
        <f t="array" ref="J144">+$I$123*$G125*_xlfn.XLOOKUP($D144,_xlfn.ANCHORARRAY($I$118),$L$118:$L$120,,0)*_xlfn.XLOOKUP($D144,$D$131:$D$133,J$131:J$133,,0)</f>
        <v>0.16403513655907501</v>
      </c>
      <c r="K144" s="6" cm="1">
        <f t="array" ref="K144">+$I$123*$G125*_xlfn.XLOOKUP($D144,_xlfn.ANCHORARRAY($I$118),$L$118:$L$120,,0)*_xlfn.XLOOKUP($D144,$D$131:$D$133,K$131:K$133,,0)</f>
        <v>2.2281148313246079E-2</v>
      </c>
      <c r="L144" s="6" cm="1">
        <f t="array" ref="L144">+$I$123*$G125*_xlfn.XLOOKUP($D144,_xlfn.ANCHORARRAY($I$118),$L$118:$L$120,,0)*_xlfn.XLOOKUP($D144,$D$131:$D$133,L$131:L$133,,0)</f>
        <v>0.12522284608833578</v>
      </c>
      <c r="M144" s="7" cm="1">
        <f t="array" ref="M144">+$I$123*$G125*_xlfn.XLOOKUP($D144,_xlfn.ANCHORARRAY($I$118),$L$118:$L$120,,0)*_xlfn.XLOOKUP($D144,$D$131:$D$133,M$131:M$133,,0)</f>
        <v>1.9805465167328343E-2</v>
      </c>
      <c r="O144" s="18"/>
      <c r="P144" s="18"/>
      <c r="Q144" s="18"/>
      <c r="R144" s="18"/>
      <c r="S144" s="18"/>
      <c r="T144" s="18"/>
      <c r="U144" s="18"/>
      <c r="V144" s="18"/>
      <c r="W144" s="18"/>
      <c r="X144" s="18"/>
    </row>
    <row r="145" spans="3:24" x14ac:dyDescent="0.25">
      <c r="C145" s="20" t="s">
        <v>11</v>
      </c>
      <c r="D145" s="25" t="str">
        <f t="shared" si="35"/>
        <v>Serv</v>
      </c>
      <c r="E145" s="9" cm="1">
        <f t="array" ref="E145">+$I$123*$G126*_xlfn.XLOOKUP($D145,_xlfn.ANCHORARRAY($I$118),$L$118:$L$120,,0)*_xlfn.XLOOKUP($D145,$D$131:$D$133,E$131:E$133,,0)</f>
        <v>2.6312908650374341E-2</v>
      </c>
      <c r="F145" s="10" cm="1">
        <f t="array" ref="F145">+$I$123*$G126*_xlfn.XLOOKUP($D145,_xlfn.ANCHORARRAY($I$118),$L$118:$L$120,,0)*_xlfn.XLOOKUP($D145,$D$131:$D$133,F$131:F$133,,0)</f>
        <v>1.1511897534538292E-2</v>
      </c>
      <c r="G145" s="10" cm="1">
        <f t="array" ref="G145">+$I$123*$G126*_xlfn.XLOOKUP($D145,_xlfn.ANCHORARRAY($I$118),$L$118:$L$120,,0)*_xlfn.XLOOKUP($D145,$D$131:$D$133,G$131:G$133,,0)</f>
        <v>0.11825271455607299</v>
      </c>
      <c r="H145" s="10" cm="1">
        <f t="array" ref="H145">+$I$123*$G126*_xlfn.XLOOKUP($D145,_xlfn.ANCHORARRAY($I$118),$L$118:$L$120,,0)*_xlfn.XLOOKUP($D145,$D$131:$D$133,H$131:H$133,,0)</f>
        <v>0.29115680503290065</v>
      </c>
      <c r="I145" s="10" cm="1">
        <f t="array" ref="I145">+$I$123*$G126*_xlfn.XLOOKUP($D145,_xlfn.ANCHORARRAY($I$118),$L$118:$L$120,,0)*_xlfn.XLOOKUP($D145,$D$131:$D$133,I$131:I$133,,0)</f>
        <v>0.16369709067442256</v>
      </c>
      <c r="J145" s="10" cm="1">
        <f t="array" ref="J145">+$I$123*$G126*_xlfn.XLOOKUP($D145,_xlfn.ANCHORARRAY($I$118),$L$118:$L$120,,0)*_xlfn.XLOOKUP($D145,$D$131:$D$133,J$131:J$133,,0)</f>
        <v>9.3466638654822104E-2</v>
      </c>
      <c r="K145" s="10" cm="1">
        <f t="array" ref="K145">+$I$123*$G126*_xlfn.XLOOKUP($D145,_xlfn.ANCHORARRAY($I$118),$L$118:$L$120,,0)*_xlfn.XLOOKUP($D145,$D$131:$D$133,K$131:K$133,,0)</f>
        <v>1.809012469713208E-2</v>
      </c>
      <c r="L145" s="10" cm="1">
        <f t="array" ref="L145">+$I$123*$G126*_xlfn.XLOOKUP($D145,_xlfn.ANCHORARRAY($I$118),$L$118:$L$120,,0)*_xlfn.XLOOKUP($D145,$D$131:$D$133,L$131:L$133,,0)</f>
        <v>0.10402578476555574</v>
      </c>
      <c r="M145" s="11" cm="1">
        <f t="array" ref="M145">+$I$123*$G126*_xlfn.XLOOKUP($D145,_xlfn.ANCHORARRAY($I$118),$L$118:$L$120,,0)*_xlfn.XLOOKUP($D145,$D$131:$D$133,M$131:M$133,,0)</f>
        <v>2.466835185972456E-2</v>
      </c>
      <c r="O145" s="18"/>
      <c r="P145" s="18"/>
      <c r="Q145" s="18"/>
      <c r="R145" s="18"/>
      <c r="S145" s="18"/>
      <c r="T145" s="18"/>
      <c r="U145" s="18"/>
      <c r="V145" s="18"/>
      <c r="W145" s="18"/>
      <c r="X145" s="18"/>
    </row>
    <row r="146" spans="3:24" x14ac:dyDescent="0.25">
      <c r="E146" s="19"/>
      <c r="F146" s="19"/>
      <c r="G146" s="19"/>
      <c r="H146" s="19"/>
      <c r="I146" s="19"/>
      <c r="J146" s="19"/>
      <c r="K146" s="19"/>
      <c r="L146" s="19"/>
      <c r="M146" s="19"/>
    </row>
    <row r="147" spans="3:24" x14ac:dyDescent="0.25">
      <c r="O147" s="19"/>
    </row>
    <row r="148" spans="3:24" ht="15.75" thickBot="1" x14ac:dyDescent="0.3">
      <c r="E148" s="20" t="s">
        <v>1</v>
      </c>
      <c r="F148" s="20" t="s">
        <v>1</v>
      </c>
      <c r="G148" s="20" t="s">
        <v>1</v>
      </c>
      <c r="H148" s="20" t="s">
        <v>10</v>
      </c>
      <c r="I148" s="20" t="s">
        <v>10</v>
      </c>
      <c r="J148" s="20" t="s">
        <v>10</v>
      </c>
      <c r="K148" s="20" t="s">
        <v>11</v>
      </c>
      <c r="L148" s="20" t="s">
        <v>11</v>
      </c>
      <c r="M148" s="20" t="s">
        <v>11</v>
      </c>
      <c r="O148" s="19"/>
    </row>
    <row r="149" spans="3:24" ht="15.75" thickBot="1" x14ac:dyDescent="0.3">
      <c r="D149" s="23" t="s">
        <v>27</v>
      </c>
      <c r="E149" s="27" t="s">
        <v>51</v>
      </c>
      <c r="F149" s="26" t="s">
        <v>52</v>
      </c>
      <c r="G149" s="26" t="s">
        <v>53</v>
      </c>
      <c r="H149" s="26" t="s">
        <v>51</v>
      </c>
      <c r="I149" s="26" t="s">
        <v>52</v>
      </c>
      <c r="J149" s="26" t="s">
        <v>53</v>
      </c>
      <c r="K149" s="26" t="s">
        <v>51</v>
      </c>
      <c r="L149" s="26" t="s">
        <v>52</v>
      </c>
      <c r="M149" s="26" t="s">
        <v>53</v>
      </c>
      <c r="O149" s="19"/>
    </row>
    <row r="150" spans="3:24" x14ac:dyDescent="0.25">
      <c r="C150" s="20" t="s">
        <v>1</v>
      </c>
      <c r="D150" s="28" t="s">
        <v>51</v>
      </c>
      <c r="E150" s="1">
        <f t="shared" ref="E150:M158" si="36">+E78+E137</f>
        <v>8.996619500570425</v>
      </c>
      <c r="F150" s="2">
        <f t="shared" si="36"/>
        <v>5.0111692337170952</v>
      </c>
      <c r="G150" s="2">
        <f t="shared" si="36"/>
        <v>8.9987352680466532</v>
      </c>
      <c r="H150" s="2">
        <f t="shared" si="36"/>
        <v>1.7471900541988945</v>
      </c>
      <c r="I150" s="2">
        <f t="shared" si="36"/>
        <v>1.1412894914699754</v>
      </c>
      <c r="J150" s="2">
        <f t="shared" si="36"/>
        <v>7.1648394104239328</v>
      </c>
      <c r="K150" s="2">
        <f t="shared" si="36"/>
        <v>3.4625766366141559</v>
      </c>
      <c r="L150" s="2">
        <f t="shared" si="36"/>
        <v>6.8462844539441612</v>
      </c>
      <c r="M150" s="3">
        <f t="shared" si="36"/>
        <v>2.6312959510146969</v>
      </c>
      <c r="N150" s="19"/>
      <c r="O150" s="19"/>
    </row>
    <row r="151" spans="3:24" x14ac:dyDescent="0.25">
      <c r="C151" s="20" t="s">
        <v>1</v>
      </c>
      <c r="D151" s="25" t="s">
        <v>52</v>
      </c>
      <c r="E151" s="5">
        <f t="shared" si="36"/>
        <v>7.2808973846320191</v>
      </c>
      <c r="F151" s="6">
        <f t="shared" si="36"/>
        <v>3.4094158918746627</v>
      </c>
      <c r="G151" s="6">
        <f t="shared" si="36"/>
        <v>7.9659057672784934</v>
      </c>
      <c r="H151" s="6">
        <f t="shared" si="36"/>
        <v>4.675073182872489</v>
      </c>
      <c r="I151" s="6">
        <f t="shared" si="36"/>
        <v>2.2972472522457701</v>
      </c>
      <c r="J151" s="6">
        <f t="shared" si="36"/>
        <v>8.9059963969709326</v>
      </c>
      <c r="K151" s="6">
        <f t="shared" si="36"/>
        <v>2.2787182933179757</v>
      </c>
      <c r="L151" s="6">
        <f t="shared" si="36"/>
        <v>4.4294077455993515</v>
      </c>
      <c r="M151" s="7">
        <f t="shared" si="36"/>
        <v>6.757338085208298</v>
      </c>
      <c r="N151" s="19"/>
      <c r="O151" s="19"/>
    </row>
    <row r="152" spans="3:24" x14ac:dyDescent="0.25">
      <c r="C152" s="20" t="s">
        <v>1</v>
      </c>
      <c r="D152" s="25" t="s">
        <v>53</v>
      </c>
      <c r="E152" s="5">
        <f t="shared" si="36"/>
        <v>0.71203417658484125</v>
      </c>
      <c r="F152" s="6">
        <f t="shared" si="36"/>
        <v>0.31151495225586751</v>
      </c>
      <c r="G152" s="6">
        <f t="shared" si="36"/>
        <v>0.35601708829242029</v>
      </c>
      <c r="H152" s="6">
        <f t="shared" si="36"/>
        <v>6.2211125385182422</v>
      </c>
      <c r="I152" s="6">
        <f t="shared" si="36"/>
        <v>3.6757129626810672</v>
      </c>
      <c r="J152" s="6">
        <f t="shared" si="36"/>
        <v>3.3641980104251981</v>
      </c>
      <c r="K152" s="6">
        <f t="shared" si="36"/>
        <v>5.9095975862623735</v>
      </c>
      <c r="L152" s="6">
        <f t="shared" si="36"/>
        <v>3.542206554571409</v>
      </c>
      <c r="M152" s="7">
        <f t="shared" si="36"/>
        <v>6.0876061304085827</v>
      </c>
      <c r="N152" s="19"/>
      <c r="O152" s="19"/>
    </row>
    <row r="153" spans="3:24" x14ac:dyDescent="0.25">
      <c r="C153" s="20" t="s">
        <v>10</v>
      </c>
      <c r="D153" s="25" t="str">
        <f>+D150</f>
        <v>Agr</v>
      </c>
      <c r="E153" s="5">
        <f t="shared" si="36"/>
        <v>8.0607941267859431</v>
      </c>
      <c r="F153" s="6">
        <f t="shared" si="36"/>
        <v>4.8643246198689045</v>
      </c>
      <c r="G153" s="6">
        <f t="shared" si="36"/>
        <v>4.1922931064733602</v>
      </c>
      <c r="H153" s="6">
        <f t="shared" si="36"/>
        <v>6.2698497608157728</v>
      </c>
      <c r="I153" s="6">
        <f t="shared" si="36"/>
        <v>8.7380624916058895</v>
      </c>
      <c r="J153" s="6">
        <f t="shared" si="36"/>
        <v>7.8150266461890494</v>
      </c>
      <c r="K153" s="6">
        <f t="shared" si="36"/>
        <v>8.7358061126262623</v>
      </c>
      <c r="L153" s="6">
        <f t="shared" si="36"/>
        <v>8.2119754779156207</v>
      </c>
      <c r="M153" s="7">
        <f t="shared" si="36"/>
        <v>7.9118676577192115</v>
      </c>
      <c r="N153" s="19"/>
      <c r="O153" s="19"/>
    </row>
    <row r="154" spans="3:24" x14ac:dyDescent="0.25">
      <c r="C154" s="20" t="s">
        <v>10</v>
      </c>
      <c r="D154" s="25" t="str">
        <f t="shared" ref="D154:D158" si="37">+D151</f>
        <v>Ind</v>
      </c>
      <c r="E154" s="5">
        <f t="shared" si="36"/>
        <v>3.8656402308046975</v>
      </c>
      <c r="F154" s="6">
        <f t="shared" si="36"/>
        <v>2.3170476337017556</v>
      </c>
      <c r="G154" s="6">
        <f t="shared" si="36"/>
        <v>3.0271772368126961</v>
      </c>
      <c r="H154" s="6">
        <f t="shared" si="36"/>
        <v>5.7599501593674258</v>
      </c>
      <c r="I154" s="6">
        <f t="shared" si="36"/>
        <v>5.9489325781982032</v>
      </c>
      <c r="J154" s="6">
        <f t="shared" si="36"/>
        <v>3.9184899725278672</v>
      </c>
      <c r="K154" s="6">
        <f t="shared" si="36"/>
        <v>8.0326813530231362</v>
      </c>
      <c r="L154" s="6">
        <f t="shared" si="36"/>
        <v>2.4899196328769979</v>
      </c>
      <c r="M154" s="7">
        <f t="shared" si="36"/>
        <v>7.1401612026872323</v>
      </c>
      <c r="N154" s="19"/>
      <c r="O154" s="19"/>
    </row>
    <row r="155" spans="3:24" x14ac:dyDescent="0.25">
      <c r="C155" s="20" t="s">
        <v>10</v>
      </c>
      <c r="D155" s="25" t="str">
        <f t="shared" si="37"/>
        <v>Serv</v>
      </c>
      <c r="E155" s="5">
        <f t="shared" si="36"/>
        <v>5.3226438760316723</v>
      </c>
      <c r="F155" s="6">
        <f t="shared" si="36"/>
        <v>4.1676104048236002</v>
      </c>
      <c r="G155" s="6">
        <f t="shared" si="36"/>
        <v>3.435618236567306</v>
      </c>
      <c r="H155" s="6">
        <f t="shared" si="36"/>
        <v>1.535770643864673</v>
      </c>
      <c r="I155" s="6">
        <f t="shared" si="36"/>
        <v>7.5186203808005523</v>
      </c>
      <c r="J155" s="6">
        <f t="shared" si="36"/>
        <v>1.8024173788740083</v>
      </c>
      <c r="K155" s="6">
        <f t="shared" si="36"/>
        <v>1.2396417317984292</v>
      </c>
      <c r="L155" s="6">
        <f t="shared" si="36"/>
        <v>5.0688190942606042</v>
      </c>
      <c r="M155" s="7">
        <f t="shared" si="36"/>
        <v>1.4088582529791407</v>
      </c>
      <c r="N155" s="19"/>
    </row>
    <row r="156" spans="3:24" x14ac:dyDescent="0.25">
      <c r="C156" s="20" t="s">
        <v>11</v>
      </c>
      <c r="D156" s="25" t="str">
        <f t="shared" si="37"/>
        <v>Agr</v>
      </c>
      <c r="E156" s="5">
        <f t="shared" si="36"/>
        <v>4.067106655731938</v>
      </c>
      <c r="F156" s="6">
        <f t="shared" si="36"/>
        <v>9.3286154946760931</v>
      </c>
      <c r="G156" s="6">
        <f t="shared" si="36"/>
        <v>7.9415318249779494</v>
      </c>
      <c r="H156" s="6">
        <f t="shared" si="36"/>
        <v>8.3222579991683467</v>
      </c>
      <c r="I156" s="6">
        <f t="shared" si="36"/>
        <v>9.3308440171251075</v>
      </c>
      <c r="J156" s="6">
        <f t="shared" si="36"/>
        <v>1.3502177697560573</v>
      </c>
      <c r="K156" s="6">
        <f t="shared" si="36"/>
        <v>7.005726599021683</v>
      </c>
      <c r="L156" s="6">
        <f t="shared" si="36"/>
        <v>8.9529593674277503</v>
      </c>
      <c r="M156" s="7">
        <f t="shared" si="36"/>
        <v>7.7007402721150866</v>
      </c>
      <c r="N156" s="19"/>
    </row>
    <row r="157" spans="3:24" x14ac:dyDescent="0.25">
      <c r="C157" s="20" t="s">
        <v>11</v>
      </c>
      <c r="D157" s="25" t="str">
        <f t="shared" si="37"/>
        <v>Ind</v>
      </c>
      <c r="E157" s="5">
        <f t="shared" si="36"/>
        <v>1.3516569415526041</v>
      </c>
      <c r="F157" s="6">
        <f t="shared" si="36"/>
        <v>6.7717310314128989</v>
      </c>
      <c r="G157" s="6">
        <f t="shared" si="36"/>
        <v>0.52885689590691531</v>
      </c>
      <c r="H157" s="6">
        <f t="shared" si="36"/>
        <v>7.8052538187247498</v>
      </c>
      <c r="I157" s="6">
        <f t="shared" si="36"/>
        <v>0.39716250244642981</v>
      </c>
      <c r="J157" s="6">
        <f t="shared" si="36"/>
        <v>0.61670431461588249</v>
      </c>
      <c r="K157" s="6">
        <f t="shared" si="36"/>
        <v>6.9937928171825678</v>
      </c>
      <c r="L157" s="6">
        <f t="shared" si="36"/>
        <v>8.4499476651435561</v>
      </c>
      <c r="M157" s="7">
        <f t="shared" si="36"/>
        <v>1.4848940130144042</v>
      </c>
      <c r="N157" s="19"/>
    </row>
    <row r="158" spans="3:24" x14ac:dyDescent="0.25">
      <c r="C158" s="20" t="s">
        <v>11</v>
      </c>
      <c r="D158" s="25" t="str">
        <f t="shared" si="37"/>
        <v>Serv</v>
      </c>
      <c r="E158" s="9">
        <f t="shared" si="36"/>
        <v>8.9930142550757903</v>
      </c>
      <c r="F158" s="10">
        <f t="shared" si="36"/>
        <v>2.0954900275359156</v>
      </c>
      <c r="G158" s="10">
        <f t="shared" si="36"/>
        <v>3.7222108289864244</v>
      </c>
      <c r="H158" s="10">
        <f t="shared" si="36"/>
        <v>9.1492706637709276</v>
      </c>
      <c r="I158" s="10">
        <f t="shared" si="36"/>
        <v>1.0156666565183821</v>
      </c>
      <c r="J158" s="10">
        <f t="shared" si="36"/>
        <v>0.46876922608540617</v>
      </c>
      <c r="K158" s="10">
        <f t="shared" si="36"/>
        <v>3.1822991434776586</v>
      </c>
      <c r="L158" s="10">
        <f t="shared" si="36"/>
        <v>0.7812820434756782</v>
      </c>
      <c r="M158" s="11">
        <f t="shared" si="36"/>
        <v>6.5919971550738126</v>
      </c>
      <c r="N158" s="19"/>
    </row>
    <row r="159" spans="3:24" x14ac:dyDescent="0.25">
      <c r="E159" s="19"/>
      <c r="F159" s="19"/>
      <c r="G159" s="19"/>
      <c r="H159" s="19"/>
      <c r="I159" s="19"/>
      <c r="J159" s="19"/>
      <c r="K159" s="19"/>
      <c r="L159" s="19"/>
      <c r="M159" s="19"/>
      <c r="N159" s="19">
        <f>+SUM(E150:M158)</f>
        <v>397.38</v>
      </c>
    </row>
    <row r="161" spans="1:13" x14ac:dyDescent="0.25">
      <c r="A161" s="66"/>
    </row>
    <row r="162" spans="1:13" ht="15.75" thickBot="1" x14ac:dyDescent="0.3">
      <c r="A162" s="68" t="s">
        <v>41</v>
      </c>
      <c r="E162" s="20"/>
      <c r="F162" s="20"/>
      <c r="G162" s="20"/>
      <c r="H162" s="20"/>
      <c r="I162" s="20"/>
      <c r="J162" s="20"/>
      <c r="K162" s="20"/>
      <c r="L162" s="20"/>
      <c r="M162" s="20"/>
    </row>
    <row r="163" spans="1:13" ht="15.75" thickBot="1" x14ac:dyDescent="0.3">
      <c r="D163" s="23"/>
      <c r="E163" s="27"/>
      <c r="F163" s="26"/>
      <c r="G163" s="26"/>
      <c r="H163" s="26"/>
      <c r="I163" s="26"/>
      <c r="J163" s="26"/>
      <c r="K163" s="26"/>
      <c r="L163" s="26"/>
      <c r="M163" s="26"/>
    </row>
    <row r="164" spans="1:13" x14ac:dyDescent="0.25">
      <c r="D164" s="28"/>
      <c r="E164" s="1"/>
      <c r="F164" s="2"/>
      <c r="G164" s="2"/>
      <c r="H164" s="2"/>
      <c r="I164" s="2"/>
      <c r="J164" s="2"/>
      <c r="K164" s="2"/>
      <c r="L164" s="2"/>
      <c r="M164" s="3"/>
    </row>
    <row r="165" spans="1:13" x14ac:dyDescent="0.25">
      <c r="D165" s="25"/>
      <c r="E165" s="5"/>
      <c r="F165" s="6"/>
      <c r="G165" s="6"/>
      <c r="H165" s="6"/>
      <c r="I165" s="6"/>
      <c r="J165" s="6"/>
      <c r="K165" s="6"/>
      <c r="L165" s="6"/>
      <c r="M165" s="7"/>
    </row>
    <row r="166" spans="1:13" x14ac:dyDescent="0.25">
      <c r="D166" s="25"/>
      <c r="E166" s="9"/>
      <c r="F166" s="10"/>
      <c r="G166" s="10"/>
      <c r="H166" s="10"/>
      <c r="I166" s="10"/>
      <c r="J166" s="10"/>
      <c r="K166" s="10"/>
      <c r="L166" s="10"/>
      <c r="M166" s="11"/>
    </row>
    <row r="167" spans="1:13" x14ac:dyDescent="0.25">
      <c r="D167" s="25"/>
      <c r="E167" s="70"/>
      <c r="F167" s="71"/>
      <c r="G167" s="71"/>
      <c r="H167" s="71"/>
      <c r="I167" s="71"/>
      <c r="J167" s="71"/>
      <c r="K167" s="71"/>
      <c r="L167" s="71"/>
      <c r="M167" s="72"/>
    </row>
    <row r="169" spans="1:13" ht="15.75" thickBot="1" x14ac:dyDescent="0.3">
      <c r="E169" s="20" t="s">
        <v>1</v>
      </c>
      <c r="F169" s="20" t="s">
        <v>1</v>
      </c>
      <c r="G169" s="20" t="s">
        <v>1</v>
      </c>
      <c r="H169" s="20" t="s">
        <v>10</v>
      </c>
      <c r="I169" s="20" t="s">
        <v>10</v>
      </c>
      <c r="J169" s="20" t="s">
        <v>10</v>
      </c>
      <c r="K169" s="20" t="s">
        <v>11</v>
      </c>
      <c r="L169" s="20" t="s">
        <v>11</v>
      </c>
      <c r="M169" s="20" t="s">
        <v>11</v>
      </c>
    </row>
    <row r="170" spans="1:13" ht="15.75" thickBot="1" x14ac:dyDescent="0.3">
      <c r="D170" s="23" t="s">
        <v>43</v>
      </c>
      <c r="E170" s="27" t="s">
        <v>51</v>
      </c>
      <c r="F170" s="26" t="s">
        <v>52</v>
      </c>
      <c r="G170" s="26" t="s">
        <v>53</v>
      </c>
      <c r="H170" s="26" t="s">
        <v>51</v>
      </c>
      <c r="I170" s="26" t="s">
        <v>52</v>
      </c>
      <c r="J170" s="26" t="s">
        <v>53</v>
      </c>
      <c r="K170" s="26" t="s">
        <v>51</v>
      </c>
      <c r="L170" s="26" t="s">
        <v>52</v>
      </c>
      <c r="M170" s="26" t="s">
        <v>53</v>
      </c>
    </row>
    <row r="171" spans="1:13" x14ac:dyDescent="0.25">
      <c r="D171" s="28" t="str" cm="1">
        <f t="array" ref="D171:D173">+_xlfn.UNIQUE($D$150:$D$158)</f>
        <v>Agr</v>
      </c>
      <c r="E171" s="1">
        <f>+IO_sub_model!E171</f>
        <v>0.30985915492957744</v>
      </c>
      <c r="F171" s="2">
        <f>+IO_sub_model!F171</f>
        <v>0.36363636363636365</v>
      </c>
      <c r="G171" s="2">
        <f>+IO_sub_model!G171</f>
        <v>0.46808510638297873</v>
      </c>
      <c r="H171" s="2">
        <f>+IO_sub_model!H171</f>
        <v>0.2073170731707317</v>
      </c>
      <c r="I171" s="2">
        <f>+IO_sub_model!I171</f>
        <v>0.4</v>
      </c>
      <c r="J171" s="2">
        <f>+IO_sub_model!J171</f>
        <v>0.30909090909090908</v>
      </c>
      <c r="K171" s="2">
        <f>+IO_sub_model!K171</f>
        <v>0.25316455696202533</v>
      </c>
      <c r="L171" s="2">
        <f>+IO_sub_model!L171</f>
        <v>0.38461538461538464</v>
      </c>
      <c r="M171" s="3">
        <f>+IO_sub_model!M171</f>
        <v>0.31666666666666665</v>
      </c>
    </row>
    <row r="172" spans="1:13" x14ac:dyDescent="0.25">
      <c r="D172" s="25" t="str">
        <v>Ind</v>
      </c>
      <c r="E172" s="5">
        <f>+IO_sub_model!E172</f>
        <v>0.18309859154929578</v>
      </c>
      <c r="F172" s="6">
        <f>+IO_sub_model!F172</f>
        <v>0.23636363636363636</v>
      </c>
      <c r="G172" s="6">
        <f>+IO_sub_model!G172</f>
        <v>0.25531914893617019</v>
      </c>
      <c r="H172" s="6">
        <f>+IO_sub_model!H172</f>
        <v>0.23170731707317074</v>
      </c>
      <c r="I172" s="6">
        <f>+IO_sub_model!I172</f>
        <v>0.18</v>
      </c>
      <c r="J172" s="6">
        <f>+IO_sub_model!J172</f>
        <v>0.25454545454545452</v>
      </c>
      <c r="K172" s="6">
        <f>+IO_sub_model!K172</f>
        <v>0.22784810126582278</v>
      </c>
      <c r="L172" s="6">
        <f>+IO_sub_model!L172</f>
        <v>0.24615384615384617</v>
      </c>
      <c r="M172" s="7">
        <f>+IO_sub_model!M172</f>
        <v>0.26666666666666666</v>
      </c>
    </row>
    <row r="173" spans="1:13" x14ac:dyDescent="0.25">
      <c r="D173" s="25" t="str">
        <v>Serv</v>
      </c>
      <c r="E173" s="9">
        <f>+IO_sub_model!E173</f>
        <v>0.22535211267605634</v>
      </c>
      <c r="F173" s="10">
        <f>+IO_sub_model!F173</f>
        <v>0.12727272727272726</v>
      </c>
      <c r="G173" s="10">
        <f>+IO_sub_model!G173</f>
        <v>0.1702127659574468</v>
      </c>
      <c r="H173" s="10">
        <f>+IO_sub_model!H173</f>
        <v>0.21951219512195122</v>
      </c>
      <c r="I173" s="10">
        <f>+IO_sub_model!I173</f>
        <v>0.26</v>
      </c>
      <c r="J173" s="10">
        <f>+IO_sub_model!J173</f>
        <v>0.10909090909090909</v>
      </c>
      <c r="K173" s="10">
        <f>+IO_sub_model!K173</f>
        <v>0.13924050632911392</v>
      </c>
      <c r="L173" s="10">
        <f>+IO_sub_model!L173</f>
        <v>0.15384615384615385</v>
      </c>
      <c r="M173" s="11">
        <f>+IO_sub_model!M173</f>
        <v>0.25</v>
      </c>
    </row>
    <row r="175" spans="1:13" ht="15.75" thickBot="1" x14ac:dyDescent="0.3">
      <c r="E175" s="20" t="s">
        <v>1</v>
      </c>
      <c r="F175" s="20" t="s">
        <v>1</v>
      </c>
      <c r="G175" s="20" t="s">
        <v>1</v>
      </c>
      <c r="H175" s="20" t="s">
        <v>10</v>
      </c>
      <c r="I175" s="20" t="s">
        <v>10</v>
      </c>
      <c r="J175" s="20" t="s">
        <v>10</v>
      </c>
      <c r="K175" s="20" t="s">
        <v>11</v>
      </c>
      <c r="L175" s="20" t="s">
        <v>11</v>
      </c>
      <c r="M175" s="20" t="s">
        <v>11</v>
      </c>
    </row>
    <row r="176" spans="1:13" ht="15.75" thickBot="1" x14ac:dyDescent="0.3">
      <c r="D176" s="23" t="s">
        <v>44</v>
      </c>
      <c r="E176" s="27" t="s">
        <v>51</v>
      </c>
      <c r="F176" s="26" t="s">
        <v>52</v>
      </c>
      <c r="G176" s="26" t="s">
        <v>53</v>
      </c>
      <c r="H176" s="26" t="s">
        <v>51</v>
      </c>
      <c r="I176" s="26" t="s">
        <v>52</v>
      </c>
      <c r="J176" s="26" t="s">
        <v>53</v>
      </c>
      <c r="K176" s="26" t="s">
        <v>51</v>
      </c>
      <c r="L176" s="26" t="s">
        <v>52</v>
      </c>
      <c r="M176" s="26" t="s">
        <v>53</v>
      </c>
    </row>
    <row r="177" spans="2:14" x14ac:dyDescent="0.25">
      <c r="D177" s="28" t="str" cm="1">
        <f t="array" ref="D177:D179">+_xlfn.UNIQUE($D$150:$D$158)</f>
        <v>Agr</v>
      </c>
      <c r="E177" s="1">
        <f>+SUMIF($D$150:$D$158,$D177,E$150:E$158)</f>
        <v>21.124520283088305</v>
      </c>
      <c r="F177" s="2">
        <f t="shared" ref="F177:M179" si="38">+SUMIF($D$150:$D$158,$D177,F$150:F$158)</f>
        <v>19.204109348262094</v>
      </c>
      <c r="G177" s="2">
        <f t="shared" si="38"/>
        <v>21.132560199497963</v>
      </c>
      <c r="H177" s="2">
        <f t="shared" si="38"/>
        <v>16.339297814183013</v>
      </c>
      <c r="I177" s="2">
        <f t="shared" si="38"/>
        <v>19.210196000200973</v>
      </c>
      <c r="J177" s="2">
        <f t="shared" si="38"/>
        <v>16.330083826369041</v>
      </c>
      <c r="K177" s="2">
        <f t="shared" si="38"/>
        <v>19.204109348262101</v>
      </c>
      <c r="L177" s="2">
        <f t="shared" si="38"/>
        <v>24.011219299287532</v>
      </c>
      <c r="M177" s="3">
        <f t="shared" si="38"/>
        <v>18.243903880848997</v>
      </c>
    </row>
    <row r="178" spans="2:14" x14ac:dyDescent="0.25">
      <c r="D178" s="25" t="str">
        <v>Ind</v>
      </c>
      <c r="E178" s="5">
        <f t="shared" ref="E178:E179" si="39">+SUMIF($D$150:$D$158,$D178,E$150:E$158)</f>
        <v>12.498194556989322</v>
      </c>
      <c r="F178" s="6">
        <f t="shared" si="38"/>
        <v>12.498194556989318</v>
      </c>
      <c r="G178" s="6">
        <f t="shared" si="38"/>
        <v>11.521939899998106</v>
      </c>
      <c r="H178" s="6">
        <f t="shared" si="38"/>
        <v>18.240277160964666</v>
      </c>
      <c r="I178" s="6">
        <f t="shared" si="38"/>
        <v>8.643342332890402</v>
      </c>
      <c r="J178" s="6">
        <f t="shared" si="38"/>
        <v>13.441190684114682</v>
      </c>
      <c r="K178" s="6">
        <f t="shared" si="38"/>
        <v>17.305192463523682</v>
      </c>
      <c r="L178" s="6">
        <f t="shared" si="38"/>
        <v>15.369275043619906</v>
      </c>
      <c r="M178" s="7">
        <f t="shared" si="38"/>
        <v>15.382393300909936</v>
      </c>
    </row>
    <row r="179" spans="2:14" x14ac:dyDescent="0.25">
      <c r="D179" s="25" t="str">
        <v>Serv</v>
      </c>
      <c r="E179" s="9">
        <f t="shared" si="39"/>
        <v>15.027692307692304</v>
      </c>
      <c r="F179" s="10">
        <f t="shared" si="38"/>
        <v>6.5746153846153836</v>
      </c>
      <c r="G179" s="10">
        <f t="shared" si="38"/>
        <v>7.513846153846151</v>
      </c>
      <c r="H179" s="10">
        <f t="shared" si="38"/>
        <v>16.906153846153842</v>
      </c>
      <c r="I179" s="10">
        <f t="shared" si="38"/>
        <v>12.210000000000003</v>
      </c>
      <c r="J179" s="10">
        <f t="shared" si="38"/>
        <v>5.6353846153846128</v>
      </c>
      <c r="K179" s="10">
        <f t="shared" si="38"/>
        <v>10.331538461538461</v>
      </c>
      <c r="L179" s="10">
        <f t="shared" si="38"/>
        <v>9.3923076923076927</v>
      </c>
      <c r="M179" s="11">
        <f t="shared" si="38"/>
        <v>14.088461538461535</v>
      </c>
    </row>
    <row r="181" spans="2:14" x14ac:dyDescent="0.25">
      <c r="E181" s="1">
        <f>+E177/E171</f>
        <v>68.174588186330439</v>
      </c>
      <c r="F181" s="2">
        <f t="shared" ref="F181:M181" si="40">+F177/F171</f>
        <v>52.811300707720754</v>
      </c>
      <c r="G181" s="2">
        <f t="shared" si="40"/>
        <v>45.146833153472919</v>
      </c>
      <c r="H181" s="2">
        <f t="shared" si="40"/>
        <v>78.813083574294538</v>
      </c>
      <c r="I181" s="2">
        <f t="shared" si="40"/>
        <v>48.02549000050243</v>
      </c>
      <c r="J181" s="2">
        <f t="shared" si="40"/>
        <v>52.832624144135131</v>
      </c>
      <c r="K181" s="2">
        <f t="shared" si="40"/>
        <v>75.856231925635299</v>
      </c>
      <c r="L181" s="2">
        <f t="shared" si="40"/>
        <v>62.429170178147579</v>
      </c>
      <c r="M181" s="3">
        <f t="shared" si="40"/>
        <v>57.61232804478631</v>
      </c>
    </row>
    <row r="182" spans="2:14" x14ac:dyDescent="0.25">
      <c r="E182" s="5">
        <f t="shared" ref="E182:M183" si="41">+E178/E172</f>
        <v>68.259370272787834</v>
      </c>
      <c r="F182" s="6">
        <f t="shared" si="41"/>
        <v>52.876976971877887</v>
      </c>
      <c r="G182" s="6">
        <f t="shared" si="41"/>
        <v>45.127597941659253</v>
      </c>
      <c r="H182" s="6">
        <f t="shared" si="41"/>
        <v>78.721196168373822</v>
      </c>
      <c r="I182" s="6">
        <f t="shared" si="41"/>
        <v>48.01856851605779</v>
      </c>
      <c r="J182" s="6">
        <f t="shared" si="41"/>
        <v>52.804677687593397</v>
      </c>
      <c r="K182" s="6">
        <f t="shared" si="41"/>
        <v>75.950566923242832</v>
      </c>
      <c r="L182" s="6">
        <f t="shared" si="41"/>
        <v>62.437679864705864</v>
      </c>
      <c r="M182" s="7">
        <f t="shared" si="41"/>
        <v>57.683974878412258</v>
      </c>
    </row>
    <row r="183" spans="2:14" x14ac:dyDescent="0.25">
      <c r="E183" s="73">
        <f t="shared" si="41"/>
        <v>66.685384615384592</v>
      </c>
      <c r="F183" s="74">
        <f t="shared" si="41"/>
        <v>51.657692307692308</v>
      </c>
      <c r="G183" s="74">
        <f t="shared" si="41"/>
        <v>44.143846153846141</v>
      </c>
      <c r="H183" s="74">
        <f t="shared" si="41"/>
        <v>77.016923076923064</v>
      </c>
      <c r="I183" s="74">
        <f t="shared" si="41"/>
        <v>46.961538461538467</v>
      </c>
      <c r="J183" s="74">
        <f t="shared" si="41"/>
        <v>51.657692307692287</v>
      </c>
      <c r="K183" s="74">
        <f t="shared" si="41"/>
        <v>74.199230769230766</v>
      </c>
      <c r="L183" s="74">
        <f t="shared" si="41"/>
        <v>61.05</v>
      </c>
      <c r="M183" s="75">
        <f t="shared" si="41"/>
        <v>56.353846153846142</v>
      </c>
    </row>
    <row r="184" spans="2:14" x14ac:dyDescent="0.25">
      <c r="D184" s="25" t="s">
        <v>47</v>
      </c>
      <c r="E184" s="13">
        <f>+MIN(E181:E183)</f>
        <v>66.685384615384592</v>
      </c>
      <c r="F184" s="14">
        <f t="shared" ref="F184:M184" si="42">+MIN(F181:F183)</f>
        <v>51.657692307692308</v>
      </c>
      <c r="G184" s="14">
        <f t="shared" si="42"/>
        <v>44.143846153846141</v>
      </c>
      <c r="H184" s="14">
        <f t="shared" si="42"/>
        <v>77.016923076923064</v>
      </c>
      <c r="I184" s="14">
        <f t="shared" si="42"/>
        <v>46.961538461538467</v>
      </c>
      <c r="J184" s="14">
        <f t="shared" si="42"/>
        <v>51.657692307692287</v>
      </c>
      <c r="K184" s="14">
        <f t="shared" si="42"/>
        <v>74.199230769230766</v>
      </c>
      <c r="L184" s="14">
        <f t="shared" si="42"/>
        <v>61.05</v>
      </c>
      <c r="M184" s="15">
        <f t="shared" si="42"/>
        <v>56.353846153846142</v>
      </c>
      <c r="N184" s="19">
        <f>+SUM(E184:M184)</f>
        <v>529.72615384615381</v>
      </c>
    </row>
    <row r="187" spans="2:14" x14ac:dyDescent="0.25">
      <c r="C187" s="115" t="s">
        <v>61</v>
      </c>
      <c r="D187" s="77" t="s">
        <v>48</v>
      </c>
      <c r="E187" s="116" t="s">
        <v>62</v>
      </c>
      <c r="F187" s="76" t="s">
        <v>49</v>
      </c>
      <c r="G187" s="77" t="s">
        <v>47</v>
      </c>
      <c r="H187" s="116" t="s">
        <v>63</v>
      </c>
      <c r="I187" s="119" t="s">
        <v>50</v>
      </c>
    </row>
    <row r="188" spans="2:14" x14ac:dyDescent="0.25">
      <c r="B188" s="18" cm="1">
        <f t="array" ref="B188:B196">+TRANSPOSE(E184:M184)</f>
        <v>66.685384615384592</v>
      </c>
      <c r="C188" s="5" cm="1">
        <f t="array" ref="C188:C196">+H47:H55</f>
        <v>21.975782452885667</v>
      </c>
      <c r="D188" s="79">
        <f>+G188-SUM(E150:M150)</f>
        <v>20.685384615384599</v>
      </c>
      <c r="E188" s="117">
        <f>+C188-D188</f>
        <v>1.2903978375010681</v>
      </c>
      <c r="F188" s="78">
        <f>+SUM(E150:M150)+C188</f>
        <v>67.975782452885653</v>
      </c>
      <c r="G188" s="79">
        <f>+MIN(B188,F188)</f>
        <v>66.685384615384592</v>
      </c>
      <c r="H188" s="117">
        <f>+F188-G188</f>
        <v>1.290397837501061</v>
      </c>
      <c r="I188" s="120" t="b">
        <f>+H188&lt;0.001</f>
        <v>0</v>
      </c>
    </row>
    <row r="189" spans="2:14" x14ac:dyDescent="0.25">
      <c r="B189" s="18">
        <v>51.657692307692308</v>
      </c>
      <c r="C189" s="5">
        <v>4.6572962663199036</v>
      </c>
      <c r="D189" s="79">
        <f t="shared" ref="D189:D196" si="43">+G189-SUM(E151:M151)</f>
        <v>3.6576923076923151</v>
      </c>
      <c r="E189" s="117">
        <f t="shared" ref="E189:E196" si="44">+C189-D189</f>
        <v>0.99960395862758844</v>
      </c>
      <c r="F189" s="78">
        <f t="shared" ref="F189:F196" si="45">+SUM(E151:M151)+C189</f>
        <v>52.657296266319896</v>
      </c>
      <c r="G189" s="79">
        <f t="shared" ref="G189:G196" si="46">+MIN(B189,F189)</f>
        <v>51.657692307692308</v>
      </c>
      <c r="H189" s="117">
        <f t="shared" ref="H189:H196" si="47">+F189-G189</f>
        <v>0.99960395862758844</v>
      </c>
      <c r="I189" s="120" t="b">
        <f t="shared" ref="I189:I196" si="48">+H189&lt;0.001</f>
        <v>0</v>
      </c>
    </row>
    <row r="190" spans="2:14" x14ac:dyDescent="0.25">
      <c r="B190" s="18">
        <v>44.143846153846141</v>
      </c>
      <c r="C190" s="5">
        <v>13.102160723918185</v>
      </c>
      <c r="D190" s="79">
        <f t="shared" si="43"/>
        <v>13.102160723918182</v>
      </c>
      <c r="E190" s="117">
        <f t="shared" si="44"/>
        <v>0</v>
      </c>
      <c r="F190" s="78">
        <f t="shared" si="45"/>
        <v>43.282160723918182</v>
      </c>
      <c r="G190" s="79">
        <f t="shared" si="46"/>
        <v>43.282160723918182</v>
      </c>
      <c r="H190" s="117">
        <f t="shared" si="47"/>
        <v>0</v>
      </c>
      <c r="I190" s="120" t="b">
        <f t="shared" si="48"/>
        <v>1</v>
      </c>
    </row>
    <row r="191" spans="2:14" x14ac:dyDescent="0.25">
      <c r="B191" s="18">
        <v>77.016923076923064</v>
      </c>
      <c r="C191" s="5">
        <v>10.395938549462429</v>
      </c>
      <c r="D191" s="79">
        <f t="shared" si="43"/>
        <v>10.395938549462429</v>
      </c>
      <c r="E191" s="117">
        <f t="shared" si="44"/>
        <v>0</v>
      </c>
      <c r="F191" s="78">
        <f t="shared" si="45"/>
        <v>75.19593854946244</v>
      </c>
      <c r="G191" s="79">
        <f t="shared" si="46"/>
        <v>75.19593854946244</v>
      </c>
      <c r="H191" s="117">
        <f t="shared" si="47"/>
        <v>0</v>
      </c>
      <c r="I191" s="120" t="b">
        <f t="shared" si="48"/>
        <v>1</v>
      </c>
    </row>
    <row r="192" spans="2:14" x14ac:dyDescent="0.25">
      <c r="B192" s="18">
        <v>46.961538461538467</v>
      </c>
      <c r="C192" s="5">
        <v>3.8490880837992663</v>
      </c>
      <c r="D192" s="79">
        <f t="shared" si="43"/>
        <v>3.8490880837992663</v>
      </c>
      <c r="E192" s="117">
        <f t="shared" si="44"/>
        <v>0</v>
      </c>
      <c r="F192" s="78">
        <f t="shared" si="45"/>
        <v>46.349088083799273</v>
      </c>
      <c r="G192" s="79">
        <f t="shared" si="46"/>
        <v>46.349088083799273</v>
      </c>
      <c r="H192" s="117">
        <f t="shared" si="47"/>
        <v>0</v>
      </c>
      <c r="I192" s="120" t="b">
        <f t="shared" si="48"/>
        <v>1</v>
      </c>
    </row>
    <row r="193" spans="2:13" x14ac:dyDescent="0.25">
      <c r="B193" s="18">
        <v>51.657692307692287</v>
      </c>
      <c r="C193" s="5">
        <v>19.027642517413579</v>
      </c>
      <c r="D193" s="79">
        <f t="shared" si="43"/>
        <v>19.027642517413582</v>
      </c>
      <c r="E193" s="117">
        <f t="shared" si="44"/>
        <v>0</v>
      </c>
      <c r="F193" s="78">
        <f t="shared" si="45"/>
        <v>50.527642517413568</v>
      </c>
      <c r="G193" s="79">
        <f t="shared" si="46"/>
        <v>50.527642517413568</v>
      </c>
      <c r="H193" s="117">
        <f t="shared" si="47"/>
        <v>0</v>
      </c>
      <c r="I193" s="120" t="b">
        <f t="shared" si="48"/>
        <v>1</v>
      </c>
    </row>
    <row r="194" spans="2:13" x14ac:dyDescent="0.25">
      <c r="B194" s="18">
        <v>74.199230769230766</v>
      </c>
      <c r="C194" s="5">
        <v>11.635025546168549</v>
      </c>
      <c r="D194" s="79">
        <f t="shared" si="43"/>
        <v>10.199230769230752</v>
      </c>
      <c r="E194" s="117">
        <f t="shared" si="44"/>
        <v>1.4357947769377972</v>
      </c>
      <c r="F194" s="78">
        <f t="shared" si="45"/>
        <v>75.635025546168563</v>
      </c>
      <c r="G194" s="79">
        <f t="shared" si="46"/>
        <v>74.199230769230766</v>
      </c>
      <c r="H194" s="117">
        <f t="shared" si="47"/>
        <v>1.4357947769377972</v>
      </c>
      <c r="I194" s="120" t="b">
        <f t="shared" si="48"/>
        <v>0</v>
      </c>
    </row>
    <row r="195" spans="2:13" x14ac:dyDescent="0.25">
      <c r="B195" s="18">
        <v>61.05</v>
      </c>
      <c r="C195" s="5">
        <v>26.249321633735939</v>
      </c>
      <c r="D195" s="79">
        <f t="shared" si="43"/>
        <v>26.249321633735939</v>
      </c>
      <c r="E195" s="117">
        <f t="shared" si="44"/>
        <v>0</v>
      </c>
      <c r="F195" s="78">
        <f t="shared" si="45"/>
        <v>60.649321633735951</v>
      </c>
      <c r="G195" s="79">
        <f t="shared" si="46"/>
        <v>60.649321633735951</v>
      </c>
      <c r="H195" s="117">
        <f t="shared" si="47"/>
        <v>0</v>
      </c>
      <c r="I195" s="120" t="b">
        <f t="shared" si="48"/>
        <v>1</v>
      </c>
    </row>
    <row r="196" spans="2:13" x14ac:dyDescent="0.25">
      <c r="B196" s="18">
        <v>56.353846153846142</v>
      </c>
      <c r="C196" s="9">
        <v>21.444323199621699</v>
      </c>
      <c r="D196" s="81">
        <f t="shared" si="43"/>
        <v>20.353846153846149</v>
      </c>
      <c r="E196" s="118">
        <f t="shared" si="44"/>
        <v>1.0904770457755504</v>
      </c>
      <c r="F196" s="80">
        <f t="shared" si="45"/>
        <v>57.444323199621692</v>
      </c>
      <c r="G196" s="81">
        <f t="shared" si="46"/>
        <v>56.353846153846142</v>
      </c>
      <c r="H196" s="118">
        <f t="shared" si="47"/>
        <v>1.0904770457755504</v>
      </c>
      <c r="I196" s="120" t="b">
        <f t="shared" si="48"/>
        <v>0</v>
      </c>
    </row>
    <row r="198" spans="2:13" ht="15.75" thickBot="1" x14ac:dyDescent="0.3">
      <c r="E198" s="20" t="s">
        <v>1</v>
      </c>
      <c r="F198" s="20" t="s">
        <v>1</v>
      </c>
      <c r="G198" s="20" t="s">
        <v>1</v>
      </c>
      <c r="H198" s="20" t="s">
        <v>10</v>
      </c>
      <c r="I198" s="20" t="s">
        <v>10</v>
      </c>
      <c r="J198" s="20" t="s">
        <v>10</v>
      </c>
      <c r="K198" s="20" t="s">
        <v>11</v>
      </c>
      <c r="L198" s="20" t="s">
        <v>11</v>
      </c>
      <c r="M198" s="20" t="s">
        <v>11</v>
      </c>
    </row>
    <row r="199" spans="2:13" ht="15.75" thickBot="1" x14ac:dyDescent="0.3">
      <c r="D199" s="23" t="s">
        <v>46</v>
      </c>
      <c r="E199" s="27" t="s">
        <v>51</v>
      </c>
      <c r="F199" s="26" t="s">
        <v>52</v>
      </c>
      <c r="G199" s="26" t="s">
        <v>53</v>
      </c>
      <c r="H199" s="26" t="s">
        <v>51</v>
      </c>
      <c r="I199" s="26" t="s">
        <v>52</v>
      </c>
      <c r="J199" s="26" t="s">
        <v>53</v>
      </c>
      <c r="K199" s="26" t="s">
        <v>51</v>
      </c>
      <c r="L199" s="26" t="s">
        <v>52</v>
      </c>
      <c r="M199" s="26" t="s">
        <v>53</v>
      </c>
    </row>
    <row r="200" spans="2:13" x14ac:dyDescent="0.25">
      <c r="C200" s="20" t="s">
        <v>1</v>
      </c>
      <c r="D200" s="28" t="s">
        <v>51</v>
      </c>
      <c r="E200" s="1">
        <f t="shared" ref="E200:M208" si="49">+E150/E$184</f>
        <v>0.13491141353475627</v>
      </c>
      <c r="F200" s="2">
        <f t="shared" si="49"/>
        <v>9.700722215519654E-2</v>
      </c>
      <c r="G200" s="2">
        <f t="shared" si="49"/>
        <v>0.20385027703941053</v>
      </c>
      <c r="H200" s="2">
        <f t="shared" si="49"/>
        <v>2.2685794035861882E-2</v>
      </c>
      <c r="I200" s="2">
        <f t="shared" si="49"/>
        <v>2.4302642734004388E-2</v>
      </c>
      <c r="J200" s="2">
        <f t="shared" si="49"/>
        <v>0.13869840270346387</v>
      </c>
      <c r="K200" s="2">
        <f t="shared" si="49"/>
        <v>4.6665937109014226E-2</v>
      </c>
      <c r="L200" s="2">
        <f t="shared" si="49"/>
        <v>0.11214225149785687</v>
      </c>
      <c r="M200" s="3">
        <f t="shared" si="49"/>
        <v>4.6692393343149147E-2</v>
      </c>
    </row>
    <row r="201" spans="2:13" x14ac:dyDescent="0.25">
      <c r="C201" s="20" t="s">
        <v>1</v>
      </c>
      <c r="D201" s="25" t="s">
        <v>52</v>
      </c>
      <c r="E201" s="5">
        <f t="shared" si="49"/>
        <v>0.1091828055971396</v>
      </c>
      <c r="F201" s="6">
        <f t="shared" si="49"/>
        <v>6.600015872886697E-2</v>
      </c>
      <c r="G201" s="6">
        <f t="shared" si="49"/>
        <v>0.1804533691857397</v>
      </c>
      <c r="H201" s="6">
        <f t="shared" si="49"/>
        <v>6.0701895065362624E-2</v>
      </c>
      <c r="I201" s="6">
        <f t="shared" si="49"/>
        <v>4.8917631906953328E-2</v>
      </c>
      <c r="J201" s="6">
        <f t="shared" si="49"/>
        <v>0.17240406992870549</v>
      </c>
      <c r="K201" s="6">
        <f t="shared" si="49"/>
        <v>3.071080750695496E-2</v>
      </c>
      <c r="L201" s="6">
        <f t="shared" si="49"/>
        <v>7.2553771426688812E-2</v>
      </c>
      <c r="M201" s="7">
        <f t="shared" si="49"/>
        <v>0.11990908423110551</v>
      </c>
    </row>
    <row r="202" spans="2:13" x14ac:dyDescent="0.25">
      <c r="C202" s="20" t="s">
        <v>1</v>
      </c>
      <c r="D202" s="25" t="s">
        <v>53</v>
      </c>
      <c r="E202" s="5">
        <f t="shared" si="49"/>
        <v>1.0677514731175024E-2</v>
      </c>
      <c r="F202" s="6">
        <f t="shared" si="49"/>
        <v>6.0303691152204268E-3</v>
      </c>
      <c r="G202" s="6">
        <f t="shared" si="49"/>
        <v>8.0649313395045313E-3</v>
      </c>
      <c r="H202" s="6">
        <f t="shared" si="49"/>
        <v>8.077591638275021E-2</v>
      </c>
      <c r="I202" s="6">
        <f t="shared" si="49"/>
        <v>7.8270710098040736E-2</v>
      </c>
      <c r="J202" s="6">
        <f t="shared" si="49"/>
        <v>6.5124821882998424E-2</v>
      </c>
      <c r="K202" s="6">
        <f t="shared" si="49"/>
        <v>7.9644998000612546E-2</v>
      </c>
      <c r="L202" s="6">
        <f t="shared" si="49"/>
        <v>5.8021401385281064E-2</v>
      </c>
      <c r="M202" s="7">
        <f t="shared" si="49"/>
        <v>0.10802467880877913</v>
      </c>
    </row>
    <row r="203" spans="2:13" x14ac:dyDescent="0.25">
      <c r="C203" s="20" t="s">
        <v>10</v>
      </c>
      <c r="D203" s="25" t="str">
        <f>+D200</f>
        <v>Agr</v>
      </c>
      <c r="E203" s="5">
        <f t="shared" si="49"/>
        <v>0.12087797308626881</v>
      </c>
      <c r="F203" s="6">
        <f t="shared" si="49"/>
        <v>9.4164574578654986E-2</v>
      </c>
      <c r="G203" s="6">
        <f t="shared" si="49"/>
        <v>9.4968913489385576E-2</v>
      </c>
      <c r="H203" s="6">
        <f t="shared" si="49"/>
        <v>8.1408728242149633E-2</v>
      </c>
      <c r="I203" s="6">
        <f t="shared" si="49"/>
        <v>0.18606848876474455</v>
      </c>
      <c r="J203" s="6">
        <f t="shared" si="49"/>
        <v>0.15128485801572136</v>
      </c>
      <c r="K203" s="6">
        <f t="shared" si="49"/>
        <v>0.11773445657133229</v>
      </c>
      <c r="L203" s="6">
        <f t="shared" si="49"/>
        <v>0.13451229284055072</v>
      </c>
      <c r="M203" s="7">
        <f t="shared" si="49"/>
        <v>0.14039623198245943</v>
      </c>
    </row>
    <row r="204" spans="2:13" x14ac:dyDescent="0.25">
      <c r="C204" s="20" t="s">
        <v>10</v>
      </c>
      <c r="D204" s="25" t="str">
        <f t="shared" ref="D204:D208" si="50">+D201</f>
        <v>Ind</v>
      </c>
      <c r="E204" s="5">
        <f t="shared" si="49"/>
        <v>5.7968327739282149E-2</v>
      </c>
      <c r="F204" s="6">
        <f t="shared" si="49"/>
        <v>4.4853874228460759E-2</v>
      </c>
      <c r="G204" s="6">
        <f t="shared" si="49"/>
        <v>6.8575294193049058E-2</v>
      </c>
      <c r="H204" s="6">
        <f t="shared" si="49"/>
        <v>7.4788110576872763E-2</v>
      </c>
      <c r="I204" s="6">
        <f t="shared" si="49"/>
        <v>0.12667669699684952</v>
      </c>
      <c r="J204" s="6">
        <f t="shared" si="49"/>
        <v>7.5854917195833954E-2</v>
      </c>
      <c r="K204" s="6">
        <f t="shared" si="49"/>
        <v>0.10825828340465977</v>
      </c>
      <c r="L204" s="6">
        <f t="shared" si="49"/>
        <v>4.07849243714496E-2</v>
      </c>
      <c r="M204" s="7">
        <f t="shared" si="49"/>
        <v>0.1267022872439722</v>
      </c>
    </row>
    <row r="205" spans="2:13" x14ac:dyDescent="0.25">
      <c r="C205" s="20" t="s">
        <v>10</v>
      </c>
      <c r="D205" s="25" t="str">
        <f t="shared" si="50"/>
        <v>Serv</v>
      </c>
      <c r="E205" s="5">
        <f t="shared" si="49"/>
        <v>7.9817247913176417E-2</v>
      </c>
      <c r="F205" s="6">
        <f t="shared" si="49"/>
        <v>8.067744064136223E-2</v>
      </c>
      <c r="G205" s="6">
        <f t="shared" si="49"/>
        <v>7.7827795625098006E-2</v>
      </c>
      <c r="H205" s="6">
        <f t="shared" si="49"/>
        <v>1.9940690727553136E-2</v>
      </c>
      <c r="I205" s="6">
        <f t="shared" si="49"/>
        <v>0.16010166249042942</v>
      </c>
      <c r="J205" s="6">
        <f t="shared" si="49"/>
        <v>3.4891558224051995E-2</v>
      </c>
      <c r="K205" s="6">
        <f t="shared" si="49"/>
        <v>1.6706935084729865E-2</v>
      </c>
      <c r="L205" s="6">
        <f t="shared" si="49"/>
        <v>8.3027339791328494E-2</v>
      </c>
      <c r="M205" s="7">
        <f t="shared" si="49"/>
        <v>2.5000214699329556E-2</v>
      </c>
    </row>
    <row r="206" spans="2:13" x14ac:dyDescent="0.25">
      <c r="C206" s="20" t="s">
        <v>11</v>
      </c>
      <c r="D206" s="25" t="str">
        <f t="shared" si="50"/>
        <v>Agr</v>
      </c>
      <c r="E206" s="5">
        <f t="shared" si="49"/>
        <v>6.0989475867754682E-2</v>
      </c>
      <c r="F206" s="6">
        <f t="shared" si="49"/>
        <v>0.18058521544306338</v>
      </c>
      <c r="G206" s="6">
        <f t="shared" si="49"/>
        <v>0.17990122105130668</v>
      </c>
      <c r="H206" s="6">
        <f t="shared" si="49"/>
        <v>0.10805752381014015</v>
      </c>
      <c r="I206" s="6">
        <f t="shared" si="49"/>
        <v>0.19869119119185322</v>
      </c>
      <c r="J206" s="6">
        <f t="shared" si="49"/>
        <v>2.6137787218864943E-2</v>
      </c>
      <c r="K206" s="6">
        <f t="shared" si="49"/>
        <v>9.4417779354214623E-2</v>
      </c>
      <c r="L206" s="6">
        <f t="shared" si="49"/>
        <v>0.14664962108808766</v>
      </c>
      <c r="M206" s="7">
        <f t="shared" si="49"/>
        <v>0.13664977277845503</v>
      </c>
    </row>
    <row r="207" spans="2:13" x14ac:dyDescent="0.25">
      <c r="C207" s="20" t="s">
        <v>11</v>
      </c>
      <c r="D207" s="25" t="str">
        <f t="shared" si="50"/>
        <v>Ind</v>
      </c>
      <c r="E207" s="5">
        <f t="shared" si="49"/>
        <v>2.0269163165938631E-2</v>
      </c>
      <c r="F207" s="6">
        <f t="shared" si="49"/>
        <v>0.13108853161844641</v>
      </c>
      <c r="G207" s="6">
        <f t="shared" si="49"/>
        <v>1.1980308513757299E-2</v>
      </c>
      <c r="H207" s="6">
        <f t="shared" si="49"/>
        <v>0.10134465915924748</v>
      </c>
      <c r="I207" s="6">
        <f t="shared" si="49"/>
        <v>8.4571867842810605E-3</v>
      </c>
      <c r="J207" s="6">
        <f t="shared" si="49"/>
        <v>1.1938286188677649E-2</v>
      </c>
      <c r="K207" s="6">
        <f t="shared" si="49"/>
        <v>9.4256945047505564E-2</v>
      </c>
      <c r="L207" s="6">
        <f t="shared" si="49"/>
        <v>0.13841028116533263</v>
      </c>
      <c r="M207" s="7">
        <f t="shared" si="49"/>
        <v>2.6349470610411218E-2</v>
      </c>
    </row>
    <row r="208" spans="2:13" x14ac:dyDescent="0.25">
      <c r="C208" s="20" t="s">
        <v>11</v>
      </c>
      <c r="D208" s="25" t="str">
        <f t="shared" si="50"/>
        <v>Serv</v>
      </c>
      <c r="E208" s="9">
        <f t="shared" si="49"/>
        <v>0.13485735003170493</v>
      </c>
      <c r="F208" s="10">
        <f t="shared" si="49"/>
        <v>4.0564917516144598E-2</v>
      </c>
      <c r="G208" s="10">
        <f t="shared" si="49"/>
        <v>8.4320038992844251E-2</v>
      </c>
      <c r="H208" s="10">
        <f t="shared" si="49"/>
        <v>0.11879558801164787</v>
      </c>
      <c r="I208" s="10">
        <f t="shared" si="49"/>
        <v>2.1627627411529838E-2</v>
      </c>
      <c r="J208" s="10">
        <f t="shared" si="49"/>
        <v>9.0745289838586596E-3</v>
      </c>
      <c r="K208" s="10">
        <f t="shared" si="49"/>
        <v>4.2888573243771516E-2</v>
      </c>
      <c r="L208" s="10">
        <f t="shared" si="49"/>
        <v>1.2797412669544279E-2</v>
      </c>
      <c r="M208" s="11">
        <f t="shared" si="49"/>
        <v>0.11697510649189131</v>
      </c>
    </row>
    <row r="211" spans="3:13" ht="15.75" thickBot="1" x14ac:dyDescent="0.3">
      <c r="E211" s="20" t="s">
        <v>1</v>
      </c>
      <c r="F211" s="20" t="s">
        <v>1</v>
      </c>
      <c r="G211" s="20" t="s">
        <v>1</v>
      </c>
      <c r="H211" s="20" t="s">
        <v>10</v>
      </c>
      <c r="I211" s="20" t="s">
        <v>10</v>
      </c>
      <c r="J211" s="20" t="s">
        <v>10</v>
      </c>
      <c r="K211" s="20" t="s">
        <v>11</v>
      </c>
      <c r="L211" s="20" t="s">
        <v>11</v>
      </c>
      <c r="M211" s="20" t="s">
        <v>11</v>
      </c>
    </row>
    <row r="212" spans="3:13" ht="15.75" thickBot="1" x14ac:dyDescent="0.3">
      <c r="D212" s="23" t="s">
        <v>45</v>
      </c>
      <c r="E212" s="27" t="s">
        <v>51</v>
      </c>
      <c r="F212" s="26" t="s">
        <v>52</v>
      </c>
      <c r="G212" s="26" t="s">
        <v>53</v>
      </c>
      <c r="H212" s="26" t="s">
        <v>51</v>
      </c>
      <c r="I212" s="26" t="s">
        <v>52</v>
      </c>
      <c r="J212" s="26" t="s">
        <v>53</v>
      </c>
      <c r="K212" s="26" t="s">
        <v>51</v>
      </c>
      <c r="L212" s="26" t="s">
        <v>52</v>
      </c>
      <c r="M212" s="26" t="s">
        <v>53</v>
      </c>
    </row>
    <row r="213" spans="3:13" x14ac:dyDescent="0.25">
      <c r="C213" s="20" t="s">
        <v>1</v>
      </c>
      <c r="D213" s="28" t="s">
        <v>51</v>
      </c>
      <c r="E213" s="1" cm="1">
        <f t="array" ref="E213:M221">+MINVERSE(_xlfn.MUNIT(COUNTA($D$213:$D$221))-E200:M208)</f>
        <v>1.3653770199358466</v>
      </c>
      <c r="F213" s="2">
        <v>0.32861350555878382</v>
      </c>
      <c r="G213" s="2">
        <v>0.48844002592945446</v>
      </c>
      <c r="H213" s="2">
        <v>0.24089848540010261</v>
      </c>
      <c r="I213" s="2">
        <v>0.28634396673422141</v>
      </c>
      <c r="J213" s="2">
        <v>0.36250169291889245</v>
      </c>
      <c r="K213" s="2">
        <v>0.25035478445951098</v>
      </c>
      <c r="L213" s="2">
        <v>0.37168228820357241</v>
      </c>
      <c r="M213" s="3">
        <v>0.31606005178351709</v>
      </c>
    </row>
    <row r="214" spans="3:13" x14ac:dyDescent="0.25">
      <c r="C214" s="20" t="s">
        <v>1</v>
      </c>
      <c r="D214" s="25" t="s">
        <v>52</v>
      </c>
      <c r="E214" s="5">
        <v>0.35852606258280789</v>
      </c>
      <c r="F214" s="6">
        <v>1.3026778458249788</v>
      </c>
      <c r="G214" s="6">
        <v>0.47561340116046996</v>
      </c>
      <c r="H214" s="6">
        <v>0.29059257689172335</v>
      </c>
      <c r="I214" s="6">
        <v>0.32992608295239118</v>
      </c>
      <c r="J214" s="6">
        <v>0.40237276122666871</v>
      </c>
      <c r="K214" s="6">
        <v>0.24331667452510344</v>
      </c>
      <c r="L214" s="6">
        <v>0.33560559636175635</v>
      </c>
      <c r="M214" s="7">
        <v>0.40664020990844635</v>
      </c>
    </row>
    <row r="215" spans="3:13" x14ac:dyDescent="0.25">
      <c r="C215" s="20" t="s">
        <v>1</v>
      </c>
      <c r="D215" s="25" t="s">
        <v>53</v>
      </c>
      <c r="E215" s="5">
        <v>0.17651784094379042</v>
      </c>
      <c r="F215" s="6">
        <v>0.17113230847366687</v>
      </c>
      <c r="G215" s="6">
        <v>1.2036592089777234</v>
      </c>
      <c r="H215" s="6">
        <v>0.24004597483705833</v>
      </c>
      <c r="I215" s="6">
        <v>0.27314180634485213</v>
      </c>
      <c r="J215" s="6">
        <v>0.20814659740549868</v>
      </c>
      <c r="K215" s="6">
        <v>0.22706978299316399</v>
      </c>
      <c r="L215" s="6">
        <v>0.23208858044204594</v>
      </c>
      <c r="M215" s="7">
        <v>0.30513823263496703</v>
      </c>
    </row>
    <row r="216" spans="3:13" x14ac:dyDescent="0.25">
      <c r="C216" s="20" t="s">
        <v>10</v>
      </c>
      <c r="D216" s="25" t="str">
        <f>+D213</f>
        <v>Agr</v>
      </c>
      <c r="E216" s="5">
        <v>0.46974808892961406</v>
      </c>
      <c r="F216" s="6">
        <v>0.44073219996266322</v>
      </c>
      <c r="G216" s="6">
        <v>0.5195248994599424</v>
      </c>
      <c r="H216" s="6">
        <v>1.4103807853108115</v>
      </c>
      <c r="I216" s="6">
        <v>0.58671755189913355</v>
      </c>
      <c r="J216" s="6">
        <v>0.47148763813482342</v>
      </c>
      <c r="K216" s="6">
        <v>0.42594959465725785</v>
      </c>
      <c r="L216" s="6">
        <v>0.50732477069844328</v>
      </c>
      <c r="M216" s="7">
        <v>0.55107678317545483</v>
      </c>
    </row>
    <row r="217" spans="3:13" x14ac:dyDescent="0.25">
      <c r="C217" s="20" t="s">
        <v>10</v>
      </c>
      <c r="D217" s="25" t="str">
        <f t="shared" ref="D217:D221" si="51">+D214</f>
        <v>Ind</v>
      </c>
      <c r="E217" s="5">
        <v>0.2943038240994113</v>
      </c>
      <c r="F217" s="6">
        <v>0.27438851557300281</v>
      </c>
      <c r="G217" s="6">
        <v>0.35430634106770637</v>
      </c>
      <c r="H217" s="6">
        <v>0.29883476139704857</v>
      </c>
      <c r="I217" s="6">
        <v>1.4018373410220617</v>
      </c>
      <c r="J217" s="6">
        <v>0.28821633881282482</v>
      </c>
      <c r="K217" s="6">
        <v>0.31659878486146376</v>
      </c>
      <c r="L217" s="6">
        <v>0.28604379355024362</v>
      </c>
      <c r="M217" s="7">
        <v>0.41051419244666654</v>
      </c>
    </row>
    <row r="218" spans="3:13" x14ac:dyDescent="0.25">
      <c r="C218" s="20" t="s">
        <v>10</v>
      </c>
      <c r="D218" s="25" t="str">
        <f t="shared" si="51"/>
        <v>Serv</v>
      </c>
      <c r="E218" s="5">
        <v>0.24923136429083484</v>
      </c>
      <c r="F218" s="6">
        <v>0.24781482894153103</v>
      </c>
      <c r="G218" s="6">
        <v>0.28670952441027076</v>
      </c>
      <c r="H218" s="6">
        <v>0.18218434471180456</v>
      </c>
      <c r="I218" s="6">
        <v>0.35339509714057177</v>
      </c>
      <c r="J218" s="6">
        <v>1.2020750990639271</v>
      </c>
      <c r="K218" s="6">
        <v>0.17322472619305354</v>
      </c>
      <c r="L218" s="6">
        <v>0.26653102035360521</v>
      </c>
      <c r="M218" s="7">
        <v>0.23037213653725586</v>
      </c>
    </row>
    <row r="219" spans="3:13" x14ac:dyDescent="0.25">
      <c r="C219" s="20" t="s">
        <v>11</v>
      </c>
      <c r="D219" s="25" t="str">
        <f t="shared" si="51"/>
        <v>Agr</v>
      </c>
      <c r="E219" s="5">
        <v>0.41065588985092888</v>
      </c>
      <c r="F219" s="6">
        <v>0.52332483070580693</v>
      </c>
      <c r="G219" s="6">
        <v>0.60371982885299036</v>
      </c>
      <c r="H219" s="6">
        <v>0.45179703061520166</v>
      </c>
      <c r="I219" s="6">
        <v>0.59824008691905317</v>
      </c>
      <c r="J219" s="6">
        <v>0.36118083892337399</v>
      </c>
      <c r="K219" s="6">
        <v>1.4143617655456666</v>
      </c>
      <c r="L219" s="6">
        <v>0.52102041028840018</v>
      </c>
      <c r="M219" s="7">
        <v>0.56895560282254443</v>
      </c>
    </row>
    <row r="220" spans="3:13" x14ac:dyDescent="0.25">
      <c r="C220" s="20" t="s">
        <v>11</v>
      </c>
      <c r="D220" s="25" t="str">
        <f t="shared" si="51"/>
        <v>Ind</v>
      </c>
      <c r="E220" s="5">
        <v>0.20597491609458549</v>
      </c>
      <c r="F220" s="6">
        <v>0.33041389695811424</v>
      </c>
      <c r="G220" s="6">
        <v>0.24515967662889587</v>
      </c>
      <c r="H220" s="6">
        <v>0.28311281119333953</v>
      </c>
      <c r="I220" s="6">
        <v>0.22100828159878835</v>
      </c>
      <c r="J220" s="6">
        <v>0.1931207815541045</v>
      </c>
      <c r="K220" s="6">
        <v>0.2628426212375668</v>
      </c>
      <c r="L220" s="6">
        <v>1.3534962599185227</v>
      </c>
      <c r="M220" s="7">
        <v>0.24900766516565892</v>
      </c>
    </row>
    <row r="221" spans="3:13" x14ac:dyDescent="0.25">
      <c r="C221" s="20" t="s">
        <v>11</v>
      </c>
      <c r="D221" s="25" t="str">
        <f t="shared" si="51"/>
        <v>Serv</v>
      </c>
      <c r="E221" s="9">
        <v>0.33774567696506197</v>
      </c>
      <c r="F221" s="10">
        <v>0.22513766587706971</v>
      </c>
      <c r="G221" s="10">
        <v>0.32577502228480254</v>
      </c>
      <c r="H221" s="10">
        <v>0.29804240332745335</v>
      </c>
      <c r="I221" s="10">
        <v>0.23412828615818035</v>
      </c>
      <c r="J221" s="10">
        <v>0.19690667316082663</v>
      </c>
      <c r="K221" s="10">
        <v>0.21043874021858644</v>
      </c>
      <c r="L221" s="10">
        <v>0.2172619708220313</v>
      </c>
      <c r="M221" s="11">
        <v>1.3463611604202577</v>
      </c>
    </row>
    <row r="223" spans="3:13" x14ac:dyDescent="0.25">
      <c r="E223" s="16"/>
      <c r="F223" s="16"/>
      <c r="G223" s="18"/>
      <c r="I223" s="16"/>
      <c r="L223" s="16"/>
    </row>
    <row r="224" spans="3:13" x14ac:dyDescent="0.25">
      <c r="E224" s="16"/>
      <c r="F224" s="16"/>
      <c r="G224" s="18"/>
      <c r="I224" s="16"/>
      <c r="L224" s="16"/>
    </row>
    <row r="225" spans="5:12" x14ac:dyDescent="0.25">
      <c r="E225" s="16"/>
      <c r="F225" s="16"/>
      <c r="G225" s="18"/>
      <c r="I225" s="16"/>
      <c r="L225" s="16"/>
    </row>
    <row r="226" spans="5:12" x14ac:dyDescent="0.25">
      <c r="E226" s="16"/>
      <c r="F226" s="16"/>
      <c r="G226" s="18"/>
      <c r="I226" s="16"/>
      <c r="L226" s="16"/>
    </row>
    <row r="227" spans="5:12" x14ac:dyDescent="0.25">
      <c r="E227" s="16"/>
      <c r="F227" s="16"/>
      <c r="G227" s="18"/>
      <c r="I227" s="16"/>
      <c r="L227" s="16"/>
    </row>
    <row r="228" spans="5:12" x14ac:dyDescent="0.25">
      <c r="E228" s="16"/>
      <c r="F228" s="16"/>
      <c r="G228" s="18"/>
      <c r="I228" s="16"/>
      <c r="L228" s="16"/>
    </row>
    <row r="229" spans="5:12" x14ac:dyDescent="0.25">
      <c r="E229" s="16"/>
      <c r="F229" s="16"/>
      <c r="G229" s="18"/>
      <c r="I229" s="16"/>
      <c r="L229" s="16"/>
    </row>
    <row r="230" spans="5:12" x14ac:dyDescent="0.25">
      <c r="E230" s="16"/>
      <c r="F230" s="16"/>
      <c r="G230" s="18"/>
      <c r="I230" s="16"/>
      <c r="L230" s="16"/>
    </row>
    <row r="231" spans="5:12" x14ac:dyDescent="0.25">
      <c r="E231" s="16"/>
      <c r="F231" s="16"/>
      <c r="G231" s="18"/>
      <c r="I231" s="16"/>
      <c r="L231" s="16"/>
    </row>
    <row r="234" spans="5:12" x14ac:dyDescent="0.25">
      <c r="E234" s="16"/>
    </row>
    <row r="235" spans="5:12" x14ac:dyDescent="0.25">
      <c r="E235" s="16"/>
      <c r="F235" s="18"/>
    </row>
    <row r="236" spans="5:12" x14ac:dyDescent="0.25">
      <c r="E236" s="16"/>
      <c r="F236" s="18"/>
    </row>
    <row r="237" spans="5:12" x14ac:dyDescent="0.25">
      <c r="E237" s="16"/>
      <c r="F237" s="18"/>
    </row>
    <row r="238" spans="5:12" x14ac:dyDescent="0.25">
      <c r="E238" s="16"/>
      <c r="F238" s="18"/>
    </row>
    <row r="239" spans="5:12" x14ac:dyDescent="0.25">
      <c r="E239" s="16"/>
      <c r="F239" s="18"/>
    </row>
    <row r="240" spans="5:12" x14ac:dyDescent="0.25">
      <c r="E240" s="16"/>
      <c r="F240" s="18"/>
    </row>
    <row r="241" spans="5:6" x14ac:dyDescent="0.25">
      <c r="E241" s="16"/>
      <c r="F241" s="18"/>
    </row>
    <row r="242" spans="5:6" x14ac:dyDescent="0.25">
      <c r="E242" s="16"/>
      <c r="F242" s="18"/>
    </row>
    <row r="243" spans="5:6" x14ac:dyDescent="0.25">
      <c r="F243" s="18"/>
    </row>
  </sheetData>
  <conditionalFormatting sqref="E106:M114">
    <cfRule type="expression" dxfId="2" priority="1">
      <formula>E106&lt;0</formula>
    </cfRule>
  </conditionalFormatting>
  <conditionalFormatting sqref="E131:M133">
    <cfRule type="expression" dxfId="1" priority="3">
      <formula>E131&lt;0</formula>
    </cfRule>
  </conditionalFormatting>
  <conditionalFormatting sqref="E137:M145">
    <cfRule type="expression" dxfId="0" priority="4">
      <formula>E137&lt;0</formula>
    </cfRule>
  </conditionalFormatting>
  <conditionalFormatting sqref="O137:W1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2089A2C896BC941903B1B853AEED257" ma:contentTypeVersion="14" ma:contentTypeDescription="Creare un nuovo documento." ma:contentTypeScope="" ma:versionID="3a7f16f3274eafcbb1aa42755d34bae9">
  <xsd:schema xmlns:xsd="http://www.w3.org/2001/XMLSchema" xmlns:xs="http://www.w3.org/2001/XMLSchema" xmlns:p="http://schemas.microsoft.com/office/2006/metadata/properties" xmlns:ns2="20912362-bf21-460c-9dd2-47f7a60b9dca" xmlns:ns3="a8dcb262-2592-46ce-8dc6-dbb2fb614b8a" targetNamespace="http://schemas.microsoft.com/office/2006/metadata/properties" ma:root="true" ma:fieldsID="60213cfc4ac64db6b4a45df1d9575320" ns2:_="" ns3:_="">
    <xsd:import namespace="20912362-bf21-460c-9dd2-47f7a60b9dca"/>
    <xsd:import namespace="a8dcb262-2592-46ce-8dc6-dbb2fb614b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12362-bf21-460c-9dd2-47f7a60b9d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be26f059-a100-4a06-81f8-6042079323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dcb262-2592-46ce-8dc6-dbb2fb614b8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af58577-1427-4286-b566-5c8b07720efe}" ma:internalName="TaxCatchAll" ma:showField="CatchAllData" ma:web="a8dcb262-2592-46ce-8dc6-dbb2fb614b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912362-bf21-460c-9dd2-47f7a60b9dca">
      <Terms xmlns="http://schemas.microsoft.com/office/infopath/2007/PartnerControls"/>
    </lcf76f155ced4ddcb4097134ff3c332f>
    <TaxCatchAll xmlns="a8dcb262-2592-46ce-8dc6-dbb2fb614b8a" xsi:nil="true"/>
  </documentManagement>
</p:properties>
</file>

<file path=customXml/itemProps1.xml><?xml version="1.0" encoding="utf-8"?>
<ds:datastoreItem xmlns:ds="http://schemas.openxmlformats.org/officeDocument/2006/customXml" ds:itemID="{DDBDCB8F-502D-4E1C-A7CA-EE7ED712BB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9D6F1D-5ABE-4F17-8B84-B4D830E93A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912362-bf21-460c-9dd2-47f7a60b9dca"/>
    <ds:schemaRef ds:uri="a8dcb262-2592-46ce-8dc6-dbb2fb614b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E5435C3-4E2F-43AB-96AA-DF9121DE1382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a8dcb262-2592-46ce-8dc6-dbb2fb614b8a"/>
    <ds:schemaRef ds:uri="20912362-bf21-460c-9dd2-47f7a60b9d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IO_sub_model</vt:lpstr>
      <vt:lpstr>IO_sub_model - t+1</vt:lpstr>
      <vt:lpstr>IO_sub_model - t+2</vt:lpstr>
      <vt:lpstr>IO_sub_model - t+3</vt:lpstr>
      <vt:lpstr>IO_sub_model (2)</vt:lpstr>
      <vt:lpstr>IO_sub_model (3)</vt:lpstr>
      <vt:lpstr>IO_sub_model (4)</vt:lpstr>
      <vt:lpstr>IO_sub_model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Giorgio Cesare Carluccio</dc:creator>
  <cp:lastModifiedBy>Giorgio Cesare Carluccio</cp:lastModifiedBy>
  <dcterms:created xsi:type="dcterms:W3CDTF">2024-05-25T22:44:34Z</dcterms:created>
  <dcterms:modified xsi:type="dcterms:W3CDTF">2026-01-23T14:34:57Z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0x01010002089A2C896BC941903B1B853AEED257</vt:lpwstr>
  </property>
  <property fmtid="{D5CDD505-2E9C-101B-9397-08002B2CF9AE}" pid="3" name="MediaServiceImageTags">
    <vt:lpwstr/>
  </property>
</Properties>
</file>